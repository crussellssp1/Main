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Cap Stack Control" sheetId="2" state="visible" r:id="rId4"/>
    <sheet name="S&amp;U" sheetId="3" state="visible" r:id="rId5"/>
    <sheet name="UW Drivers" sheetId="4" state="visible" r:id="rId6"/>
    <sheet name="Rollup" sheetId="5" state="visible" r:id="rId7"/>
    <sheet name="SSP UW Summary" sheetId="6" state="visible" r:id="rId8"/>
    <sheet name="START" sheetId="7" state="visible" r:id="rId9"/>
    <sheet name="1" sheetId="8" state="visible" r:id="rId10"/>
    <sheet name="2" sheetId="9" state="visible" r:id="rId11"/>
    <sheet name="3" sheetId="10" state="visible" r:id="rId12"/>
    <sheet name="4" sheetId="11" state="visible" r:id="rId13"/>
    <sheet name="5" sheetId="12" state="visible" r:id="rId14"/>
    <sheet name="6" sheetId="13" state="visible" r:id="rId15"/>
    <sheet name="7" sheetId="14" state="visible" r:id="rId16"/>
    <sheet name="8" sheetId="15" state="visible" r:id="rId17"/>
    <sheet name="9" sheetId="16" state="visible" r:id="rId18"/>
    <sheet name="10" sheetId="17" state="visible" r:id="rId19"/>
    <sheet name="11" sheetId="18" state="visible" r:id="rId20"/>
    <sheet name="12" sheetId="19" state="visible" r:id="rId21"/>
    <sheet name="13" sheetId="20" state="visible" r:id="rId22"/>
    <sheet name="14" sheetId="21" state="visible" r:id="rId23"/>
    <sheet name="15" sheetId="22" state="visible" r:id="rId24"/>
    <sheet name="16" sheetId="23" state="visible" r:id="rId25"/>
    <sheet name="17" sheetId="24" state="visible" r:id="rId26"/>
    <sheet name="18" sheetId="25" state="visible" r:id="rId27"/>
    <sheet name="19" sheetId="26" state="visible" r:id="rId28"/>
    <sheet name="20" sheetId="27" state="visible" r:id="rId29"/>
    <sheet name="21" sheetId="28" state="visible" r:id="rId30"/>
    <sheet name="22" sheetId="29" state="visible" r:id="rId31"/>
    <sheet name="23" sheetId="30" state="visible" r:id="rId32"/>
    <sheet name="24" sheetId="31" state="visible" r:id="rId33"/>
    <sheet name="25" sheetId="32" state="visible" r:id="rId34"/>
    <sheet name="26" sheetId="33" state="visible" r:id="rId35"/>
    <sheet name="27" sheetId="34" state="visible" r:id="rId36"/>
    <sheet name="28" sheetId="35" state="visible" r:id="rId37"/>
    <sheet name="29" sheetId="36" state="visible" r:id="rId38"/>
    <sheet name="30" sheetId="37" state="visible" r:id="rId39"/>
    <sheet name="END" sheetId="38" state="visible" r:id="rId40"/>
    <sheet name="Source -&gt;" sheetId="39" state="visible" r:id="rId41"/>
    <sheet name="Tape" sheetId="40" state="visible" r:id="rId42"/>
    <sheet name="Capex" sheetId="41" state="visible" r:id="rId43"/>
  </sheets>
  <definedNames>
    <definedName function="false" hidden="false" localSheetId="7" name="_xlnm.Print_Area" vbProcedure="false">'1'!$B$2:$AR$60</definedName>
    <definedName function="false" hidden="false" localSheetId="1" name="_xlnm.Print_Area" vbProcedure="false">'Cap Stack Control'!$B$2:$AK$55</definedName>
    <definedName function="false" hidden="false" localSheetId="4" name="_xlnm.Print_Area" vbProcedure="false">Rollup!$B$2:$AR$70</definedName>
    <definedName function="false" hidden="false" localSheetId="2" name="_xlnm.Print_Area" vbProcedure="false">'S&amp;U'!$B$2:$L$12</definedName>
    <definedName function="false" hidden="false" localSheetId="5" name="_xlnm.Print_Area" vbProcedure="false">'SSP UW Summary'!$C$2:$Y$29</definedName>
    <definedName function="false" hidden="false" localSheetId="3" name="_xlnm.Print_Area" vbProcedure="false">'UW Drivers'!$B$2:$AG$27</definedName>
  </definedNames>
  <calcPr iterateCount="100" refMode="A1" iterate="tru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<sst xmlns="http://schemas.openxmlformats.org/spreadsheetml/2006/main" count="4916" uniqueCount="264">
  <si>
    <t xml:space="preserve">TEMPLATE INSTRUCTIONS</t>
  </si>
  <si>
    <t xml:space="preserve">STEP</t>
  </si>
  <si>
    <t xml:space="preserve">WHAT TO DO</t>
  </si>
  <si>
    <t xml:space="preserve">1. Tape</t>
  </si>
  <si>
    <t xml:space="preserve">Paste the lender data tape into Tape!B7:ME36 (one asset per row, up to 30 assets). Keep the column order of the header rows 2 to 5.</t>
  </si>
  <si>
    <t xml:space="preserve">Set the nine period labels once in Tape!T5:AB5 (years must be numbers, e.g. 2025). Every other period block, the asset tabs and the Rollup pick them up automatically.</t>
  </si>
  <si>
    <t xml:space="preserve">Row labels in Tape row 2 must match the line item labels in column C of the asset tabs. Do not rename them.</t>
  </si>
  <si>
    <t xml:space="preserve">2. Cap Stack</t>
  </si>
  <si>
    <t xml:space="preserve">Enter the class, rating, size and spread (bps) for each tranche in 'Cap Stack Control'!F15:S22, the index rate in I28, and the IG / Non-IG tag in K28:K35.</t>
  </si>
  <si>
    <t xml:space="preserve">Enter deal name (D4), estimated appraised value (D9) and PIP reserve (D12). SSP hold amounts go in column U.</t>
  </si>
  <si>
    <t xml:space="preserve">3. UW Drivers</t>
  </si>
  <si>
    <t xml:space="preserve">Asset names and history populate from the Tape. Set Sixth Street occupancy in P (defaults to TTM), cap rate in AA, as-is capex / key in AC, franchise fee in AH, and any override NOI margin in X. Set V to No to use the in-place NOI.</t>
  </si>
  <si>
    <t xml:space="preserve">4. Capex</t>
  </si>
  <si>
    <t xml:space="preserve">Optional: paste historical capex by year in Capex!E6:N35. Start year is set in Capex!E5; Rollup!AB1 sets which year is matched to the TTM column.</t>
  </si>
  <si>
    <t xml:space="preserve">5. S&amp;U</t>
  </si>
  <si>
    <t xml:space="preserve">Mortgage loan links to the cap stack total. Enter the uses and sponsor equity; M10 checks that sources equal uses.</t>
  </si>
  <si>
    <t xml:space="preserve">Asset tabs</t>
  </si>
  <si>
    <t xml:space="preserve">Tabs 1 to 30 sit between START and END and pull their asset from the Tape by row order. Unused tabs show dashes and add nothing to the Rollup; they can be deleted. To add assets beyond 30, copy tab 1, rename it with the next number, place it before END, and change the row number inside the formula in C3.</t>
  </si>
  <si>
    <t xml:space="preserve">Colour key</t>
  </si>
  <si>
    <t xml:space="preserve">Blue font = input. Black font = formula. Blank slots show "-" because division formulas are wrapped in IFERROR.</t>
  </si>
  <si>
    <t xml:space="preserve">Deal / Property Info</t>
  </si>
  <si>
    <t xml:space="preserve">Deal Name</t>
  </si>
  <si>
    <t xml:space="preserve">[Deal Name]</t>
  </si>
  <si>
    <t xml:space="preserve">Keys</t>
  </si>
  <si>
    <t xml:space="preserve">TTM NOI</t>
  </si>
  <si>
    <t xml:space="preserve">SSP IP NOI</t>
  </si>
  <si>
    <t xml:space="preserve">SSP Stresed NOI</t>
  </si>
  <si>
    <t xml:space="preserve">Est. Appraised Value</t>
  </si>
  <si>
    <t xml:space="preserve">SSP Stressed Value</t>
  </si>
  <si>
    <t xml:space="preserve">SSP IP Value</t>
  </si>
  <si>
    <t xml:space="preserve">PIP Reserve</t>
  </si>
  <si>
    <t xml:space="preserve">Pricing</t>
  </si>
  <si>
    <t xml:space="preserve">SSP Order</t>
  </si>
  <si>
    <t xml:space="preserve">Class</t>
  </si>
  <si>
    <t xml:space="preserve">Rating (M / KBRA)</t>
  </si>
  <si>
    <t xml:space="preserve">Size</t>
  </si>
  <si>
    <t xml:space="preserve">% of Deal</t>
  </si>
  <si>
    <t xml:space="preserve">Cum.</t>
  </si>
  <si>
    <t xml:space="preserve">% CE</t>
  </si>
  <si>
    <t xml:space="preserve">$ / Key</t>
  </si>
  <si>
    <t xml:space="preserve">SSP In-Place DY</t>
  </si>
  <si>
    <t xml:space="preserve">SSP Stressed DY</t>
  </si>
  <si>
    <t xml:space="preserve">Est. Appr.LTV</t>
  </si>
  <si>
    <t xml:space="preserve">SSP In-Place LTV </t>
  </si>
  <si>
    <t xml:space="preserve">SSP Stressed LTV</t>
  </si>
  <si>
    <t xml:space="preserve">DM</t>
  </si>
  <si>
    <t xml:space="preserve">Cum. DM</t>
  </si>
  <si>
    <t xml:space="preserve">SSP Hold</t>
  </si>
  <si>
    <t xml:space="preserve">% of Class</t>
  </si>
  <si>
    <t xml:space="preserve">Blended DM</t>
  </si>
  <si>
    <t xml:space="preserve">IG Bifurcation</t>
  </si>
  <si>
    <t xml:space="preserve">A</t>
  </si>
  <si>
    <t xml:space="preserve">Portion</t>
  </si>
  <si>
    <t xml:space="preserve">B</t>
  </si>
  <si>
    <t xml:space="preserve">IG</t>
  </si>
  <si>
    <t xml:space="preserve">C</t>
  </si>
  <si>
    <t xml:space="preserve">Non-IG</t>
  </si>
  <si>
    <t xml:space="preserve">D</t>
  </si>
  <si>
    <t xml:space="preserve">Total</t>
  </si>
  <si>
    <t xml:space="preserve">E</t>
  </si>
  <si>
    <t xml:space="preserve">F</t>
  </si>
  <si>
    <t xml:space="preserve">G</t>
  </si>
  <si>
    <t xml:space="preserve">HRR</t>
  </si>
  <si>
    <t xml:space="preserve">-</t>
  </si>
  <si>
    <t xml:space="preserve">Total SASB</t>
  </si>
  <si>
    <t xml:space="preserve">Debt Service Calculations</t>
  </si>
  <si>
    <t xml:space="preserve">Spread</t>
  </si>
  <si>
    <t xml:space="preserve">Index</t>
  </si>
  <si>
    <t xml:space="preserve">Debt Service</t>
  </si>
  <si>
    <t xml:space="preserve">IG Tag</t>
  </si>
  <si>
    <t xml:space="preserve">Project Capitalization</t>
  </si>
  <si>
    <t xml:space="preserve">Sources</t>
  </si>
  <si>
    <t xml:space="preserve">$</t>
  </si>
  <si>
    <t xml:space="preserve">%</t>
  </si>
  <si>
    <t xml:space="preserve">Uses</t>
  </si>
  <si>
    <t xml:space="preserve">Mortgage Loan</t>
  </si>
  <si>
    <t xml:space="preserve">Refinance Existing Debt</t>
  </si>
  <si>
    <t xml:space="preserve">Sponsor Equity</t>
  </si>
  <si>
    <t xml:space="preserve">Upfront PIP Reserve</t>
  </si>
  <si>
    <t xml:space="preserve">Estimated Closing Costs</t>
  </si>
  <si>
    <t xml:space="preserve">Return of Equity to Sponsor</t>
  </si>
  <si>
    <t xml:space="preserve">Total Sources</t>
  </si>
  <si>
    <t xml:space="preserve">Total Uses</t>
  </si>
  <si>
    <t xml:space="preserve">AN6</t>
  </si>
  <si>
    <t xml:space="preserve">X9</t>
  </si>
  <si>
    <t xml:space="preserve">X10</t>
  </si>
  <si>
    <t xml:space="preserve">X11</t>
  </si>
  <si>
    <t xml:space="preserve">AB9</t>
  </si>
  <si>
    <t xml:space="preserve">AB10</t>
  </si>
  <si>
    <t xml:space="preserve">AB11</t>
  </si>
  <si>
    <t xml:space="preserve">AF9</t>
  </si>
  <si>
    <t xml:space="preserve">AF10</t>
  </si>
  <si>
    <t xml:space="preserve">AF11</t>
  </si>
  <si>
    <t xml:space="preserve">AN19</t>
  </si>
  <si>
    <t xml:space="preserve">AN55</t>
  </si>
  <si>
    <t xml:space="preserve">AO55</t>
  </si>
  <si>
    <t xml:space="preserve">Franchise Fee Floor</t>
  </si>
  <si>
    <t xml:space="preserve">CapEx Hit / Key</t>
  </si>
  <si>
    <t xml:space="preserve">Normalized NOI Margin</t>
  </si>
  <si>
    <t xml:space="preserve">Sixth Street UW</t>
  </si>
  <si>
    <t xml:space="preserve">No.</t>
  </si>
  <si>
    <t xml:space="preserve">Asset</t>
  </si>
  <si>
    <t xml:space="preserve">Year Built</t>
  </si>
  <si>
    <t xml:space="preserve">Occ</t>
  </si>
  <si>
    <t xml:space="preserve">ADR</t>
  </si>
  <si>
    <t xml:space="preserve">RevPAR</t>
  </si>
  <si>
    <t xml:space="preserve">Total Revenue</t>
  </si>
  <si>
    <t xml:space="preserve">In-Place NOI</t>
  </si>
  <si>
    <t xml:space="preserve">Natural NOI Margin</t>
  </si>
  <si>
    <t xml:space="preserve">Normalize NOI Margin</t>
  </si>
  <si>
    <t xml:space="preserve">Stressed NOI </t>
  </si>
  <si>
    <t xml:space="preserve">Override NOI Margin</t>
  </si>
  <si>
    <t xml:space="preserve">UW NOI Margin</t>
  </si>
  <si>
    <t xml:space="preserve">Check</t>
  </si>
  <si>
    <t xml:space="preserve">Cap Rate</t>
  </si>
  <si>
    <t xml:space="preserve">Gross Value         (Inc. Capex)</t>
  </si>
  <si>
    <t xml:space="preserve">As-Is Capex 
($ / Key)</t>
  </si>
  <si>
    <t xml:space="preserve">Base Case Property Value</t>
  </si>
  <si>
    <t xml:space="preserve">Stressed Value </t>
  </si>
  <si>
    <t xml:space="preserve">Franchise Fee</t>
  </si>
  <si>
    <t xml:space="preserve">NOI per Key</t>
  </si>
  <si>
    <t xml:space="preserve">Valuation Commentary</t>
  </si>
  <si>
    <t xml:space="preserve">Yes</t>
  </si>
  <si>
    <t xml:space="preserve">Max</t>
  </si>
  <si>
    <t xml:space="preserve">Min</t>
  </si>
  <si>
    <t xml:space="preserve">WAVG</t>
  </si>
  <si>
    <t xml:space="preserve">Sixth Street In-Place UW</t>
  </si>
  <si>
    <t xml:space="preserve">Rooms Available</t>
  </si>
  <si>
    <t xml:space="preserve">Rooms Sold</t>
  </si>
  <si>
    <t xml:space="preserve">Occupancy</t>
  </si>
  <si>
    <t xml:space="preserve">REVENUES</t>
  </si>
  <si>
    <t xml:space="preserve">% Total Rev.</t>
  </si>
  <si>
    <t xml:space="preserve">POR</t>
  </si>
  <si>
    <t xml:space="preserve">PAR</t>
  </si>
  <si>
    <t xml:space="preserve">Rooms Revenue</t>
  </si>
  <si>
    <t xml:space="preserve">Food &amp; Beverage Revenue</t>
  </si>
  <si>
    <t xml:space="preserve">Other Departmental Revenue</t>
  </si>
  <si>
    <t xml:space="preserve">Parking Revenue</t>
  </si>
  <si>
    <t xml:space="preserve">Miscellaneous</t>
  </si>
  <si>
    <t xml:space="preserve">TOTAL REVENUES</t>
  </si>
  <si>
    <t xml:space="preserve">DEPARTMENTAL EXPENSES</t>
  </si>
  <si>
    <t xml:space="preserve">Rooms Expense</t>
  </si>
  <si>
    <t xml:space="preserve">Food &amp; Beverage Expense</t>
  </si>
  <si>
    <t xml:space="preserve">Other Departmental Expense</t>
  </si>
  <si>
    <t xml:space="preserve">TOTAL DEPARTMENTAL EXPENSES</t>
  </si>
  <si>
    <t xml:space="preserve">GROSS OPERATING INCOME</t>
  </si>
  <si>
    <t xml:space="preserve">UNDISTRIBUTED EXPENSES</t>
  </si>
  <si>
    <t xml:space="preserve">General and Administrative</t>
  </si>
  <si>
    <t xml:space="preserve">Credit Card Commissions</t>
  </si>
  <si>
    <t xml:space="preserve">Information &amp; Telecommunication</t>
  </si>
  <si>
    <t xml:space="preserve">Sales &amp; Marketing</t>
  </si>
  <si>
    <t xml:space="preserve">Franchise Fees</t>
  </si>
  <si>
    <t xml:space="preserve">Property Ops./R&amp;M</t>
  </si>
  <si>
    <t xml:space="preserve">Utilities</t>
  </si>
  <si>
    <t xml:space="preserve">TOTAL UNDISTRIBUTED EXPENSES</t>
  </si>
  <si>
    <t xml:space="preserve">GROSS OPERATING PROFIT</t>
  </si>
  <si>
    <t xml:space="preserve">Management Fees</t>
  </si>
  <si>
    <t xml:space="preserve">Management Fee</t>
  </si>
  <si>
    <t xml:space="preserve">Incentive Management Fee</t>
  </si>
  <si>
    <t xml:space="preserve">Fixed Expenses</t>
  </si>
  <si>
    <t xml:space="preserve">Other Fixed Expense</t>
  </si>
  <si>
    <t xml:space="preserve">Rents</t>
  </si>
  <si>
    <t xml:space="preserve">Property Taxes</t>
  </si>
  <si>
    <t xml:space="preserve">Property Insurance</t>
  </si>
  <si>
    <t xml:space="preserve">TOTAL FIXED EXPENSES</t>
  </si>
  <si>
    <t xml:space="preserve">EBITDA</t>
  </si>
  <si>
    <t xml:space="preserve">FF&amp;E Reserves</t>
  </si>
  <si>
    <t xml:space="preserve">NOI</t>
  </si>
  <si>
    <t xml:space="preserve">Capital Expenditures</t>
  </si>
  <si>
    <t xml:space="preserve">Debt Service Through IG Classes</t>
  </si>
  <si>
    <t xml:space="preserve">Cash Flow after IG Debt Service</t>
  </si>
  <si>
    <t xml:space="preserve"> </t>
  </si>
  <si>
    <t xml:space="preserve">Debt Service Through Bottom of Stack</t>
  </si>
  <si>
    <t xml:space="preserve">Cash Flow after All Debt Service</t>
  </si>
  <si>
    <t xml:space="preserve">Cap Rate (Applied to NOI)</t>
  </si>
  <si>
    <t xml:space="preserve">Gross Property Value</t>
  </si>
  <si>
    <t xml:space="preserve">CapEx</t>
  </si>
  <si>
    <t xml:space="preserve">Net Property Value</t>
  </si>
  <si>
    <t xml:space="preserve">IG Bonds DY / DSCR</t>
  </si>
  <si>
    <t xml:space="preserve">Last Dollar Debt DY / DSCR</t>
  </si>
  <si>
    <t xml:space="preserve">IG Bonds LTV</t>
  </si>
  <si>
    <t xml:space="preserve">Last Dollar Mortgage LTV</t>
  </si>
  <si>
    <t xml:space="preserve">Net Cash Flow</t>
  </si>
  <si>
    <t xml:space="preserve">ADD BACK: DISPLACEMENT</t>
  </si>
  <si>
    <t xml:space="preserve">CHECK</t>
  </si>
  <si>
    <t xml:space="preserve">AB55</t>
  </si>
  <si>
    <t xml:space="preserve">AN9</t>
  </si>
  <si>
    <t xml:space="preserve">AN10</t>
  </si>
  <si>
    <t xml:space="preserve">AN11</t>
  </si>
  <si>
    <t xml:space="preserve">AN56</t>
  </si>
  <si>
    <t xml:space="preserve">AN57</t>
  </si>
  <si>
    <t xml:space="preserve">AD3</t>
  </si>
  <si>
    <t xml:space="preserve">Sixth Street Underwriting</t>
  </si>
  <si>
    <t xml:space="preserve">City, State</t>
  </si>
  <si>
    <t xml:space="preserve">Service Type</t>
  </si>
  <si>
    <t xml:space="preserve">CapEx Deduct / Key</t>
  </si>
  <si>
    <t xml:space="preserve">In-Place NOI Margin</t>
  </si>
  <si>
    <t xml:space="preserve">In-Place Value</t>
  </si>
  <si>
    <t xml:space="preserve">In-Place Value / Unit</t>
  </si>
  <si>
    <t xml:space="preserve">% of Total</t>
  </si>
  <si>
    <t xml:space="preserve">Stressed NOI</t>
  </si>
  <si>
    <t xml:space="preserve">Stressed NOI Margin</t>
  </si>
  <si>
    <t xml:space="preserve">Stressed Value</t>
  </si>
  <si>
    <t xml:space="preserve">Stressed Value / Key</t>
  </si>
  <si>
    <t xml:space="preserve">YoY RevPAR</t>
  </si>
  <si>
    <t xml:space="preserve">Total / Wtd. Avg.</t>
  </si>
  <si>
    <t xml:space="preserve">SSP Underwritten IG Detach</t>
  </si>
  <si>
    <t xml:space="preserve">Debt Yield (In-Place / Adj.)</t>
  </si>
  <si>
    <t xml:space="preserve">LTV (In-Place / Adj.)</t>
  </si>
  <si>
    <t xml:space="preserve">Net LTV (In-Place / Adj.)</t>
  </si>
  <si>
    <t xml:space="preserve">2yr RevPAR Growth</t>
  </si>
  <si>
    <t xml:space="preserve">YOY RevPAR Growth</t>
  </si>
  <si>
    <t xml:space="preserve">ROOMS AVAILABLE</t>
  </si>
  <si>
    <t xml:space="preserve">ROOMS SOLD</t>
  </si>
  <si>
    <t xml:space="preserve">OCCUPANCY</t>
  </si>
  <si>
    <t xml:space="preserve">REVPAR</t>
  </si>
  <si>
    <t xml:space="preserve">GROWTH</t>
  </si>
  <si>
    <t xml:space="preserve">Natural Property Value</t>
  </si>
  <si>
    <t xml:space="preserve">Expected Next Buyer CapEx</t>
  </si>
  <si>
    <t xml:space="preserve">Data Tape &amp; Lender UW</t>
  </si>
  <si>
    <t xml:space="preserve">ROOMS REVENUE</t>
  </si>
  <si>
    <t xml:space="preserve">FOOD &amp; BEVERAGE REVENUE</t>
  </si>
  <si>
    <t xml:space="preserve">OTHER DEPARTMENTAL REVENUE</t>
  </si>
  <si>
    <t xml:space="preserve">PARKING REVENUE</t>
  </si>
  <si>
    <t xml:space="preserve">MISCELLANEOUS</t>
  </si>
  <si>
    <t xml:space="preserve">TOTAL DEPARTMENTAL REVENUE</t>
  </si>
  <si>
    <t xml:space="preserve">ROOMS EXPENSE</t>
  </si>
  <si>
    <t xml:space="preserve">FOOD &amp; BEVERAGE EXPENSE</t>
  </si>
  <si>
    <t xml:space="preserve">OTHER DEPARTMENTAL EXPENSE</t>
  </si>
  <si>
    <t xml:space="preserve">TOTAL DEPARTMENTAL PROFIT</t>
  </si>
  <si>
    <t xml:space="preserve">GENERAL AND ADMINISTRATIVE</t>
  </si>
  <si>
    <t xml:space="preserve">CREDIT CARD COMMISSIONS</t>
  </si>
  <si>
    <t xml:space="preserve">SALES &amp; MARKETING</t>
  </si>
  <si>
    <t xml:space="preserve">PROPERTY OPS./R&amp;M</t>
  </si>
  <si>
    <t xml:space="preserve">UTILITIES</t>
  </si>
  <si>
    <t xml:space="preserve">FRANCHISE FEES</t>
  </si>
  <si>
    <t xml:space="preserve">Income Before Fixed Expenses</t>
  </si>
  <si>
    <t xml:space="preserve">PROPERTY TAXES</t>
  </si>
  <si>
    <t xml:space="preserve">PROPERTY INSURANCE</t>
  </si>
  <si>
    <t xml:space="preserve">OTHER FIXED EXPENSE</t>
  </si>
  <si>
    <t xml:space="preserve">NET OPERATING INCOME</t>
  </si>
  <si>
    <t xml:space="preserve">NET CASH FLOW</t>
  </si>
  <si>
    <t xml:space="preserve">ADDRESS</t>
  </si>
  <si>
    <t xml:space="preserve">PROPERTY INFORMATION</t>
  </si>
  <si>
    <t xml:space="preserve">MANAGEMENT INFORMATION</t>
  </si>
  <si>
    <t xml:space="preserve">ID</t>
  </si>
  <si>
    <t xml:space="preserve">Property Name</t>
  </si>
  <si>
    <t xml:space="preserve">Address</t>
  </si>
  <si>
    <t xml:space="preserve">City</t>
  </si>
  <si>
    <t xml:space="preserve">State</t>
  </si>
  <si>
    <t xml:space="preserve">Zip Code</t>
  </si>
  <si>
    <t xml:space="preserve">CoStar Submarket</t>
  </si>
  <si>
    <t xml:space="preserve">Ownership</t>
  </si>
  <si>
    <t xml:space="preserve">Flag</t>
  </si>
  <si>
    <t xml:space="preserve">Flag Expiration</t>
  </si>
  <si>
    <t xml:space="preserve">Flag / Manager</t>
  </si>
  <si>
    <t xml:space="preserve">Manager</t>
  </si>
  <si>
    <t xml:space="preserve">Mgmt. 
Start date</t>
  </si>
  <si>
    <t xml:space="preserve">Mgmt. 
End Date</t>
  </si>
  <si>
    <t xml:space="preserve">TTM</t>
  </si>
  <si>
    <t xml:space="preserve">Reforecast</t>
  </si>
  <si>
    <t xml:space="preserve">Lender UW</t>
  </si>
  <si>
    <t xml:space="preserve">Portfolio</t>
  </si>
  <si>
    <t xml:space="preserve">Total last 5</t>
  </si>
</sst>
</file>

<file path=xl/styles.xml><?xml version="1.0" encoding="utf-8"?>
<styleSheet xmlns="http://schemas.openxmlformats.org/spreadsheetml/2006/main">
  <numFmts count="28">
    <numFmt numFmtId="164" formatCode="General"/>
    <numFmt numFmtId="165" formatCode="_(* #,##0.00_);_(* \(#,##0.00\);_(* \-??_);_(@_)"/>
    <numFmt numFmtId="166" formatCode="_(\$* #,##0.00_);_(\$* \(#,##0.00\);_(\$* \-??_);_(@_)"/>
    <numFmt numFmtId="167" formatCode="0%"/>
    <numFmt numFmtId="168" formatCode="0.0%"/>
    <numFmt numFmtId="169" formatCode="_(\$* #,##0.00_);_(\$* \(#,##0.00\);_(\$* \-??_);_(@_)"/>
    <numFmt numFmtId="170" formatCode="_(* #,##0_);_(* \(#,##0\);_(* \-??_);_(@_)"/>
    <numFmt numFmtId="171" formatCode="\$#,##0;&quot;($&quot;#,##0\);\-"/>
    <numFmt numFmtId="172" formatCode="0"/>
    <numFmt numFmtId="173" formatCode="\$#,##0"/>
    <numFmt numFmtId="174" formatCode="0.0%;\(0.0%\);\-"/>
    <numFmt numFmtId="175" formatCode="#,##0;\(#,##0\);\-"/>
    <numFmt numFmtId="176" formatCode="0.00%"/>
    <numFmt numFmtId="177" formatCode="General"/>
    <numFmt numFmtId="178" formatCode="0.00%;\(0.00%\);\-"/>
    <numFmt numFmtId="179" formatCode="_([$$-409]* #,##0.00_);_([$$-409]* \(#,##0.00\);_([$$-409]* \-??_);_(@_)"/>
    <numFmt numFmtId="180" formatCode="\$#,##0.00"/>
    <numFmt numFmtId="181" formatCode="#,##0"/>
    <numFmt numFmtId="182" formatCode="\$#,##0.0_);[RED]&quot;($&quot;#,##0.0\)"/>
    <numFmt numFmtId="183" formatCode="\$#,##0_);[RED]&quot;($&quot;#,##0\)"/>
    <numFmt numFmtId="184" formatCode="\$_(#,##0_);&quot;$(&quot;#,##0\)"/>
    <numFmt numFmtId="185" formatCode="General_)"/>
    <numFmt numFmtId="186" formatCode="\$#,##0.00_);&quot;($&quot;#,##0.00\)"/>
    <numFmt numFmtId="187" formatCode="\$#,##0_);&quot;($&quot;#,##0\)"/>
    <numFmt numFmtId="188" formatCode="m/d/yyyy"/>
    <numFmt numFmtId="189" formatCode="yyyy"/>
    <numFmt numFmtId="190" formatCode="\$#,##0.00_);[RED]&quot;($&quot;#,##0.00\)"/>
    <numFmt numFmtId="191" formatCode="&quot;Leasehold&quot;;&quot;-ERROR-&quot;;&quot;Fee Simple&quot;"/>
  </numFmts>
  <fonts count="73">
    <font>
      <sz val="11"/>
      <color theme="1"/>
      <name val="Aptos Narrow"/>
      <family val="2"/>
      <charset val="1"/>
    </font>
    <font>
      <sz val="10"/>
      <name val="Arial"/>
      <family val="0"/>
    </font>
    <font>
      <sz val="10"/>
      <name val="Arial"/>
      <family val="0"/>
    </font>
    <font>
      <sz val="10"/>
      <name val="Arial"/>
      <family val="0"/>
    </font>
    <font>
      <sz val="9"/>
      <color theme="1"/>
      <name val="Arial"/>
      <family val="2"/>
      <charset val="1"/>
    </font>
    <font>
      <sz val="10"/>
      <name val="Arial"/>
      <family val="2"/>
      <charset val="1"/>
    </font>
    <font>
      <sz val="8"/>
      <color theme="1"/>
      <name val="Arial"/>
      <family val="2"/>
      <charset val="1"/>
    </font>
    <font>
      <sz val="10"/>
      <color theme="1"/>
      <name val="Arial"/>
      <family val="2"/>
      <charset val="1"/>
    </font>
    <font>
      <sz val="10"/>
      <color theme="1"/>
      <name val="Aptos Narrow"/>
      <family val="2"/>
      <charset val="1"/>
    </font>
    <font>
      <sz val="10"/>
      <name val="Verdana"/>
      <family val="2"/>
      <charset val="1"/>
    </font>
    <font>
      <b val="true"/>
      <sz val="10"/>
      <color rgb="FFFFFFFF"/>
      <name val="Calibri"/>
      <family val="0"/>
      <charset val="1"/>
    </font>
    <font>
      <b val="true"/>
      <sz val="10"/>
      <name val="Calibri"/>
      <family val="0"/>
      <charset val="1"/>
    </font>
    <font>
      <sz val="10"/>
      <name val="Calibri"/>
      <family val="0"/>
      <charset val="1"/>
    </font>
    <font>
      <sz val="11"/>
      <color theme="1"/>
      <name val="Calibri"/>
      <family val="2"/>
      <charset val="1"/>
    </font>
    <font>
      <b val="true"/>
      <u val="single"/>
      <sz val="11"/>
      <color theme="0"/>
      <name val="Calibri"/>
      <family val="2"/>
      <charset val="1"/>
    </font>
    <font>
      <sz val="10"/>
      <color theme="1"/>
      <name val="Calibri"/>
      <family val="2"/>
      <charset val="1"/>
    </font>
    <font>
      <sz val="11"/>
      <color rgb="FF0000FF"/>
      <name val="Calibri"/>
      <family val="2"/>
      <charset val="1"/>
    </font>
    <font>
      <sz val="11"/>
      <color rgb="FF2F8E6D"/>
      <name val="Calibri"/>
      <family val="2"/>
      <charset val="1"/>
    </font>
    <font>
      <sz val="11"/>
      <name val="Calibri"/>
      <family val="2"/>
      <charset val="1"/>
    </font>
    <font>
      <sz val="11"/>
      <color theme="0"/>
      <name val="Calibri"/>
      <family val="2"/>
      <charset val="1"/>
    </font>
    <font>
      <b val="true"/>
      <u val="single"/>
      <sz val="11"/>
      <name val="Calibri"/>
      <family val="2"/>
      <charset val="1"/>
    </font>
    <font>
      <b val="true"/>
      <sz val="11"/>
      <color theme="1"/>
      <name val="Calibri"/>
      <family val="2"/>
      <charset val="1"/>
    </font>
    <font>
      <sz val="11"/>
      <color rgb="FF000000"/>
      <name val="Calibri"/>
      <family val="2"/>
      <charset val="1"/>
    </font>
    <font>
      <b val="true"/>
      <sz val="11"/>
      <name val="Calibri"/>
      <family val="2"/>
      <charset val="1"/>
    </font>
    <font>
      <b val="true"/>
      <sz val="11"/>
      <color rgb="FF000000"/>
      <name val="Calibri"/>
      <family val="2"/>
      <charset val="1"/>
    </font>
    <font>
      <i val="true"/>
      <sz val="11"/>
      <color theme="1"/>
      <name val="Calibri"/>
      <family val="2"/>
      <charset val="1"/>
    </font>
    <font>
      <b val="true"/>
      <i val="true"/>
      <sz val="11"/>
      <color theme="1"/>
      <name val="Calibri"/>
      <family val="2"/>
      <charset val="1"/>
    </font>
    <font>
      <b val="true"/>
      <sz val="11"/>
      <color theme="0"/>
      <name val="Calibri"/>
      <family val="2"/>
      <charset val="1"/>
    </font>
    <font>
      <i val="true"/>
      <sz val="10"/>
      <color theme="1"/>
      <name val="Calibri"/>
      <family val="2"/>
      <charset val="1"/>
    </font>
    <font>
      <b val="true"/>
      <u val="single"/>
      <sz val="11"/>
      <color theme="1"/>
      <name val="Calibri"/>
      <family val="2"/>
      <charset val="1"/>
    </font>
    <font>
      <sz val="11"/>
      <color rgb="FF0C1C2D"/>
      <name val="Calibri"/>
      <family val="2"/>
      <charset val="1"/>
    </font>
    <font>
      <sz val="11"/>
      <name val="Aptos Narrow"/>
      <family val="2"/>
      <charset val="1"/>
    </font>
    <font>
      <b val="true"/>
      <sz val="11"/>
      <name val="Aptos Narrow"/>
      <family val="2"/>
      <charset val="1"/>
    </font>
    <font>
      <b val="true"/>
      <sz val="11"/>
      <color rgb="FF000000"/>
      <name val="Aptos Narrow"/>
      <family val="2"/>
      <charset val="1"/>
    </font>
    <font>
      <b val="true"/>
      <sz val="11"/>
      <color theme="1"/>
      <name val="Aptos Narrow"/>
      <family val="2"/>
      <charset val="1"/>
    </font>
    <font>
      <sz val="11"/>
      <color rgb="FF000000"/>
      <name val="Aptos Narrow"/>
      <family val="2"/>
      <charset val="1"/>
    </font>
    <font>
      <b val="true"/>
      <sz val="10"/>
      <color theme="0"/>
      <name val="Aptos Narrow"/>
      <family val="2"/>
      <charset val="1"/>
    </font>
    <font>
      <b val="true"/>
      <sz val="11"/>
      <color theme="0"/>
      <name val="Aptos Narrow"/>
      <family val="2"/>
      <charset val="1"/>
    </font>
    <font>
      <b val="true"/>
      <i val="true"/>
      <sz val="11"/>
      <name val="Aptos Narrow"/>
      <family val="2"/>
      <charset val="1"/>
    </font>
    <font>
      <sz val="11"/>
      <color rgb="FF2F8E6D"/>
      <name val="Aptos Narrow"/>
      <family val="2"/>
      <charset val="1"/>
    </font>
    <font>
      <sz val="11"/>
      <color rgb="FF0C1C2D"/>
      <name val="Aptos Narrow"/>
      <family val="2"/>
      <charset val="1"/>
    </font>
    <font>
      <b val="true"/>
      <sz val="11"/>
      <color theme="0"/>
      <name val="Wells Fargo Sans"/>
      <family val="2"/>
      <charset val="1"/>
    </font>
    <font>
      <b val="true"/>
      <sz val="10"/>
      <color theme="1"/>
      <name val="Wells Fargo Sans"/>
      <family val="2"/>
      <charset val="1"/>
    </font>
    <font>
      <b val="true"/>
      <sz val="10"/>
      <color rgb="FF0000FF"/>
      <name val="Wells Fargo Sans"/>
      <family val="2"/>
      <charset val="1"/>
    </font>
    <font>
      <b val="true"/>
      <sz val="10"/>
      <color rgb="FF0C1C2D"/>
      <name val="Wells Fargo Sans"/>
      <family val="2"/>
      <charset val="1"/>
    </font>
    <font>
      <sz val="10"/>
      <color rgb="FF0000FF"/>
      <name val="Wells Fargo Sans"/>
      <family val="2"/>
      <charset val="1"/>
    </font>
    <font>
      <b val="true"/>
      <sz val="10"/>
      <color rgb="FF000000"/>
      <name val="Wells Fargo Sans"/>
      <family val="2"/>
      <charset val="1"/>
    </font>
    <font>
      <sz val="10"/>
      <color rgb="FF000000"/>
      <name val="Wells Fargo Sans"/>
      <family val="2"/>
      <charset val="1"/>
    </font>
    <font>
      <sz val="10"/>
      <color theme="1"/>
      <name val="Wells Fargo Sans"/>
      <family val="2"/>
      <charset val="1"/>
    </font>
    <font>
      <i val="true"/>
      <sz val="10"/>
      <color theme="1"/>
      <name val="Wells Fargo Sans"/>
      <family val="2"/>
      <charset val="1"/>
    </font>
    <font>
      <sz val="11"/>
      <color rgb="FF0000FF"/>
      <name val="Aptos Narrow"/>
      <family val="2"/>
      <charset val="1"/>
    </font>
    <font>
      <sz val="10"/>
      <color rgb="FF0C1C2D"/>
      <name val="Wells Fargo Sans"/>
      <family val="2"/>
      <charset val="1"/>
    </font>
    <font>
      <b val="true"/>
      <u val="single"/>
      <sz val="12"/>
      <color theme="0"/>
      <name val="Aptos Narrow"/>
      <family val="2"/>
      <charset val="1"/>
    </font>
    <font>
      <b val="true"/>
      <sz val="12"/>
      <color theme="1"/>
      <name val="Aptos Narrow"/>
      <family val="2"/>
      <charset val="1"/>
    </font>
    <font>
      <sz val="12"/>
      <color theme="1"/>
      <name val="Aptos Narrow"/>
      <family val="2"/>
      <charset val="1"/>
    </font>
    <font>
      <b val="true"/>
      <u val="single"/>
      <sz val="12"/>
      <color theme="1"/>
      <name val="Aptos Narrow"/>
      <family val="2"/>
      <charset val="1"/>
    </font>
    <font>
      <sz val="12"/>
      <color theme="0"/>
      <name val="Aptos Narrow"/>
      <family val="2"/>
      <charset val="1"/>
    </font>
    <font>
      <b val="true"/>
      <sz val="10"/>
      <name val="Aptos Narrow"/>
      <family val="2"/>
      <charset val="1"/>
    </font>
    <font>
      <sz val="11"/>
      <color rgb="FF3F3F76"/>
      <name val="Aptos Narrow"/>
      <family val="2"/>
      <charset val="1"/>
    </font>
    <font>
      <b val="true"/>
      <sz val="11"/>
      <color rgb="FF3F3F76"/>
      <name val="Aptos Narrow"/>
      <family val="2"/>
      <charset val="1"/>
    </font>
    <font>
      <b val="true"/>
      <sz val="11"/>
      <color rgb="FF0C1C2D"/>
      <name val="Aptos Narrow"/>
      <family val="2"/>
      <charset val="1"/>
    </font>
    <font>
      <b val="true"/>
      <sz val="11"/>
      <color rgb="FF2F8E6D"/>
      <name val="Aptos Narrow"/>
      <family val="2"/>
      <charset val="1"/>
    </font>
    <font>
      <sz val="8"/>
      <color theme="1"/>
      <name val="Wells Fargo Sans"/>
      <family val="2"/>
      <charset val="1"/>
    </font>
    <font>
      <b val="true"/>
      <sz val="8"/>
      <name val="Aptos Narrow"/>
      <family val="2"/>
      <charset val="1"/>
    </font>
    <font>
      <sz val="8"/>
      <name val="Wells Fargo Sans"/>
      <family val="2"/>
      <charset val="1"/>
    </font>
    <font>
      <sz val="8"/>
      <name val="Aptos Narrow"/>
      <family val="2"/>
      <charset val="1"/>
    </font>
    <font>
      <sz val="8"/>
      <color theme="0" tint="-0.05"/>
      <name val="Aptos Narrow"/>
      <family val="2"/>
      <charset val="1"/>
    </font>
    <font>
      <sz val="8"/>
      <color theme="1"/>
      <name val="Aptos Narrow"/>
      <family val="2"/>
      <charset val="1"/>
    </font>
    <font>
      <b val="true"/>
      <sz val="8"/>
      <color theme="1"/>
      <name val="Aptos Narrow"/>
      <family val="2"/>
      <charset val="1"/>
    </font>
    <font>
      <sz val="8"/>
      <color theme="0"/>
      <name val="Aptos Narrow"/>
      <family val="2"/>
      <charset val="1"/>
    </font>
    <font>
      <sz val="8"/>
      <color theme="0"/>
      <name val="Wells Fargo Sans"/>
      <family val="2"/>
      <charset val="1"/>
    </font>
    <font>
      <b val="true"/>
      <sz val="8"/>
      <color theme="0"/>
      <name val="Aptos Narrow"/>
      <family val="2"/>
      <charset val="1"/>
    </font>
    <font>
      <b val="true"/>
      <sz val="8"/>
      <color theme="1"/>
      <name val="Wells Fargo Sans"/>
      <family val="2"/>
      <charset val="1"/>
    </font>
  </fonts>
  <fills count="13">
    <fill>
      <patternFill patternType="none"/>
    </fill>
    <fill>
      <patternFill patternType="gray125"/>
    </fill>
    <fill>
      <patternFill patternType="solid">
        <fgColor rgb="FFFFFFCC"/>
        <bgColor rgb="FFFFFFFF"/>
      </patternFill>
    </fill>
    <fill>
      <patternFill patternType="solid">
        <fgColor rgb="FFFFCC99"/>
        <bgColor rgb="FFF2DCDB"/>
      </patternFill>
    </fill>
    <fill>
      <patternFill patternType="solid">
        <fgColor rgb="FF0F2F51"/>
        <bgColor rgb="FF002060"/>
      </patternFill>
    </fill>
    <fill>
      <patternFill patternType="solid">
        <fgColor rgb="FFF2F2F2"/>
        <bgColor rgb="FFE8E8E8"/>
      </patternFill>
    </fill>
    <fill>
      <patternFill patternType="solid">
        <fgColor theme="0"/>
        <bgColor rgb="FFF2F2F2"/>
      </patternFill>
    </fill>
    <fill>
      <patternFill patternType="solid">
        <fgColor rgb="FFD9E1F2"/>
        <bgColor rgb="FFDCEAF7"/>
      </patternFill>
    </fill>
    <fill>
      <patternFill patternType="solid">
        <fgColor rgb="FFE2EFDA"/>
        <bgColor rgb="FFD9F2D0"/>
      </patternFill>
    </fill>
    <fill>
      <patternFill patternType="solid">
        <fgColor rgb="FFF2DCDB"/>
        <bgColor rgb="FFFBE3D6"/>
      </patternFill>
    </fill>
    <fill>
      <patternFill patternType="solid">
        <fgColor theme="2"/>
        <bgColor rgb="FFE2EFDA"/>
      </patternFill>
    </fill>
    <fill>
      <patternFill patternType="solid">
        <fgColor rgb="FF002060"/>
        <bgColor rgb="FF0F2F51"/>
      </patternFill>
    </fill>
    <fill>
      <patternFill patternType="solid">
        <fgColor rgb="FF352B6B"/>
        <bgColor rgb="FF3F3F76"/>
      </patternFill>
    </fill>
  </fills>
  <borders count="50">
    <border diagonalUp="false" diagonalDown="false">
      <left/>
      <right/>
      <top/>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right style="thin"/>
      <top style="thin"/>
      <bottom/>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style="thin">
        <color theme="0" tint="-0.05"/>
      </top>
      <bottom/>
      <diagonal/>
    </border>
    <border diagonalUp="false" diagonalDown="false">
      <left/>
      <right style="thin"/>
      <top style="thin">
        <color theme="0" tint="-0.05"/>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mediumDashed">
        <color rgb="FFFF0000"/>
      </left>
      <right/>
      <top style="mediumDashed">
        <color rgb="FFFF0000"/>
      </top>
      <bottom/>
      <diagonal/>
    </border>
    <border diagonalUp="false" diagonalDown="false">
      <left/>
      <right/>
      <top style="mediumDashed">
        <color rgb="FFFF0000"/>
      </top>
      <bottom/>
      <diagonal/>
    </border>
    <border diagonalUp="false" diagonalDown="false">
      <left/>
      <right style="thin"/>
      <top style="mediumDashed">
        <color rgb="FFFF0000"/>
      </top>
      <bottom/>
      <diagonal/>
    </border>
    <border diagonalUp="false" diagonalDown="false">
      <left style="thin"/>
      <right/>
      <top style="mediumDashed">
        <color rgb="FFFF0000"/>
      </top>
      <bottom/>
      <diagonal/>
    </border>
    <border diagonalUp="false" diagonalDown="false">
      <left/>
      <right style="mediumDashed">
        <color rgb="FFFF0000"/>
      </right>
      <top style="mediumDashed">
        <color rgb="FFFF0000"/>
      </top>
      <bottom/>
      <diagonal/>
    </border>
    <border diagonalUp="false" diagonalDown="false">
      <left style="mediumDashed">
        <color rgb="FFFF0000"/>
      </left>
      <right/>
      <top/>
      <bottom/>
      <diagonal/>
    </border>
    <border diagonalUp="false" diagonalDown="false">
      <left/>
      <right style="mediumDashed">
        <color rgb="FFFF0000"/>
      </right>
      <top/>
      <bottom/>
      <diagonal/>
    </border>
    <border diagonalUp="false" diagonalDown="false">
      <left/>
      <right/>
      <top/>
      <bottom style="mediumDashed">
        <color rgb="FFFF0000"/>
      </bottom>
      <diagonal/>
    </border>
    <border diagonalUp="false" diagonalDown="false">
      <left/>
      <right style="mediumDashed">
        <color rgb="FFFF0000"/>
      </right>
      <top/>
      <bottom style="mediumDashed">
        <color rgb="FFFF0000"/>
      </bottom>
      <diagonal/>
    </border>
    <border diagonalUp="false" diagonalDown="false">
      <left style="mediumDashed">
        <color rgb="FFFF0000"/>
      </left>
      <right/>
      <top/>
      <bottom style="mediumDashed">
        <color rgb="FFFF0000"/>
      </bottom>
      <diagonal/>
    </border>
    <border diagonalUp="false" diagonalDown="false">
      <left/>
      <right style="thin"/>
      <top/>
      <bottom style="mediumDashed">
        <color rgb="FFFF0000"/>
      </bottom>
      <diagonal/>
    </border>
    <border diagonalUp="false" diagonalDown="false">
      <left style="thin"/>
      <right/>
      <top/>
      <bottom style="mediumDashed">
        <color rgb="FFFF0000"/>
      </bottom>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thin"/>
      <top/>
      <bottom/>
      <diagonal/>
    </border>
    <border diagonalUp="false" diagonalDown="false">
      <left style="medium"/>
      <right/>
      <top style="medium"/>
      <bottom/>
      <diagonal/>
    </border>
    <border diagonalUp="false" diagonalDown="false">
      <left/>
      <right/>
      <top style="medium"/>
      <bottom/>
      <diagonal/>
    </border>
    <border diagonalUp="false" diagonalDown="false">
      <left/>
      <right style="slantDashDot"/>
      <top style="medium"/>
      <bottom/>
      <diagonal/>
    </border>
    <border diagonalUp="false" diagonalDown="false">
      <left style="slantDashDot"/>
      <right/>
      <top style="medium"/>
      <bottom/>
      <diagonal/>
    </border>
    <border diagonalUp="false" diagonalDown="false">
      <left style="slantDashDot"/>
      <right/>
      <top style="medium"/>
      <bottom style="medium"/>
      <diagonal/>
    </border>
    <border diagonalUp="false" diagonalDown="false">
      <left/>
      <right/>
      <top style="medium"/>
      <bottom style="medium"/>
      <diagonal/>
    </border>
    <border diagonalUp="false" diagonalDown="false">
      <left/>
      <right style="medium"/>
      <top style="medium"/>
      <bottom/>
      <diagonal/>
    </border>
    <border diagonalUp="false" diagonalDown="false">
      <left style="medium"/>
      <right/>
      <top style="thin"/>
      <bottom style="double"/>
      <diagonal/>
    </border>
    <border diagonalUp="false" diagonalDown="false">
      <left/>
      <right/>
      <top style="thin"/>
      <bottom style="double"/>
      <diagonal/>
    </border>
    <border diagonalUp="false" diagonalDown="false">
      <left/>
      <right style="slantDashDot"/>
      <top style="thin"/>
      <bottom style="double"/>
      <diagonal/>
    </border>
    <border diagonalUp="false" diagonalDown="false">
      <left style="slantDashDot"/>
      <right/>
      <top style="thin"/>
      <bottom style="double"/>
      <diagonal/>
    </border>
    <border diagonalUp="false" diagonalDown="false">
      <left/>
      <right/>
      <top/>
      <bottom style="double"/>
      <diagonal/>
    </border>
    <border diagonalUp="false" diagonalDown="false">
      <left/>
      <right style="slantDashDot"/>
      <top/>
      <bottom style="double"/>
      <diagonal/>
    </border>
    <border diagonalUp="false" diagonalDown="false">
      <left/>
      <right style="medium"/>
      <top style="thin"/>
      <bottom style="double"/>
      <diagonal/>
    </border>
    <border diagonalUp="false" diagonalDown="false">
      <left style="medium"/>
      <right/>
      <top/>
      <bottom/>
      <diagonal/>
    </border>
    <border diagonalUp="false" diagonalDown="false">
      <left/>
      <right style="slantDashDot"/>
      <top/>
      <bottom/>
      <diagonal/>
    </border>
    <border diagonalUp="false" diagonalDown="false">
      <left style="slantDashDot"/>
      <right/>
      <top/>
      <bottom/>
      <diagonal/>
    </border>
    <border diagonalUp="false" diagonalDown="false">
      <left/>
      <right style="medium"/>
      <top/>
      <bottom/>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7" fontId="8" fillId="0" borderId="0" applyFont="true" applyBorder="true" applyAlignment="true" applyProtection="true">
      <alignment horizontal="general" vertical="bottom" textRotation="0" wrapText="false" indent="0" shrinkToFit="false"/>
      <protection locked="true" hidden="false"/>
    </xf>
    <xf numFmtId="168" fontId="9" fillId="0" borderId="0" applyFont="true" applyBorder="true" applyAlignment="true" applyProtection="true">
      <alignment horizontal="general" vertical="bottom" textRotation="0" wrapText="false" indent="0" shrinkToFit="false"/>
      <protection locked="true" hidden="false"/>
    </xf>
    <xf numFmtId="164" fontId="0" fillId="2" borderId="1" applyFont="true" applyBorder="true" applyAlignment="true" applyProtection="true">
      <alignment horizontal="general" vertical="bottom" textRotation="0" wrapText="false" indent="0" shrinkToFit="false"/>
      <protection locked="true" hidden="false"/>
    </xf>
    <xf numFmtId="164" fontId="58" fillId="3" borderId="2" applyFont="true" applyBorder="true" applyAlignment="true" applyProtection="true">
      <alignment horizontal="general" vertical="bottom" textRotation="0" wrapText="false" indent="0" shrinkToFit="false"/>
      <protection locked="true" hidden="false"/>
    </xf>
  </cellStyleXfs>
  <cellXfs count="599">
    <xf numFmtId="164" fontId="0" fillId="0" borderId="0" xfId="0" applyFont="false" applyBorder="false" applyAlignment="false" applyProtection="false">
      <alignment horizontal="general" vertical="bottom"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false" applyAlignment="true" applyProtection="false">
      <alignment horizontal="general" vertical="top" textRotation="0" wrapText="true" indent="0" shrinkToFit="false"/>
      <protection locked="true" hidden="false"/>
    </xf>
    <xf numFmtId="164" fontId="12" fillId="5"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14" fillId="4" borderId="3"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3" fillId="0" borderId="4" xfId="0" applyFont="true" applyBorder="true" applyAlignment="true" applyProtection="false">
      <alignment horizontal="general" vertical="center" textRotation="0" wrapText="false" indent="0" shrinkToFit="false"/>
      <protection locked="true" hidden="false"/>
    </xf>
    <xf numFmtId="164" fontId="16" fillId="0" borderId="5" xfId="0" applyFont="true" applyBorder="true" applyAlignment="true" applyProtection="false">
      <alignment horizontal="right" vertical="center" textRotation="0" wrapText="false" indent="0" shrinkToFit="false"/>
      <protection locked="true" hidden="false"/>
    </xf>
    <xf numFmtId="170" fontId="17" fillId="0" borderId="5" xfId="0" applyFont="true" applyBorder="true" applyAlignment="true" applyProtection="false">
      <alignment horizontal="right" vertical="center" textRotation="0" wrapText="false" indent="0" shrinkToFit="false"/>
      <protection locked="true" hidden="false"/>
    </xf>
    <xf numFmtId="164" fontId="18" fillId="6" borderId="4" xfId="0" applyFont="true" applyBorder="true" applyAlignment="true" applyProtection="false">
      <alignment horizontal="left" vertical="center" textRotation="0" wrapText="false" indent="0" shrinkToFit="false"/>
      <protection locked="true" hidden="false"/>
    </xf>
    <xf numFmtId="171" fontId="17" fillId="6" borderId="5" xfId="0" applyFont="true" applyBorder="true" applyAlignment="true" applyProtection="false">
      <alignment horizontal="right" vertical="center" textRotation="0" wrapText="false" indent="0" shrinkToFit="false"/>
      <protection locked="true" hidden="false"/>
    </xf>
    <xf numFmtId="171" fontId="17" fillId="0" borderId="5" xfId="15" applyFont="true" applyBorder="true" applyAlignment="true" applyProtection="false">
      <alignment horizontal="right" vertical="center" textRotation="0" wrapText="false" indent="0" shrinkToFit="false"/>
      <protection locked="true" hidden="false"/>
    </xf>
    <xf numFmtId="171" fontId="16" fillId="0" borderId="5" xfId="15" applyFont="true" applyBorder="true" applyAlignment="true" applyProtection="false">
      <alignment horizontal="right" vertical="center" textRotation="0" wrapText="false" indent="0" shrinkToFit="false"/>
      <protection locked="true" hidden="false"/>
    </xf>
    <xf numFmtId="164" fontId="18" fillId="6" borderId="6" xfId="0" applyFont="true" applyBorder="true" applyAlignment="true" applyProtection="false">
      <alignment horizontal="left" vertical="center" textRotation="0" wrapText="false" indent="0" shrinkToFit="false"/>
      <protection locked="true" hidden="false"/>
    </xf>
    <xf numFmtId="171" fontId="17" fillId="0" borderId="7" xfId="15" applyFont="true" applyBorder="true" applyAlignment="true" applyProtection="false">
      <alignment horizontal="right" vertical="center" textRotation="0" wrapText="false" indent="0" shrinkToFit="false"/>
      <protection locked="true" hidden="false"/>
    </xf>
    <xf numFmtId="169" fontId="14" fillId="4" borderId="8" xfId="0" applyFont="true" applyBorder="true" applyAlignment="true" applyProtection="false">
      <alignment horizontal="center" vertical="bottom" textRotation="0" wrapText="false" indent="0" shrinkToFit="false"/>
      <protection locked="true" hidden="false"/>
    </xf>
    <xf numFmtId="164" fontId="18" fillId="6" borderId="0" xfId="0" applyFont="true" applyBorder="false" applyAlignment="true" applyProtection="false">
      <alignment horizontal="left" vertical="center" textRotation="0" wrapText="false" indent="0" shrinkToFit="false"/>
      <protection locked="true" hidden="false"/>
    </xf>
    <xf numFmtId="171" fontId="16" fillId="0" borderId="0" xfId="15" applyFont="true" applyBorder="false" applyAlignment="true" applyProtection="false">
      <alignment horizontal="right" vertical="center" textRotation="0" wrapText="false" indent="0" shrinkToFit="false"/>
      <protection locked="true" hidden="false"/>
    </xf>
    <xf numFmtId="169" fontId="14" fillId="5" borderId="8" xfId="0" applyFont="true" applyBorder="true" applyAlignment="true" applyProtection="false">
      <alignment horizontal="center" vertical="bottom" textRotation="0" wrapText="false" indent="0" shrinkToFit="false"/>
      <protection locked="true" hidden="false"/>
    </xf>
    <xf numFmtId="164" fontId="19" fillId="5" borderId="9" xfId="0" applyFont="true" applyBorder="true" applyAlignment="true" applyProtection="false">
      <alignment horizontal="center" vertical="bottom" textRotation="0" wrapText="false" indent="0" shrinkToFit="false"/>
      <protection locked="true" hidden="false"/>
    </xf>
    <xf numFmtId="164" fontId="19" fillId="5" borderId="10" xfId="0" applyFont="true" applyBorder="true" applyAlignment="true" applyProtection="false">
      <alignment horizontal="center" vertical="bottom" textRotation="0" wrapText="false" indent="0" shrinkToFit="false"/>
      <protection locked="true" hidden="false"/>
    </xf>
    <xf numFmtId="165" fontId="20" fillId="5" borderId="3" xfId="15" applyFont="true" applyBorder="true" applyAlignment="true" applyProtection="false">
      <alignment horizontal="center" vertical="bottom" textRotation="0" wrapText="false" indent="0" shrinkToFit="false"/>
      <protection locked="true" hidden="false"/>
    </xf>
    <xf numFmtId="165" fontId="20" fillId="5" borderId="10" xfId="15" applyFont="true" applyBorder="true" applyAlignment="true" applyProtection="false">
      <alignment horizontal="center" vertical="bottom" textRotation="0" wrapText="false" indent="0" shrinkToFit="false"/>
      <protection locked="true" hidden="false"/>
    </xf>
    <xf numFmtId="164" fontId="21" fillId="5" borderId="11" xfId="0" applyFont="true" applyBorder="true" applyAlignment="true" applyProtection="false">
      <alignment horizontal="left" vertical="bottom" textRotation="0" wrapText="true" indent="0" shrinkToFit="false"/>
      <protection locked="true" hidden="false"/>
    </xf>
    <xf numFmtId="164" fontId="21" fillId="5" borderId="6" xfId="0" applyFont="true" applyBorder="true" applyAlignment="true" applyProtection="false">
      <alignment horizontal="center" vertical="bottom" textRotation="0" wrapText="true" indent="0" shrinkToFit="false"/>
      <protection locked="true" hidden="false"/>
    </xf>
    <xf numFmtId="164" fontId="21" fillId="5" borderId="7" xfId="0" applyFont="true" applyBorder="true" applyAlignment="true" applyProtection="false">
      <alignment horizontal="center" vertical="bottom" textRotation="0" wrapText="true" indent="0" shrinkToFit="false"/>
      <protection locked="true" hidden="false"/>
    </xf>
    <xf numFmtId="172" fontId="21" fillId="5" borderId="11" xfId="0" applyFont="true" applyBorder="true" applyAlignment="true" applyProtection="false">
      <alignment horizontal="center" vertical="bottom" textRotation="0" wrapText="true" indent="0" shrinkToFit="false"/>
      <protection locked="true" hidden="false"/>
    </xf>
    <xf numFmtId="172" fontId="21" fillId="5" borderId="7" xfId="0" applyFont="true" applyBorder="true" applyAlignment="true" applyProtection="false">
      <alignment horizontal="center" vertical="bottom" textRotation="0" wrapText="true" indent="0" shrinkToFit="false"/>
      <protection locked="true" hidden="false"/>
    </xf>
    <xf numFmtId="164" fontId="13" fillId="0" borderId="4"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73" fontId="13" fillId="0" borderId="0" xfId="15" applyFont="true" applyBorder="false" applyAlignment="true" applyProtection="false">
      <alignment horizontal="center" vertical="bottom" textRotation="0" wrapText="false" indent="0" shrinkToFit="false"/>
      <protection locked="true" hidden="false"/>
    </xf>
    <xf numFmtId="174" fontId="13" fillId="0" borderId="0" xfId="19" applyFont="true" applyBorder="false" applyAlignment="true" applyProtection="false">
      <alignment horizontal="center" vertical="bottom" textRotation="0" wrapText="false" indent="0" shrinkToFit="false"/>
      <protection locked="true" hidden="false"/>
    </xf>
    <xf numFmtId="174" fontId="18" fillId="0" borderId="0" xfId="19" applyFont="true" applyBorder="false" applyAlignment="true" applyProtection="false">
      <alignment horizontal="center" vertical="bottom" textRotation="0" wrapText="false" indent="0" shrinkToFit="false"/>
      <protection locked="true" hidden="false"/>
    </xf>
    <xf numFmtId="168" fontId="18" fillId="0" borderId="12" xfId="15" applyFont="true" applyBorder="true" applyAlignment="true" applyProtection="false">
      <alignment horizontal="center" vertical="bottom" textRotation="0" wrapText="false" indent="0" shrinkToFit="false"/>
      <protection locked="true" hidden="false"/>
    </xf>
    <xf numFmtId="168" fontId="18" fillId="0" borderId="13" xfId="15" applyFont="true" applyBorder="true" applyAlignment="true" applyProtection="false">
      <alignment horizontal="center" vertical="bottom" textRotation="0" wrapText="false" indent="0" shrinkToFit="false"/>
      <protection locked="true" hidden="false"/>
    </xf>
    <xf numFmtId="175" fontId="22" fillId="0" borderId="8" xfId="0" applyFont="true" applyBorder="true" applyAlignment="true" applyProtection="false">
      <alignment horizontal="center" vertical="center" textRotation="0" wrapText="true" indent="0" shrinkToFit="false" readingOrder="1"/>
      <protection locked="true" hidden="false"/>
    </xf>
    <xf numFmtId="175" fontId="18" fillId="0" borderId="10" xfId="0" applyFont="true" applyBorder="true" applyAlignment="true" applyProtection="false">
      <alignment horizontal="center" vertical="center" textRotation="0" wrapText="true" indent="0" shrinkToFit="false" readingOrder="1"/>
      <protection locked="true" hidden="false"/>
    </xf>
    <xf numFmtId="171" fontId="18" fillId="0" borderId="0" xfId="15" applyFont="true" applyBorder="false" applyAlignment="true" applyProtection="false">
      <alignment horizontal="center" vertical="bottom" textRotation="0" wrapText="false" indent="0" shrinkToFit="false"/>
      <protection locked="true" hidden="false"/>
    </xf>
    <xf numFmtId="174" fontId="18" fillId="0" borderId="0" xfId="15" applyFont="true" applyBorder="false" applyAlignment="true" applyProtection="false">
      <alignment horizontal="center" vertical="bottom" textRotation="0" wrapText="false" indent="0" shrinkToFit="false"/>
      <protection locked="true" hidden="false"/>
    </xf>
    <xf numFmtId="175" fontId="18" fillId="0" borderId="5" xfId="19" applyFont="true" applyBorder="true" applyAlignment="true" applyProtection="false">
      <alignment horizontal="center" vertical="bottom" textRotation="0" wrapText="false" indent="0" shrinkToFit="false"/>
      <protection locked="true" hidden="false"/>
    </xf>
    <xf numFmtId="164" fontId="21" fillId="5" borderId="14" xfId="0" applyFont="true" applyBorder="true" applyAlignment="false" applyProtection="false">
      <alignment horizontal="general" vertical="bottom" textRotation="0" wrapText="false" indent="0" shrinkToFit="false"/>
      <protection locked="true" hidden="false"/>
    </xf>
    <xf numFmtId="164" fontId="21" fillId="5" borderId="15" xfId="0" applyFont="true" applyBorder="true" applyAlignment="true" applyProtection="false">
      <alignment horizontal="center" vertical="bottom" textRotation="0" wrapText="false" indent="0" shrinkToFit="false"/>
      <protection locked="true" hidden="false"/>
    </xf>
    <xf numFmtId="164" fontId="21" fillId="7" borderId="16" xfId="0" applyFont="true" applyBorder="true" applyAlignment="false" applyProtection="false">
      <alignment horizontal="general" vertical="bottom" textRotation="0" wrapText="false" indent="0" shrinkToFit="false"/>
      <protection locked="true" hidden="false"/>
    </xf>
    <xf numFmtId="170" fontId="21" fillId="7" borderId="17" xfId="15" applyFont="true" applyBorder="true" applyAlignment="true" applyProtection="false">
      <alignment horizontal="center" vertical="bottom" textRotation="0" wrapText="false" indent="0" shrinkToFit="false"/>
      <protection locked="true" hidden="false"/>
    </xf>
    <xf numFmtId="173" fontId="23" fillId="7" borderId="17" xfId="15" applyFont="true" applyBorder="true" applyAlignment="true" applyProtection="false">
      <alignment horizontal="center" vertical="bottom" textRotation="0" wrapText="false" indent="0" shrinkToFit="false"/>
      <protection locked="true" hidden="false"/>
    </xf>
    <xf numFmtId="174" fontId="23" fillId="7" borderId="17" xfId="19" applyFont="true" applyBorder="true" applyAlignment="true" applyProtection="false">
      <alignment horizontal="center" vertical="bottom" textRotation="0" wrapText="false" indent="0" shrinkToFit="false"/>
      <protection locked="true" hidden="false"/>
    </xf>
    <xf numFmtId="174" fontId="23" fillId="7" borderId="17" xfId="15" applyFont="true" applyBorder="true" applyAlignment="true" applyProtection="false">
      <alignment horizontal="center" vertical="bottom" textRotation="0" wrapText="false" indent="0" shrinkToFit="false"/>
      <protection locked="true" hidden="false"/>
    </xf>
    <xf numFmtId="168" fontId="23" fillId="7" borderId="17" xfId="15" applyFont="true" applyBorder="true" applyAlignment="true" applyProtection="false">
      <alignment horizontal="center" vertical="bottom" textRotation="0" wrapText="false" indent="0" shrinkToFit="false"/>
      <protection locked="true" hidden="false"/>
    </xf>
    <xf numFmtId="168" fontId="23" fillId="7" borderId="18" xfId="15" applyFont="true" applyBorder="true" applyAlignment="true" applyProtection="false">
      <alignment horizontal="center" vertical="bottom" textRotation="0" wrapText="false" indent="0" shrinkToFit="false"/>
      <protection locked="true" hidden="false"/>
    </xf>
    <xf numFmtId="175" fontId="24" fillId="7" borderId="19" xfId="15" applyFont="true" applyBorder="true" applyAlignment="true" applyProtection="false">
      <alignment horizontal="center" vertical="center" textRotation="0" wrapText="false" indent="0" shrinkToFit="false"/>
      <protection locked="true" hidden="false"/>
    </xf>
    <xf numFmtId="175" fontId="23" fillId="7" borderId="18" xfId="15" applyFont="true" applyBorder="true" applyAlignment="true" applyProtection="false">
      <alignment horizontal="center" vertical="center" textRotation="0" wrapText="false" indent="0" shrinkToFit="false"/>
      <protection locked="true" hidden="false"/>
    </xf>
    <xf numFmtId="171" fontId="23" fillId="7" borderId="17" xfId="15" applyFont="true" applyBorder="true" applyAlignment="true" applyProtection="false">
      <alignment horizontal="center" vertical="bottom" textRotation="0" wrapText="false" indent="0" shrinkToFit="false"/>
      <protection locked="true" hidden="false"/>
    </xf>
    <xf numFmtId="175" fontId="23" fillId="7" borderId="20" xfId="19" applyFont="true" applyBorder="true" applyAlignment="true" applyProtection="false">
      <alignment horizontal="center" vertical="bottom" textRotation="0" wrapText="false" indent="0" shrinkToFit="false"/>
      <protection locked="true" hidden="false"/>
    </xf>
    <xf numFmtId="171" fontId="22" fillId="0" borderId="5" xfId="0" applyFont="true" applyBorder="true" applyAlignment="true" applyProtection="false">
      <alignment horizontal="center" vertical="bottom" textRotation="0" wrapText="false" indent="0" shrinkToFit="false"/>
      <protection locked="true" hidden="false"/>
    </xf>
    <xf numFmtId="164" fontId="21" fillId="7" borderId="21" xfId="0" applyFont="true" applyBorder="true" applyAlignment="false" applyProtection="false">
      <alignment horizontal="general" vertical="bottom" textRotation="0" wrapText="false" indent="0" shrinkToFit="false"/>
      <protection locked="true" hidden="false"/>
    </xf>
    <xf numFmtId="170" fontId="21" fillId="7" borderId="0" xfId="15" applyFont="true" applyBorder="false" applyAlignment="true" applyProtection="false">
      <alignment horizontal="center" vertical="bottom" textRotation="0" wrapText="false" indent="0" shrinkToFit="false"/>
      <protection locked="true" hidden="false"/>
    </xf>
    <xf numFmtId="173" fontId="23" fillId="7" borderId="0" xfId="15" applyFont="true" applyBorder="false" applyAlignment="true" applyProtection="false">
      <alignment horizontal="center" vertical="bottom" textRotation="0" wrapText="false" indent="0" shrinkToFit="false"/>
      <protection locked="true" hidden="false"/>
    </xf>
    <xf numFmtId="174" fontId="23" fillId="7" borderId="0" xfId="19" applyFont="true" applyBorder="false" applyAlignment="true" applyProtection="false">
      <alignment horizontal="center" vertical="bottom" textRotation="0" wrapText="false" indent="0" shrinkToFit="false"/>
      <protection locked="true" hidden="false"/>
    </xf>
    <xf numFmtId="174" fontId="23" fillId="7" borderId="0" xfId="15" applyFont="true" applyBorder="false" applyAlignment="true" applyProtection="false">
      <alignment horizontal="center" vertical="bottom" textRotation="0" wrapText="false" indent="0" shrinkToFit="false"/>
      <protection locked="true" hidden="false"/>
    </xf>
    <xf numFmtId="168" fontId="23" fillId="7" borderId="0" xfId="15" applyFont="true" applyBorder="false" applyAlignment="true" applyProtection="false">
      <alignment horizontal="center" vertical="bottom" textRotation="0" wrapText="false" indent="0" shrinkToFit="false"/>
      <protection locked="true" hidden="false"/>
    </xf>
    <xf numFmtId="168" fontId="23" fillId="7" borderId="5" xfId="15" applyFont="true" applyBorder="true" applyAlignment="true" applyProtection="false">
      <alignment horizontal="center" vertical="bottom" textRotation="0" wrapText="false" indent="0" shrinkToFit="false"/>
      <protection locked="true" hidden="false"/>
    </xf>
    <xf numFmtId="175" fontId="24" fillId="7" borderId="4" xfId="15" applyFont="true" applyBorder="true" applyAlignment="true" applyProtection="false">
      <alignment horizontal="center" vertical="center" textRotation="0" wrapText="false" indent="0" shrinkToFit="false"/>
      <protection locked="true" hidden="false"/>
    </xf>
    <xf numFmtId="175" fontId="23" fillId="7" borderId="5" xfId="15" applyFont="true" applyBorder="true" applyAlignment="true" applyProtection="false">
      <alignment horizontal="center" vertical="center" textRotation="0" wrapText="false" indent="0" shrinkToFit="false"/>
      <protection locked="true" hidden="false"/>
    </xf>
    <xf numFmtId="171" fontId="23" fillId="7" borderId="0" xfId="15" applyFont="true" applyBorder="false" applyAlignment="true" applyProtection="false">
      <alignment horizontal="center" vertical="bottom" textRotation="0" wrapText="false" indent="0" shrinkToFit="false"/>
      <protection locked="true" hidden="false"/>
    </xf>
    <xf numFmtId="175" fontId="23" fillId="7" borderId="22" xfId="19" applyFont="true" applyBorder="true" applyAlignment="true" applyProtection="false">
      <alignment horizontal="center" vertical="bottom" textRotation="0" wrapText="false" indent="0" shrinkToFit="false"/>
      <protection locked="true" hidden="false"/>
    </xf>
    <xf numFmtId="164" fontId="13" fillId="0" borderId="11" xfId="0" applyFont="true" applyBorder="true" applyAlignment="false" applyProtection="false">
      <alignment horizontal="general" vertical="bottom" textRotation="0" wrapText="false" indent="0" shrinkToFit="false"/>
      <protection locked="true" hidden="false"/>
    </xf>
    <xf numFmtId="171" fontId="22" fillId="0" borderId="7" xfId="0" applyFont="true" applyBorder="true" applyAlignment="true" applyProtection="false">
      <alignment horizontal="center" vertical="bottom" textRotation="0" wrapText="false" indent="0" shrinkToFit="false"/>
      <protection locked="true" hidden="false"/>
    </xf>
    <xf numFmtId="171" fontId="23" fillId="7" borderId="23" xfId="15" applyFont="true" applyBorder="true" applyAlignment="true" applyProtection="false">
      <alignment horizontal="center" vertical="bottom" textRotation="0" wrapText="false" indent="0" shrinkToFit="false"/>
      <protection locked="true" hidden="false"/>
    </xf>
    <xf numFmtId="174" fontId="23" fillId="7" borderId="23" xfId="15" applyFont="true" applyBorder="true" applyAlignment="true" applyProtection="false">
      <alignment horizontal="center" vertical="bottom" textRotation="0" wrapText="false" indent="0" shrinkToFit="false"/>
      <protection locked="true" hidden="false"/>
    </xf>
    <xf numFmtId="175" fontId="23" fillId="7" borderId="24" xfId="19" applyFont="true" applyBorder="true" applyAlignment="true" applyProtection="false">
      <alignment horizontal="center" vertical="bottom" textRotation="0" wrapText="false" indent="0" shrinkToFit="false"/>
      <protection locked="true" hidden="false"/>
    </xf>
    <xf numFmtId="164" fontId="21" fillId="0" borderId="11" xfId="0" applyFont="true" applyBorder="true" applyAlignment="false" applyProtection="false">
      <alignment horizontal="general" vertical="bottom" textRotation="0" wrapText="false" indent="0" shrinkToFit="false"/>
      <protection locked="true" hidden="false"/>
    </xf>
    <xf numFmtId="171" fontId="24" fillId="0" borderId="7" xfId="0" applyFont="true" applyBorder="true" applyAlignment="true" applyProtection="false">
      <alignment horizontal="center" vertical="bottom" textRotation="0" wrapText="false" indent="0" shrinkToFit="false"/>
      <protection locked="true" hidden="false"/>
    </xf>
    <xf numFmtId="164" fontId="21" fillId="7" borderId="25" xfId="0" applyFont="true" applyBorder="true" applyAlignment="false" applyProtection="false">
      <alignment horizontal="general" vertical="bottom" textRotation="0" wrapText="false" indent="0" shrinkToFit="false"/>
      <protection locked="true" hidden="false"/>
    </xf>
    <xf numFmtId="170" fontId="21" fillId="7" borderId="23" xfId="15" applyFont="true" applyBorder="true" applyAlignment="true" applyProtection="false">
      <alignment horizontal="center" vertical="bottom" textRotation="0" wrapText="false" indent="0" shrinkToFit="false"/>
      <protection locked="true" hidden="false"/>
    </xf>
    <xf numFmtId="173" fontId="23" fillId="7" borderId="23" xfId="15" applyFont="true" applyBorder="true" applyAlignment="true" applyProtection="false">
      <alignment horizontal="center" vertical="bottom" textRotation="0" wrapText="false" indent="0" shrinkToFit="false"/>
      <protection locked="true" hidden="false"/>
    </xf>
    <xf numFmtId="174" fontId="23" fillId="7" borderId="23" xfId="19" applyFont="true" applyBorder="true" applyAlignment="true" applyProtection="false">
      <alignment horizontal="center" vertical="bottom" textRotation="0" wrapText="false" indent="0" shrinkToFit="false"/>
      <protection locked="true" hidden="false"/>
    </xf>
    <xf numFmtId="168" fontId="23" fillId="7" borderId="23" xfId="15" applyFont="true" applyBorder="true" applyAlignment="true" applyProtection="false">
      <alignment horizontal="center" vertical="bottom" textRotation="0" wrapText="false" indent="0" shrinkToFit="false"/>
      <protection locked="true" hidden="false"/>
    </xf>
    <xf numFmtId="168" fontId="23" fillId="7" borderId="26" xfId="15" applyFont="true" applyBorder="true" applyAlignment="true" applyProtection="false">
      <alignment horizontal="center" vertical="bottom" textRotation="0" wrapText="false" indent="0" shrinkToFit="false"/>
      <protection locked="true" hidden="false"/>
    </xf>
    <xf numFmtId="175" fontId="24" fillId="7" borderId="27" xfId="15" applyFont="true" applyBorder="true" applyAlignment="true" applyProtection="false">
      <alignment horizontal="center" vertical="center" textRotation="0" wrapText="false" indent="0" shrinkToFit="false"/>
      <protection locked="true" hidden="false"/>
    </xf>
    <xf numFmtId="175" fontId="23" fillId="7" borderId="26" xfId="15" applyFont="true" applyBorder="true" applyAlignment="true" applyProtection="false">
      <alignment horizontal="center" vertical="center" textRotation="0" wrapText="false" indent="0" shrinkToFit="false"/>
      <protection locked="true" hidden="false"/>
    </xf>
    <xf numFmtId="171" fontId="18" fillId="0" borderId="23" xfId="15" applyFont="true" applyBorder="true" applyAlignment="true" applyProtection="false">
      <alignment horizontal="center" vertical="bottom" textRotation="0" wrapText="false" indent="0" shrinkToFit="false"/>
      <protection locked="true" hidden="false"/>
    </xf>
    <xf numFmtId="174" fontId="18" fillId="0" borderId="23" xfId="15" applyFont="true" applyBorder="true" applyAlignment="true" applyProtection="false">
      <alignment horizontal="center" vertical="bottom" textRotation="0" wrapText="false" indent="0" shrinkToFit="false"/>
      <protection locked="true" hidden="false"/>
    </xf>
    <xf numFmtId="175" fontId="18" fillId="0" borderId="26" xfId="19" applyFont="true" applyBorder="true" applyAlignment="true" applyProtection="false">
      <alignment horizontal="center" vertical="bottom" textRotation="0" wrapText="false" indent="0" shrinkToFit="false"/>
      <protection locked="true" hidden="false"/>
    </xf>
    <xf numFmtId="170" fontId="13" fillId="0" borderId="0" xfId="15" applyFont="true" applyBorder="false" applyAlignment="true" applyProtection="false">
      <alignment horizontal="center" vertical="bottom" textRotation="0" wrapText="false" indent="0" shrinkToFit="false"/>
      <protection locked="true" hidden="false"/>
    </xf>
    <xf numFmtId="173" fontId="18" fillId="0" borderId="0" xfId="15" applyFont="true" applyBorder="false" applyAlignment="true" applyProtection="false">
      <alignment horizontal="center" vertical="bottom" textRotation="0" wrapText="false" indent="0" shrinkToFit="false"/>
      <protection locked="true" hidden="false"/>
    </xf>
    <xf numFmtId="168" fontId="18" fillId="0" borderId="0" xfId="15" applyFont="true" applyBorder="false" applyAlignment="true" applyProtection="false">
      <alignment horizontal="center" vertical="bottom" textRotation="0" wrapText="false" indent="0" shrinkToFit="false"/>
      <protection locked="true" hidden="false"/>
    </xf>
    <xf numFmtId="168" fontId="18" fillId="0" borderId="5" xfId="15" applyFont="true" applyBorder="true" applyAlignment="true" applyProtection="false">
      <alignment horizontal="center" vertical="bottom" textRotation="0" wrapText="false" indent="0" shrinkToFit="false"/>
      <protection locked="true" hidden="false"/>
    </xf>
    <xf numFmtId="175" fontId="22" fillId="0" borderId="4" xfId="0" applyFont="true" applyBorder="true" applyAlignment="true" applyProtection="false">
      <alignment horizontal="center" vertical="center" textRotation="0" wrapText="true" indent="0" shrinkToFit="false" readingOrder="1"/>
      <protection locked="true" hidden="false"/>
    </xf>
    <xf numFmtId="175" fontId="18" fillId="0" borderId="5" xfId="0" applyFont="true" applyBorder="true" applyAlignment="true" applyProtection="false">
      <alignment horizontal="center" vertical="center" textRotation="0" wrapText="true" indent="0" shrinkToFit="false" readingOrder="1"/>
      <protection locked="true" hidden="false"/>
    </xf>
    <xf numFmtId="168" fontId="13" fillId="0" borderId="0" xfId="19" applyFont="true" applyBorder="false" applyAlignment="false" applyProtection="false">
      <alignment horizontal="general" vertical="bottom" textRotation="0" wrapText="false" indent="0" shrinkToFit="false"/>
      <protection locked="true" hidden="false"/>
    </xf>
    <xf numFmtId="164" fontId="21" fillId="8" borderId="14" xfId="0" applyFont="true" applyBorder="true" applyAlignment="false" applyProtection="false">
      <alignment horizontal="general" vertical="bottom" textRotation="0" wrapText="false" indent="0" shrinkToFit="false"/>
      <protection locked="true" hidden="false"/>
    </xf>
    <xf numFmtId="170" fontId="21" fillId="8" borderId="28" xfId="15" applyFont="true" applyBorder="true" applyAlignment="true" applyProtection="false">
      <alignment horizontal="center" vertical="bottom" textRotation="0" wrapText="false" indent="0" shrinkToFit="false"/>
      <protection locked="true" hidden="false"/>
    </xf>
    <xf numFmtId="173" fontId="23" fillId="8" borderId="28" xfId="15" applyFont="true" applyBorder="true" applyAlignment="true" applyProtection="false">
      <alignment horizontal="center" vertical="bottom" textRotation="0" wrapText="false" indent="0" shrinkToFit="false"/>
      <protection locked="true" hidden="false"/>
    </xf>
    <xf numFmtId="174" fontId="23" fillId="8" borderId="28" xfId="19" applyFont="true" applyBorder="true" applyAlignment="true" applyProtection="false">
      <alignment horizontal="center" vertical="bottom" textRotation="0" wrapText="false" indent="0" shrinkToFit="false"/>
      <protection locked="true" hidden="false"/>
    </xf>
    <xf numFmtId="174" fontId="21" fillId="8" borderId="28" xfId="19" applyFont="true" applyBorder="true" applyAlignment="true" applyProtection="false">
      <alignment horizontal="center" vertical="bottom" textRotation="0" wrapText="false" indent="0" shrinkToFit="false"/>
      <protection locked="true" hidden="false"/>
    </xf>
    <xf numFmtId="174" fontId="23" fillId="8" borderId="28" xfId="15" applyFont="true" applyBorder="true" applyAlignment="true" applyProtection="false">
      <alignment horizontal="center" vertical="bottom" textRotation="0" wrapText="false" indent="0" shrinkToFit="false"/>
      <protection locked="true" hidden="false"/>
    </xf>
    <xf numFmtId="168" fontId="23" fillId="8" borderId="28" xfId="15" applyFont="true" applyBorder="true" applyAlignment="true" applyProtection="false">
      <alignment horizontal="center" vertical="bottom" textRotation="0" wrapText="false" indent="0" shrinkToFit="false"/>
      <protection locked="true" hidden="false"/>
    </xf>
    <xf numFmtId="168" fontId="23" fillId="8" borderId="15" xfId="15" applyFont="true" applyBorder="true" applyAlignment="true" applyProtection="false">
      <alignment horizontal="center" vertical="bottom" textRotation="0" wrapText="false" indent="0" shrinkToFit="false"/>
      <protection locked="true" hidden="false"/>
    </xf>
    <xf numFmtId="175" fontId="23" fillId="8" borderId="14" xfId="0" applyFont="true" applyBorder="true" applyAlignment="true" applyProtection="false">
      <alignment horizontal="center" vertical="bottom" textRotation="0" wrapText="true" indent="0" shrinkToFit="false" readingOrder="1"/>
      <protection locked="true" hidden="false"/>
    </xf>
    <xf numFmtId="175" fontId="23" fillId="8" borderId="15" xfId="0" applyFont="true" applyBorder="true" applyAlignment="true" applyProtection="false">
      <alignment horizontal="center" vertical="bottom" textRotation="0" wrapText="true" indent="0" shrinkToFit="false" readingOrder="1"/>
      <protection locked="true" hidden="false"/>
    </xf>
    <xf numFmtId="171" fontId="23" fillId="8" borderId="28" xfId="15" applyFont="true" applyBorder="true" applyAlignment="true" applyProtection="false">
      <alignment horizontal="center" vertical="bottom" textRotation="0" wrapText="false" indent="0" shrinkToFit="false"/>
      <protection locked="true" hidden="false"/>
    </xf>
    <xf numFmtId="175" fontId="23" fillId="8" borderId="15" xfId="19" applyFont="true" applyBorder="true" applyAlignment="true" applyProtection="false">
      <alignment horizontal="center"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tru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73" fontId="13" fillId="0" borderId="0" xfId="0" applyFont="true" applyBorder="false" applyAlignment="true" applyProtection="false">
      <alignment horizontal="center" vertical="bottom" textRotation="0" wrapText="false" indent="0" shrinkToFit="false"/>
      <protection locked="true" hidden="false"/>
    </xf>
    <xf numFmtId="176" fontId="13" fillId="0" borderId="0" xfId="19" applyFont="true" applyBorder="false" applyAlignment="true" applyProtection="false">
      <alignment horizontal="center" vertical="bottom" textRotation="0" wrapText="false" indent="0" shrinkToFit="false"/>
      <protection locked="true" hidden="false"/>
    </xf>
    <xf numFmtId="176" fontId="16" fillId="0" borderId="0" xfId="0" applyFont="true" applyBorder="false" applyAlignment="true" applyProtection="false">
      <alignment horizontal="center" vertical="bottom" textRotation="0" wrapText="false" indent="0" shrinkToFit="false"/>
      <protection locked="true" hidden="false"/>
    </xf>
    <xf numFmtId="176" fontId="13" fillId="0" borderId="0" xfId="0" applyFont="true" applyBorder="false" applyAlignment="true" applyProtection="false">
      <alignment horizontal="center" vertical="bottom" textRotation="0" wrapText="false" indent="0" shrinkToFit="false"/>
      <protection locked="true" hidden="false"/>
    </xf>
    <xf numFmtId="164" fontId="13" fillId="0" borderId="6" xfId="0" applyFont="true" applyBorder="true" applyAlignment="false" applyProtection="false">
      <alignment horizontal="general" vertical="bottom" textRotation="0" wrapText="false" indent="0" shrinkToFit="false"/>
      <protection locked="true" hidden="false"/>
    </xf>
    <xf numFmtId="173" fontId="13" fillId="0" borderId="6" xfId="0" applyFont="true" applyBorder="true" applyAlignment="true" applyProtection="false">
      <alignment horizontal="center" vertical="bottom" textRotation="0" wrapText="false" indent="0" shrinkToFit="false"/>
      <protection locked="true" hidden="false"/>
    </xf>
    <xf numFmtId="176" fontId="13" fillId="0" borderId="6" xfId="19" applyFont="true" applyBorder="true" applyAlignment="true" applyProtection="false">
      <alignment horizontal="center" vertical="bottom" textRotation="0" wrapText="false" indent="0" shrinkToFit="false"/>
      <protection locked="true" hidden="false"/>
    </xf>
    <xf numFmtId="176" fontId="13" fillId="0" borderId="6" xfId="0" applyFont="true" applyBorder="true" applyAlignment="true" applyProtection="false">
      <alignment horizontal="center" vertical="bottom" textRotation="0" wrapText="false" indent="0" shrinkToFit="false"/>
      <protection locked="true" hidden="false"/>
    </xf>
    <xf numFmtId="164" fontId="13" fillId="0" borderId="6" xfId="0" applyFont="true" applyBorder="true" applyAlignment="true" applyProtection="false">
      <alignment horizontal="center" vertical="bottom" textRotation="0" wrapText="false" indent="0" shrinkToFit="false"/>
      <protection locked="true" hidden="false"/>
    </xf>
    <xf numFmtId="175" fontId="17" fillId="0" borderId="0" xfId="0" applyFont="true" applyBorder="false" applyAlignment="false" applyProtection="false">
      <alignment horizontal="general" vertical="bottom" textRotation="0" wrapText="false" indent="0" shrinkToFit="false"/>
      <protection locked="true" hidden="false"/>
    </xf>
    <xf numFmtId="164" fontId="27" fillId="4" borderId="8" xfId="0" applyFont="true" applyBorder="true" applyAlignment="false" applyProtection="false">
      <alignment horizontal="general" vertical="bottom" textRotation="0" wrapText="false" indent="0" shrinkToFit="false"/>
      <protection locked="true" hidden="false"/>
    </xf>
    <xf numFmtId="164" fontId="27" fillId="4" borderId="9" xfId="0" applyFont="true" applyBorder="true" applyAlignment="true" applyProtection="false">
      <alignment horizontal="center" vertical="bottom" textRotation="0" wrapText="false" indent="0" shrinkToFit="false"/>
      <protection locked="true" hidden="false"/>
    </xf>
    <xf numFmtId="173" fontId="27" fillId="4" borderId="9" xfId="0" applyFont="true" applyBorder="true" applyAlignment="true" applyProtection="false">
      <alignment horizontal="center" vertical="bottom" textRotation="0" wrapText="false" indent="0" shrinkToFit="false"/>
      <protection locked="true" hidden="false"/>
    </xf>
    <xf numFmtId="164" fontId="27" fillId="4" borderId="9" xfId="0" applyFont="true" applyBorder="true" applyAlignment="false" applyProtection="false">
      <alignment horizontal="general" vertical="bottom" textRotation="0" wrapText="false" indent="0" shrinkToFit="false"/>
      <protection locked="true" hidden="false"/>
    </xf>
    <xf numFmtId="168" fontId="27" fillId="4" borderId="10" xfId="19" applyFont="true" applyBorder="true" applyAlignment="true" applyProtection="false">
      <alignment horizontal="center" vertical="bottom" textRotation="0" wrapText="false" indent="0" shrinkToFit="false"/>
      <protection locked="true" hidden="false"/>
    </xf>
    <xf numFmtId="164" fontId="21" fillId="5" borderId="28" xfId="0" applyFont="true" applyBorder="true" applyAlignment="true" applyProtection="false">
      <alignment horizontal="center" vertical="bottom" textRotation="0" wrapText="false" indent="0" shrinkToFit="false"/>
      <protection locked="true" hidden="false"/>
    </xf>
    <xf numFmtId="173" fontId="21" fillId="5" borderId="28" xfId="0" applyFont="true" applyBorder="true" applyAlignment="true" applyProtection="false">
      <alignment horizontal="center" vertical="bottom" textRotation="0" wrapText="false" indent="0" shrinkToFit="false"/>
      <protection locked="true" hidden="false"/>
    </xf>
    <xf numFmtId="164" fontId="21" fillId="5" borderId="28" xfId="0" applyFont="true" applyBorder="true" applyAlignment="false" applyProtection="false">
      <alignment horizontal="general" vertical="bottom" textRotation="0" wrapText="false" indent="0" shrinkToFit="false"/>
      <protection locked="true" hidden="false"/>
    </xf>
    <xf numFmtId="168" fontId="21" fillId="5" borderId="15" xfId="19" applyFont="true" applyBorder="true" applyAlignment="true" applyProtection="false">
      <alignment horizontal="center" vertical="bottom" textRotation="0" wrapText="false" indent="0" shrinkToFit="false"/>
      <protection locked="true" hidden="false"/>
    </xf>
    <xf numFmtId="168" fontId="13" fillId="0" borderId="0" xfId="19" applyFont="true" applyBorder="false" applyAlignment="true" applyProtection="false">
      <alignment horizontal="center" vertical="bottom" textRotation="0" wrapText="false" indent="0" shrinkToFit="false"/>
      <protection locked="true" hidden="false"/>
    </xf>
    <xf numFmtId="168" fontId="13" fillId="0" borderId="5" xfId="19" applyFont="true" applyBorder="true" applyAlignment="true" applyProtection="false">
      <alignment horizontal="center" vertical="bottom" textRotation="0" wrapText="false" indent="0" shrinkToFit="false"/>
      <protection locked="true" hidden="false"/>
    </xf>
    <xf numFmtId="164" fontId="27" fillId="4" borderId="11" xfId="0" applyFont="true" applyBorder="true" applyAlignment="false" applyProtection="false">
      <alignment horizontal="general" vertical="bottom" textRotation="0" wrapText="false" indent="0" shrinkToFit="false"/>
      <protection locked="true" hidden="false"/>
    </xf>
    <xf numFmtId="173" fontId="27" fillId="4" borderId="6" xfId="0" applyFont="true" applyBorder="true" applyAlignment="true" applyProtection="false">
      <alignment horizontal="center" vertical="bottom" textRotation="0" wrapText="false" indent="0" shrinkToFit="false"/>
      <protection locked="true" hidden="false"/>
    </xf>
    <xf numFmtId="168" fontId="27" fillId="4" borderId="6" xfId="19" applyFont="true" applyBorder="true" applyAlignment="true" applyProtection="false">
      <alignment horizontal="center" vertical="bottom" textRotation="0" wrapText="false" indent="0" shrinkToFit="false"/>
      <protection locked="true" hidden="false"/>
    </xf>
    <xf numFmtId="164" fontId="27" fillId="4" borderId="6" xfId="0" applyFont="true" applyBorder="true" applyAlignment="false" applyProtection="false">
      <alignment horizontal="general" vertical="bottom" textRotation="0" wrapText="false" indent="0" shrinkToFit="false"/>
      <protection locked="true" hidden="false"/>
    </xf>
    <xf numFmtId="168" fontId="27" fillId="4" borderId="7" xfId="19" applyFont="true" applyBorder="true" applyAlignment="true" applyProtection="false">
      <alignment horizontal="center" vertical="bottom" textRotation="0" wrapText="false" indent="0" shrinkToFit="false"/>
      <protection locked="true" hidden="false"/>
    </xf>
    <xf numFmtId="177" fontId="13"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78" fontId="13" fillId="0" borderId="0" xfId="0" applyFont="true" applyBorder="false" applyAlignment="false" applyProtection="false">
      <alignment horizontal="general" vertical="bottom" textRotation="0" wrapText="false" indent="0" shrinkToFit="false"/>
      <protection locked="true" hidden="false"/>
    </xf>
    <xf numFmtId="178" fontId="18" fillId="0" borderId="0" xfId="0" applyFont="true" applyBorder="false" applyAlignment="false" applyProtection="false">
      <alignment horizontal="general" vertical="bottom" textRotation="0" wrapText="false" indent="0" shrinkToFit="false"/>
      <protection locked="true" hidden="false"/>
    </xf>
    <xf numFmtId="174" fontId="13" fillId="0" borderId="0" xfId="0" applyFont="true" applyBorder="false" applyAlignment="true" applyProtection="false">
      <alignment horizontal="center" vertical="bottom" textRotation="0" wrapText="false" indent="0" shrinkToFit="false"/>
      <protection locked="true" hidden="false"/>
    </xf>
    <xf numFmtId="171" fontId="13" fillId="0" borderId="0" xfId="0" applyFont="true" applyBorder="false" applyAlignment="true" applyProtection="false">
      <alignment horizontal="center" vertical="bottom" textRotation="0" wrapText="false" indent="0" shrinkToFit="false"/>
      <protection locked="true" hidden="false"/>
    </xf>
    <xf numFmtId="178" fontId="13" fillId="0" borderId="0" xfId="0" applyFont="true" applyBorder="false" applyAlignment="true" applyProtection="false">
      <alignment horizontal="center" vertical="bottom" textRotation="0" wrapText="false" indent="0" shrinkToFit="false"/>
      <protection locked="true" hidden="false"/>
    </xf>
    <xf numFmtId="171" fontId="18" fillId="0" borderId="0" xfId="0" applyFont="true" applyBorder="false" applyAlignment="true" applyProtection="false">
      <alignment horizontal="center" vertical="bottom" textRotation="0" wrapText="false" indent="0" shrinkToFit="false"/>
      <protection locked="true" hidden="false"/>
    </xf>
    <xf numFmtId="174" fontId="13"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1" fontId="18" fillId="0" borderId="0" xfId="0" applyFont="true" applyBorder="false" applyAlignment="false" applyProtection="false">
      <alignment horizontal="general" vertical="bottom" textRotation="0" wrapText="false" indent="0" shrinkToFit="false"/>
      <protection locked="true" hidden="false"/>
    </xf>
    <xf numFmtId="176" fontId="16" fillId="2" borderId="1" xfId="29" applyFont="true" applyBorder="true" applyAlignment="true" applyProtection="false">
      <alignment horizontal="center" vertical="bottom" textRotation="0" wrapText="false" indent="0" shrinkToFit="false"/>
      <protection locked="true" hidden="false"/>
    </xf>
    <xf numFmtId="171" fontId="16" fillId="2" borderId="1" xfId="29" applyFont="true" applyBorder="true" applyAlignment="true" applyProtection="false">
      <alignment horizontal="center" vertical="bottom" textRotation="0" wrapText="false" indent="0" shrinkToFit="false"/>
      <protection locked="true" hidden="false"/>
    </xf>
    <xf numFmtId="167" fontId="13" fillId="0" borderId="0" xfId="19" applyFont="true" applyBorder="false" applyAlignment="false" applyProtection="false">
      <alignment horizontal="general" vertical="bottom" textRotation="0" wrapText="false" indent="0" shrinkToFit="false"/>
      <protection locked="true" hidden="false"/>
    </xf>
    <xf numFmtId="164" fontId="13" fillId="5" borderId="8" xfId="0" applyFont="true" applyBorder="true" applyAlignment="true" applyProtection="false">
      <alignment horizontal="left" vertical="bottom" textRotation="0" wrapText="false" indent="0" shrinkToFit="false"/>
      <protection locked="true" hidden="false"/>
    </xf>
    <xf numFmtId="164" fontId="13" fillId="5" borderId="9" xfId="0" applyFont="true" applyBorder="true" applyAlignment="false" applyProtection="false">
      <alignment horizontal="general" vertical="bottom" textRotation="0" wrapText="false" indent="0" shrinkToFit="false"/>
      <protection locked="true" hidden="false"/>
    </xf>
    <xf numFmtId="164" fontId="13" fillId="5" borderId="10" xfId="0" applyFont="true" applyBorder="true" applyAlignment="false" applyProtection="false">
      <alignment horizontal="general" vertical="bottom" textRotation="0" wrapText="false" indent="0" shrinkToFit="false"/>
      <protection locked="true" hidden="false"/>
    </xf>
    <xf numFmtId="174" fontId="29" fillId="5" borderId="10" xfId="0" applyFont="true" applyBorder="true" applyAlignment="true" applyProtection="false">
      <alignment horizontal="center" vertical="bottom" textRotation="0" wrapText="false" indent="0" shrinkToFit="false"/>
      <protection locked="true" hidden="false"/>
    </xf>
    <xf numFmtId="174" fontId="29" fillId="5" borderId="3" xfId="0" applyFont="true" applyBorder="true" applyAlignment="true" applyProtection="false">
      <alignment horizontal="center" vertical="bottom" textRotation="0" wrapText="false" indent="0" shrinkToFit="false"/>
      <protection locked="true" hidden="false"/>
    </xf>
    <xf numFmtId="174" fontId="29" fillId="7" borderId="3" xfId="0" applyFont="true" applyBorder="true" applyAlignment="true" applyProtection="false">
      <alignment horizontal="center" vertical="bottom" textRotation="0" wrapText="false" indent="0" shrinkToFit="false"/>
      <protection locked="true" hidden="false"/>
    </xf>
    <xf numFmtId="164" fontId="21" fillId="5" borderId="11" xfId="0" applyFont="true" applyBorder="true" applyAlignment="true" applyProtection="false">
      <alignment horizontal="left" vertical="bottom" textRotation="0" wrapText="false" indent="0" shrinkToFit="false"/>
      <protection locked="true" hidden="false"/>
    </xf>
    <xf numFmtId="164" fontId="21" fillId="5" borderId="6" xfId="0" applyFont="true" applyBorder="true" applyAlignment="false" applyProtection="false">
      <alignment horizontal="general" vertical="bottom" textRotation="0" wrapText="false" indent="0" shrinkToFit="false"/>
      <protection locked="true" hidden="false"/>
    </xf>
    <xf numFmtId="164" fontId="21" fillId="5" borderId="6" xfId="0" applyFont="true" applyBorder="true" applyAlignment="true" applyProtection="false">
      <alignment horizontal="center" vertical="bottom" textRotation="0" wrapText="false" indent="0" shrinkToFit="false"/>
      <protection locked="true" hidden="false"/>
    </xf>
    <xf numFmtId="164" fontId="21" fillId="5" borderId="7" xfId="0" applyFont="true" applyBorder="true" applyAlignment="true" applyProtection="false">
      <alignment horizontal="center" vertical="bottom" textRotation="0" wrapText="false" indent="0" shrinkToFit="false"/>
      <protection locked="true" hidden="false"/>
    </xf>
    <xf numFmtId="174" fontId="21" fillId="5" borderId="6" xfId="0" applyFont="true" applyBorder="true" applyAlignment="true" applyProtection="false">
      <alignment horizontal="center" vertical="bottom" textRotation="0" wrapText="false" indent="0" shrinkToFit="false"/>
      <protection locked="true" hidden="false"/>
    </xf>
    <xf numFmtId="171" fontId="21" fillId="5" borderId="6" xfId="0" applyFont="true" applyBorder="true" applyAlignment="true" applyProtection="false">
      <alignment horizontal="center" vertical="bottom" textRotation="0" wrapText="false" indent="0" shrinkToFit="false"/>
      <protection locked="true" hidden="false"/>
    </xf>
    <xf numFmtId="171" fontId="21" fillId="5" borderId="7" xfId="0" applyFont="true" applyBorder="true" applyAlignment="true" applyProtection="false">
      <alignment horizontal="center" vertical="bottom" textRotation="0" wrapText="false" indent="0" shrinkToFit="false"/>
      <protection locked="true" hidden="false"/>
    </xf>
    <xf numFmtId="174" fontId="21" fillId="5" borderId="11" xfId="0" applyFont="true" applyBorder="true" applyAlignment="true" applyProtection="false">
      <alignment horizontal="center" vertical="bottom" textRotation="0" wrapText="false" indent="0" shrinkToFit="false"/>
      <protection locked="true" hidden="false"/>
    </xf>
    <xf numFmtId="174" fontId="21" fillId="7" borderId="11" xfId="0" applyFont="true" applyBorder="true" applyAlignment="true" applyProtection="false">
      <alignment horizontal="center" vertical="bottom" textRotation="0" wrapText="false" indent="0" shrinkToFit="false"/>
      <protection locked="true" hidden="false"/>
    </xf>
    <xf numFmtId="171" fontId="21" fillId="7" borderId="6" xfId="0" applyFont="true" applyBorder="true" applyAlignment="true" applyProtection="false">
      <alignment horizontal="center" vertical="bottom" textRotation="0" wrapText="false" indent="0" shrinkToFit="false"/>
      <protection locked="true" hidden="false"/>
    </xf>
    <xf numFmtId="171" fontId="21" fillId="7" borderId="6" xfId="0" applyFont="true" applyBorder="true" applyAlignment="true" applyProtection="false">
      <alignment horizontal="center" vertical="bottom" textRotation="0" wrapText="true" indent="0" shrinkToFit="false"/>
      <protection locked="true" hidden="false"/>
    </xf>
    <xf numFmtId="171" fontId="21" fillId="7" borderId="0" xfId="0" applyFont="true" applyBorder="false" applyAlignment="true" applyProtection="false">
      <alignment horizontal="center" vertical="bottom" textRotation="0" wrapText="true" indent="0" shrinkToFit="false"/>
      <protection locked="true" hidden="false"/>
    </xf>
    <xf numFmtId="174" fontId="21" fillId="7" borderId="6" xfId="0" applyFont="true" applyBorder="true" applyAlignment="true" applyProtection="false">
      <alignment horizontal="center" vertical="bottom" textRotation="0" wrapText="true" indent="0" shrinkToFit="false"/>
      <protection locked="true" hidden="false"/>
    </xf>
    <xf numFmtId="178" fontId="21" fillId="7" borderId="6" xfId="0" applyFont="true" applyBorder="true" applyAlignment="false" applyProtection="false">
      <alignment horizontal="general" vertical="bottom" textRotation="0" wrapText="false" indent="0" shrinkToFit="false"/>
      <protection locked="true" hidden="false"/>
    </xf>
    <xf numFmtId="171" fontId="23" fillId="7" borderId="6" xfId="0" applyFont="true" applyBorder="true" applyAlignment="true" applyProtection="false">
      <alignment horizontal="center" vertical="bottom" textRotation="0" wrapText="true" indent="0" shrinkToFit="false"/>
      <protection locked="true" hidden="false"/>
    </xf>
    <xf numFmtId="171" fontId="23" fillId="7" borderId="7" xfId="0" applyFont="true" applyBorder="true" applyAlignment="true" applyProtection="false">
      <alignment horizontal="center"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13" fillId="0" borderId="4" xfId="0" applyFont="true" applyBorder="true" applyAlignment="true" applyProtection="false">
      <alignment horizontal="left" vertical="bottom" textRotation="0" wrapText="false" indent="0" shrinkToFit="false"/>
      <protection locked="true" hidden="false"/>
    </xf>
    <xf numFmtId="175" fontId="13" fillId="0" borderId="5" xfId="0" applyFont="true" applyBorder="true" applyAlignment="true" applyProtection="false">
      <alignment horizontal="center" vertical="bottom" textRotation="0" wrapText="false" indent="0" shrinkToFit="false"/>
      <protection locked="true" hidden="false"/>
    </xf>
    <xf numFmtId="174" fontId="13" fillId="0" borderId="9" xfId="0" applyFont="true" applyBorder="true" applyAlignment="true" applyProtection="false">
      <alignment horizontal="center" vertical="bottom" textRotation="0" wrapText="false" indent="0" shrinkToFit="false"/>
      <protection locked="true" hidden="false"/>
    </xf>
    <xf numFmtId="171" fontId="13" fillId="0" borderId="9" xfId="0" applyFont="true" applyBorder="true" applyAlignment="true" applyProtection="false">
      <alignment horizontal="center" vertical="bottom" textRotation="0" wrapText="false" indent="0" shrinkToFit="false"/>
      <protection locked="true" hidden="false"/>
    </xf>
    <xf numFmtId="171" fontId="13" fillId="0" borderId="10" xfId="0" applyFont="true" applyBorder="true" applyAlignment="true" applyProtection="false">
      <alignment horizontal="center" vertical="bottom" textRotation="0" wrapText="false" indent="0" shrinkToFit="false"/>
      <protection locked="true" hidden="false"/>
    </xf>
    <xf numFmtId="174" fontId="13" fillId="0" borderId="8" xfId="0" applyFont="true" applyBorder="true" applyAlignment="true" applyProtection="false">
      <alignment horizontal="center" vertical="bottom" textRotation="0" wrapText="false" indent="0" shrinkToFit="false"/>
      <protection locked="true" hidden="false"/>
    </xf>
    <xf numFmtId="174" fontId="16" fillId="0" borderId="4" xfId="0" applyFont="true" applyBorder="true" applyAlignment="true" applyProtection="false">
      <alignment horizontal="center" vertical="bottom" textRotation="0" wrapText="false" indent="0" shrinkToFit="false"/>
      <protection locked="true" hidden="false"/>
    </xf>
    <xf numFmtId="171" fontId="16" fillId="0" borderId="0" xfId="0" applyFont="true" applyBorder="false" applyAlignment="true" applyProtection="false">
      <alignment horizontal="center" vertical="bottom" textRotation="0" wrapText="false" indent="0" shrinkToFit="false"/>
      <protection locked="true" hidden="false"/>
    </xf>
    <xf numFmtId="174" fontId="13" fillId="2" borderId="29" xfId="29" applyFont="true" applyBorder="true" applyAlignment="true" applyProtection="false">
      <alignment horizontal="center" vertical="bottom" textRotation="0" wrapText="false" indent="0" shrinkToFit="false"/>
      <protection locked="true" hidden="false"/>
    </xf>
    <xf numFmtId="174" fontId="16" fillId="2" borderId="29" xfId="0" applyFont="true" applyBorder="true" applyAlignment="true" applyProtection="false">
      <alignment horizontal="center" vertical="bottom" textRotation="0" wrapText="false" indent="0" shrinkToFit="false"/>
      <protection locked="true" hidden="false"/>
    </xf>
    <xf numFmtId="174" fontId="18" fillId="0" borderId="0" xfId="0" applyFont="true" applyBorder="false" applyAlignment="true" applyProtection="false">
      <alignment horizontal="center" vertical="bottom" textRotation="0" wrapText="false" indent="0" shrinkToFit="false"/>
      <protection locked="true" hidden="false"/>
    </xf>
    <xf numFmtId="178" fontId="16" fillId="0" borderId="0" xfId="0" applyFont="true" applyBorder="false" applyAlignment="true" applyProtection="false">
      <alignment horizontal="center" vertical="bottom" textRotation="0" wrapText="false" indent="0" shrinkToFit="false"/>
      <protection locked="true" hidden="false"/>
    </xf>
    <xf numFmtId="171" fontId="30" fillId="0" borderId="0" xfId="0" applyFont="true" applyBorder="false" applyAlignment="true" applyProtection="false">
      <alignment horizontal="center" vertical="bottom" textRotation="0" wrapText="false" indent="0" shrinkToFit="false"/>
      <protection locked="true" hidden="false"/>
    </xf>
    <xf numFmtId="171" fontId="16" fillId="2" borderId="29" xfId="29" applyFont="true" applyBorder="true" applyAlignment="true" applyProtection="false">
      <alignment horizontal="center" vertical="bottom" textRotation="0" wrapText="false" indent="0" shrinkToFit="false"/>
      <protection locked="true" hidden="false"/>
    </xf>
    <xf numFmtId="171" fontId="18" fillId="0" borderId="5" xfId="0" applyFont="true" applyBorder="true" applyAlignment="true" applyProtection="false">
      <alignment horizontal="center" vertical="bottom" textRotation="0" wrapText="false" indent="0" shrinkToFit="false"/>
      <protection locked="true" hidden="false"/>
    </xf>
    <xf numFmtId="176" fontId="1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1" fontId="13" fillId="0" borderId="5" xfId="0" applyFont="true" applyBorder="true" applyAlignment="true" applyProtection="false">
      <alignment horizontal="center" vertical="bottom" textRotation="0" wrapText="false" indent="0" shrinkToFit="false"/>
      <protection locked="true" hidden="false"/>
    </xf>
    <xf numFmtId="174" fontId="13" fillId="0" borderId="4" xfId="0" applyFont="true" applyBorder="true" applyAlignment="true" applyProtection="false">
      <alignment horizontal="center"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76" fontId="13" fillId="0" borderId="0" xfId="19" applyFont="true" applyBorder="false" applyAlignment="false" applyProtection="false">
      <alignment horizontal="general" vertical="bottom" textRotation="0" wrapText="false" indent="0" shrinkToFit="false"/>
      <protection locked="true" hidden="false"/>
    </xf>
    <xf numFmtId="171" fontId="16" fillId="2" borderId="3" xfId="29" applyFont="true" applyBorder="true" applyAlignment="true" applyProtection="false">
      <alignment horizontal="center" vertical="bottom" textRotation="0" wrapText="false" indent="0" shrinkToFit="false"/>
      <protection locked="true" hidden="false"/>
    </xf>
    <xf numFmtId="171" fontId="16" fillId="2" borderId="30" xfId="29" applyFont="true" applyBorder="true" applyAlignment="true" applyProtection="false">
      <alignment horizontal="center" vertical="bottom" textRotation="0" wrapText="false" indent="0" shrinkToFit="false"/>
      <protection locked="true" hidden="false"/>
    </xf>
    <xf numFmtId="177" fontId="13" fillId="0" borderId="11" xfId="0" applyFont="true" applyBorder="true" applyAlignment="true" applyProtection="false">
      <alignment horizontal="left" vertical="bottom" textRotation="0" wrapText="false" indent="0" shrinkToFit="false"/>
      <protection locked="true" hidden="false"/>
    </xf>
    <xf numFmtId="177" fontId="13" fillId="0" borderId="6" xfId="0" applyFont="true" applyBorder="true" applyAlignment="true" applyProtection="false">
      <alignment horizontal="center" vertical="bottom" textRotation="0" wrapText="false" indent="0" shrinkToFit="false"/>
      <protection locked="true" hidden="false"/>
    </xf>
    <xf numFmtId="175" fontId="13" fillId="0" borderId="7" xfId="0" applyFont="true" applyBorder="true" applyAlignment="true" applyProtection="false">
      <alignment horizontal="center" vertical="bottom" textRotation="0" wrapText="false" indent="0" shrinkToFit="false"/>
      <protection locked="true" hidden="false"/>
    </xf>
    <xf numFmtId="174" fontId="13" fillId="0" borderId="6" xfId="0" applyFont="true" applyBorder="true" applyAlignment="true" applyProtection="false">
      <alignment horizontal="center" vertical="bottom" textRotation="0" wrapText="false" indent="0" shrinkToFit="false"/>
      <protection locked="true" hidden="false"/>
    </xf>
    <xf numFmtId="171" fontId="13" fillId="0" borderId="6" xfId="0" applyFont="true" applyBorder="true" applyAlignment="true" applyProtection="false">
      <alignment horizontal="center" vertical="bottom" textRotation="0" wrapText="false" indent="0" shrinkToFit="false"/>
      <protection locked="true" hidden="false"/>
    </xf>
    <xf numFmtId="171" fontId="13" fillId="0" borderId="7" xfId="0" applyFont="true" applyBorder="true" applyAlignment="true" applyProtection="false">
      <alignment horizontal="center" vertical="bottom" textRotation="0" wrapText="false" indent="0" shrinkToFit="false"/>
      <protection locked="true" hidden="false"/>
    </xf>
    <xf numFmtId="174" fontId="13" fillId="0" borderId="11" xfId="0" applyFont="true" applyBorder="true" applyAlignment="true" applyProtection="false">
      <alignment horizontal="center" vertical="bottom" textRotation="0" wrapText="false" indent="0" shrinkToFit="false"/>
      <protection locked="true" hidden="false"/>
    </xf>
    <xf numFmtId="174" fontId="16" fillId="0" borderId="11" xfId="0" applyFont="true" applyBorder="true" applyAlignment="true" applyProtection="false">
      <alignment horizontal="center" vertical="bottom" textRotation="0" wrapText="false" indent="0" shrinkToFit="false"/>
      <protection locked="true" hidden="false"/>
    </xf>
    <xf numFmtId="171" fontId="16" fillId="0" borderId="6" xfId="0" applyFont="true" applyBorder="true" applyAlignment="true" applyProtection="false">
      <alignment horizontal="center" vertical="bottom" textRotation="0" wrapText="false" indent="0" shrinkToFit="false"/>
      <protection locked="true" hidden="false"/>
    </xf>
    <xf numFmtId="178" fontId="16" fillId="0" borderId="6" xfId="0" applyFont="true" applyBorder="true" applyAlignment="true" applyProtection="false">
      <alignment horizontal="center" vertical="bottom" textRotation="0" wrapText="false" indent="0" shrinkToFit="false"/>
      <protection locked="true" hidden="false"/>
    </xf>
    <xf numFmtId="171" fontId="18" fillId="0" borderId="7" xfId="0" applyFont="true" applyBorder="true" applyAlignment="true" applyProtection="false">
      <alignment horizontal="center" vertical="bottom" textRotation="0" wrapText="false" indent="0" shrinkToFit="false"/>
      <protection locked="true" hidden="false"/>
    </xf>
    <xf numFmtId="164" fontId="13" fillId="0" borderId="9" xfId="0" applyFont="true" applyBorder="true" applyAlignment="false" applyProtection="false">
      <alignment horizontal="general" vertical="bottom" textRotation="0" wrapText="false" indent="0" shrinkToFit="false"/>
      <protection locked="true" hidden="false"/>
    </xf>
    <xf numFmtId="174" fontId="13" fillId="0" borderId="9" xfId="0" applyFont="true" applyBorder="true" applyAlignment="false" applyProtection="false">
      <alignment horizontal="general" vertical="bottom" textRotation="0" wrapText="false" indent="0" shrinkToFit="false"/>
      <protection locked="true" hidden="false"/>
    </xf>
    <xf numFmtId="175" fontId="13" fillId="0" borderId="0" xfId="0" applyFont="true" applyBorder="false" applyAlignment="true" applyProtection="false">
      <alignment horizontal="center" vertical="bottom" textRotation="0" wrapText="false" indent="0" shrinkToFit="false"/>
      <protection locked="true" hidden="false"/>
    </xf>
    <xf numFmtId="179" fontId="13" fillId="0" borderId="0" xfId="0" applyFont="true" applyBorder="false" applyAlignment="true" applyProtection="false">
      <alignment horizontal="general" vertical="center" textRotation="0" wrapText="false" indent="0" shrinkToFit="false"/>
      <protection locked="true" hidden="false"/>
    </xf>
    <xf numFmtId="180" fontId="18" fillId="0" borderId="0" xfId="0" applyFont="true" applyBorder="false" applyAlignment="false" applyProtection="false">
      <alignment horizontal="general" vertical="bottom" textRotation="0" wrapText="false" indent="0" shrinkToFit="false"/>
      <protection locked="true" hidden="false"/>
    </xf>
    <xf numFmtId="180" fontId="13"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74" fontId="33" fillId="0" borderId="0" xfId="19"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left"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36" fillId="0" borderId="6" xfId="0" applyFont="true" applyBorder="true" applyAlignment="true" applyProtection="false">
      <alignment horizontal="center" vertical="bottom" textRotation="0" wrapText="false" indent="0" shrinkToFit="false"/>
      <protection locked="true" hidden="false"/>
    </xf>
    <xf numFmtId="164" fontId="34" fillId="0" borderId="6" xfId="0" applyFont="true" applyBorder="true" applyAlignment="false" applyProtection="false">
      <alignment horizontal="general" vertical="bottom" textRotation="0" wrapText="false" indent="0" shrinkToFit="false"/>
      <protection locked="true" hidden="false"/>
    </xf>
    <xf numFmtId="168" fontId="34" fillId="0" borderId="6" xfId="19" applyFont="true" applyBorder="true" applyAlignment="true" applyProtection="false">
      <alignment horizontal="center" vertical="bottom" textRotation="0" wrapText="false" indent="0" shrinkToFit="false"/>
      <protection locked="true" hidden="false"/>
    </xf>
    <xf numFmtId="164" fontId="37" fillId="4" borderId="29" xfId="0" applyFont="true" applyBorder="true" applyAlignment="true" applyProtection="false">
      <alignment horizontal="left" vertical="bottom" textRotation="0" wrapText="false" indent="0" shrinkToFit="false"/>
      <protection locked="true" hidden="false"/>
    </xf>
    <xf numFmtId="177" fontId="37" fillId="4" borderId="10" xfId="0" applyFont="true" applyBorder="true" applyAlignment="true" applyProtection="true">
      <alignment horizontal="center" vertical="bottom" textRotation="0" wrapText="false" indent="0" shrinkToFit="false"/>
      <protection locked="false" hidden="false"/>
    </xf>
    <xf numFmtId="177" fontId="37" fillId="4" borderId="3" xfId="0" applyFont="true" applyBorder="true" applyAlignment="true" applyProtection="true">
      <alignment horizontal="center" vertical="bottom" textRotation="0" wrapText="false" indent="0" shrinkToFit="false"/>
      <protection locked="false" hidden="false"/>
    </xf>
    <xf numFmtId="164" fontId="32" fillId="9" borderId="3" xfId="0" applyFont="true" applyBorder="true" applyAlignment="true" applyProtection="true">
      <alignment horizontal="center" vertical="bottom" textRotation="0" wrapText="false" indent="0" shrinkToFit="false"/>
      <protection locked="false" hidden="false"/>
    </xf>
    <xf numFmtId="164" fontId="32" fillId="7" borderId="3" xfId="0" applyFont="true" applyBorder="true" applyAlignment="true" applyProtection="true">
      <alignment horizontal="center" vertical="bottom" textRotation="0" wrapText="false" indent="0" shrinkToFit="false"/>
      <protection locked="false" hidden="false"/>
    </xf>
    <xf numFmtId="164" fontId="32" fillId="10" borderId="31" xfId="0" applyFont="true" applyBorder="true" applyAlignment="true" applyProtection="false">
      <alignment horizontal="left" vertical="bottom" textRotation="0" wrapText="false" indent="0" shrinkToFit="false"/>
      <protection locked="true" hidden="false"/>
    </xf>
    <xf numFmtId="181" fontId="32" fillId="10" borderId="10" xfId="0" applyFont="true" applyBorder="true" applyAlignment="true" applyProtection="false">
      <alignment horizontal="center" vertical="bottom" textRotation="0" wrapText="false" indent="0" shrinkToFit="false"/>
      <protection locked="true" hidden="false"/>
    </xf>
    <xf numFmtId="181" fontId="32" fillId="10" borderId="3" xfId="0" applyFont="true" applyBorder="true" applyAlignment="true" applyProtection="false">
      <alignment horizontal="center" vertical="bottom" textRotation="0" wrapText="false" indent="0" shrinkToFit="false"/>
      <protection locked="true" hidden="false"/>
    </xf>
    <xf numFmtId="181" fontId="32" fillId="10" borderId="5" xfId="0" applyFont="true" applyBorder="true" applyAlignment="true" applyProtection="false">
      <alignment horizontal="center" vertical="bottom" textRotation="0" wrapText="false" indent="0" shrinkToFit="false"/>
      <protection locked="true" hidden="false"/>
    </xf>
    <xf numFmtId="181" fontId="32" fillId="10" borderId="31" xfId="0" applyFont="true" applyBorder="true" applyAlignment="true" applyProtection="false">
      <alignment horizontal="center" vertical="bottom" textRotation="0" wrapText="false" indent="0" shrinkToFit="false"/>
      <protection locked="true" hidden="false"/>
    </xf>
    <xf numFmtId="168" fontId="32" fillId="10" borderId="5" xfId="19" applyFont="true" applyBorder="true" applyAlignment="true" applyProtection="false">
      <alignment horizontal="center" vertical="bottom" textRotation="0" wrapText="false" indent="0" shrinkToFit="false"/>
      <protection locked="true" hidden="false"/>
    </xf>
    <xf numFmtId="168" fontId="32" fillId="10" borderId="31" xfId="19" applyFont="true" applyBorder="true" applyAlignment="true" applyProtection="false">
      <alignment horizontal="center" vertical="bottom" textRotation="0" wrapText="false" indent="0" shrinkToFit="false"/>
      <protection locked="true" hidden="false"/>
    </xf>
    <xf numFmtId="182" fontId="0" fillId="0" borderId="0" xfId="0" applyFont="true" applyBorder="false" applyAlignment="false" applyProtection="false">
      <alignment horizontal="general" vertical="bottom" textRotation="0" wrapText="false" indent="0" shrinkToFit="false"/>
      <protection locked="true" hidden="false"/>
    </xf>
    <xf numFmtId="182" fontId="32" fillId="10" borderId="31" xfId="0" applyFont="true" applyBorder="true" applyAlignment="true" applyProtection="false">
      <alignment horizontal="left" vertical="bottom" textRotation="0" wrapText="false" indent="0" shrinkToFit="false"/>
      <protection locked="true" hidden="false"/>
    </xf>
    <xf numFmtId="183" fontId="32" fillId="10" borderId="5" xfId="0" applyFont="true" applyBorder="true" applyAlignment="true" applyProtection="false">
      <alignment horizontal="center" vertical="bottom" textRotation="0" wrapText="false" indent="0" shrinkToFit="false"/>
      <protection locked="true" hidden="false"/>
    </xf>
    <xf numFmtId="183" fontId="32" fillId="10" borderId="31" xfId="0" applyFont="true" applyBorder="true" applyAlignment="true" applyProtection="false">
      <alignment horizontal="center" vertical="bottom" textRotation="0" wrapText="false" indent="0" shrinkToFit="false"/>
      <protection locked="true" hidden="false"/>
    </xf>
    <xf numFmtId="176" fontId="0" fillId="0" borderId="0" xfId="19" applyFont="true" applyBorder="false" applyAlignment="false" applyProtection="false">
      <alignment horizontal="general" vertical="bottom" textRotation="0" wrapText="false" indent="0" shrinkToFit="false"/>
      <protection locked="true" hidden="false"/>
    </xf>
    <xf numFmtId="182" fontId="32" fillId="10" borderId="30" xfId="0" applyFont="true" applyBorder="true" applyAlignment="true" applyProtection="false">
      <alignment horizontal="left" vertical="bottom" textRotation="0" wrapText="false" indent="0" shrinkToFit="false"/>
      <protection locked="true" hidden="false"/>
    </xf>
    <xf numFmtId="183" fontId="32" fillId="10" borderId="7" xfId="0" applyFont="true" applyBorder="true" applyAlignment="true" applyProtection="false">
      <alignment horizontal="center" vertical="bottom" textRotation="0" wrapText="false" indent="0" shrinkToFit="false"/>
      <protection locked="true" hidden="false"/>
    </xf>
    <xf numFmtId="183" fontId="32" fillId="10" borderId="30" xfId="0" applyFont="true" applyBorder="true" applyAlignment="true" applyProtection="false">
      <alignment horizontal="center" vertical="bottom" textRotation="0" wrapText="false" indent="0" shrinkToFit="false"/>
      <protection locked="true" hidden="false"/>
    </xf>
    <xf numFmtId="164" fontId="32" fillId="0" borderId="31" xfId="0" applyFont="true" applyBorder="true" applyAlignment="true" applyProtection="false">
      <alignment horizontal="left" vertical="bottom" textRotation="0" wrapText="false" indent="0" shrinkToFit="false"/>
      <protection locked="true" hidden="false"/>
    </xf>
    <xf numFmtId="181" fontId="32" fillId="0" borderId="0" xfId="0" applyFont="true" applyBorder="false" applyAlignment="true" applyProtection="false">
      <alignment horizontal="center" vertical="bottom" textRotation="0" wrapText="false" indent="0" shrinkToFit="false"/>
      <protection locked="true" hidden="false"/>
    </xf>
    <xf numFmtId="180" fontId="32" fillId="0" borderId="0" xfId="0" applyFont="true" applyBorder="false" applyAlignment="true" applyProtection="false">
      <alignment horizontal="center" vertical="bottom" textRotation="0" wrapText="false" indent="0" shrinkToFit="false"/>
      <protection locked="true" hidden="false"/>
    </xf>
    <xf numFmtId="164" fontId="32" fillId="0" borderId="5" xfId="0" applyFont="true" applyBorder="true" applyAlignment="true" applyProtection="false">
      <alignment horizontal="center" vertical="bottom" textRotation="0" wrapText="false" indent="0" shrinkToFit="false"/>
      <protection locked="true" hidden="false"/>
    </xf>
    <xf numFmtId="181" fontId="32" fillId="0" borderId="4" xfId="0" applyFont="true" applyBorder="true" applyAlignment="true" applyProtection="false">
      <alignment horizontal="center"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84" fontId="32" fillId="0" borderId="0" xfId="0" applyFont="true" applyBorder="false" applyAlignment="true" applyProtection="false">
      <alignment horizontal="center" vertical="center" textRotation="0" wrapText="false" indent="0" shrinkToFit="false"/>
      <protection locked="true" hidden="false"/>
    </xf>
    <xf numFmtId="180" fontId="32" fillId="0" borderId="0" xfId="0" applyFont="true" applyBorder="false" applyAlignment="true" applyProtection="false">
      <alignment horizontal="center" vertical="center" textRotation="0" wrapText="false" indent="0" shrinkToFit="false"/>
      <protection locked="true" hidden="false"/>
    </xf>
    <xf numFmtId="183" fontId="32" fillId="0" borderId="5" xfId="0" applyFont="true" applyBorder="true" applyAlignment="true" applyProtection="false">
      <alignment horizontal="center" vertical="center" textRotation="0" wrapText="false" indent="0" shrinkToFit="false"/>
      <protection locked="true" hidden="false"/>
    </xf>
    <xf numFmtId="184" fontId="32" fillId="0" borderId="4" xfId="0" applyFont="true" applyBorder="true" applyAlignment="true" applyProtection="false">
      <alignment horizontal="center" vertical="center" textRotation="0" wrapText="false" indent="0" shrinkToFit="false"/>
      <protection locked="true" hidden="false"/>
    </xf>
    <xf numFmtId="168" fontId="0" fillId="0" borderId="0" xfId="19" applyFont="true" applyBorder="false" applyAlignment="false" applyProtection="false">
      <alignment horizontal="general" vertical="bottom" textRotation="0" wrapText="false" indent="0" shrinkToFit="false"/>
      <protection locked="true" hidden="false"/>
    </xf>
    <xf numFmtId="164" fontId="31" fillId="0" borderId="31" xfId="0" applyFont="true" applyBorder="true" applyAlignment="true" applyProtection="false">
      <alignment horizontal="left" vertical="bottom" textRotation="0" wrapText="false" indent="0" shrinkToFit="false"/>
      <protection locked="true" hidden="false"/>
    </xf>
    <xf numFmtId="171" fontId="31" fillId="0" borderId="0" xfId="21" applyFont="true" applyBorder="false" applyAlignment="true" applyProtection="false">
      <alignment horizontal="center" vertical="center" textRotation="0" wrapText="false" indent="0" shrinkToFit="false"/>
      <protection locked="true" hidden="false"/>
    </xf>
    <xf numFmtId="174" fontId="31" fillId="0" borderId="0" xfId="21" applyFont="true" applyBorder="false" applyAlignment="true" applyProtection="false">
      <alignment horizontal="center" vertical="center" textRotation="0" wrapText="false" indent="0" shrinkToFit="false"/>
      <protection locked="true" hidden="false"/>
    </xf>
    <xf numFmtId="171" fontId="31" fillId="0" borderId="0" xfId="0" applyFont="true" applyBorder="false" applyAlignment="true" applyProtection="false">
      <alignment horizontal="center" vertical="center" textRotation="0" wrapText="false" indent="0" shrinkToFit="false"/>
      <protection locked="true" hidden="false"/>
    </xf>
    <xf numFmtId="171" fontId="31" fillId="0" borderId="5" xfId="0" applyFont="true" applyBorder="true" applyAlignment="true" applyProtection="false">
      <alignment horizontal="center" vertical="center" textRotation="0" wrapText="false" indent="0" shrinkToFit="false"/>
      <protection locked="true" hidden="false"/>
    </xf>
    <xf numFmtId="171" fontId="31" fillId="0" borderId="4" xfId="21" applyFont="true" applyBorder="true" applyAlignment="true" applyProtection="false">
      <alignment horizontal="center" vertical="center" textRotation="0" wrapText="false" indent="0" shrinkToFit="false"/>
      <protection locked="true" hidden="false"/>
    </xf>
    <xf numFmtId="174" fontId="31" fillId="0" borderId="0" xfId="19" applyFont="true" applyBorder="false" applyAlignment="true" applyProtection="false">
      <alignment horizontal="center" vertical="center" textRotation="0" wrapText="false" indent="0" shrinkToFit="false"/>
      <protection locked="true" hidden="false"/>
    </xf>
    <xf numFmtId="185" fontId="37" fillId="4" borderId="29" xfId="0" applyFont="true" applyBorder="true" applyAlignment="true" applyProtection="false">
      <alignment horizontal="left" vertical="bottom" textRotation="0" wrapText="false" indent="0" shrinkToFit="false"/>
      <protection locked="true" hidden="false"/>
    </xf>
    <xf numFmtId="171" fontId="37" fillId="4" borderId="9" xfId="21" applyFont="true" applyBorder="true" applyAlignment="true" applyProtection="false">
      <alignment horizontal="center" vertical="bottom" textRotation="0" wrapText="false" indent="0" shrinkToFit="false"/>
      <protection locked="true" hidden="false"/>
    </xf>
    <xf numFmtId="174" fontId="37" fillId="4" borderId="28" xfId="19" applyFont="true" applyBorder="true" applyAlignment="true" applyProtection="false">
      <alignment horizontal="center" vertical="bottom" textRotation="0" wrapText="false" indent="0" shrinkToFit="false"/>
      <protection locked="true" hidden="false"/>
    </xf>
    <xf numFmtId="171" fontId="37" fillId="4" borderId="28" xfId="0" applyFont="true" applyBorder="true" applyAlignment="true" applyProtection="false">
      <alignment horizontal="center" vertical="center" textRotation="0" wrapText="false" indent="0" shrinkToFit="false"/>
      <protection locked="true" hidden="false"/>
    </xf>
    <xf numFmtId="171" fontId="37" fillId="4" borderId="15" xfId="0" applyFont="true" applyBorder="true" applyAlignment="true" applyProtection="false">
      <alignment horizontal="center" vertical="center" textRotation="0" wrapText="false" indent="0" shrinkToFit="false"/>
      <protection locked="true" hidden="false"/>
    </xf>
    <xf numFmtId="171" fontId="37" fillId="4" borderId="8" xfId="21" applyFont="true" applyBorder="true" applyAlignment="true" applyProtection="false">
      <alignment horizontal="center" vertical="bottom" textRotation="0" wrapText="false" indent="0" shrinkToFit="false"/>
      <protection locked="true" hidden="false"/>
    </xf>
    <xf numFmtId="185" fontId="32" fillId="0" borderId="31" xfId="0" applyFont="true" applyBorder="true" applyAlignment="true" applyProtection="false">
      <alignment horizontal="left" vertical="bottom" textRotation="0" wrapText="false" indent="0" shrinkToFit="false"/>
      <protection locked="true" hidden="false"/>
    </xf>
    <xf numFmtId="171" fontId="32" fillId="0" borderId="9" xfId="21" applyFont="true" applyBorder="true" applyAlignment="true" applyProtection="false">
      <alignment horizontal="center" vertical="bottom" textRotation="0" wrapText="false" indent="0" shrinkToFit="false"/>
      <protection locked="true" hidden="false"/>
    </xf>
    <xf numFmtId="174" fontId="32" fillId="0" borderId="0" xfId="19" applyFont="true" applyBorder="false" applyAlignment="true" applyProtection="false">
      <alignment horizontal="center" vertical="bottom" textRotation="0" wrapText="false" indent="0" shrinkToFit="false"/>
      <protection locked="true" hidden="false"/>
    </xf>
    <xf numFmtId="171" fontId="32" fillId="0" borderId="0" xfId="0" applyFont="true" applyBorder="false" applyAlignment="true" applyProtection="false">
      <alignment horizontal="center" vertical="center" textRotation="0" wrapText="false" indent="0" shrinkToFit="false"/>
      <protection locked="true" hidden="false"/>
    </xf>
    <xf numFmtId="171" fontId="32" fillId="0" borderId="5" xfId="0" applyFont="true" applyBorder="true" applyAlignment="true" applyProtection="false">
      <alignment horizontal="center" vertical="center" textRotation="0" wrapText="false" indent="0" shrinkToFit="false"/>
      <protection locked="true" hidden="false"/>
    </xf>
    <xf numFmtId="171" fontId="32" fillId="0" borderId="8" xfId="21" applyFont="true" applyBorder="true" applyAlignment="true" applyProtection="false">
      <alignment horizontal="center" vertical="bottom" textRotation="0" wrapText="false" indent="0" shrinkToFit="false"/>
      <protection locked="true" hidden="false"/>
    </xf>
    <xf numFmtId="171" fontId="31" fillId="0" borderId="0" xfId="0" applyFont="true" applyBorder="false" applyAlignment="true" applyProtection="false">
      <alignment horizontal="center" vertical="bottom" textRotation="0" wrapText="false" indent="0" shrinkToFit="false"/>
      <protection locked="true" hidden="false"/>
    </xf>
    <xf numFmtId="174" fontId="32" fillId="0" borderId="0" xfId="19" applyFont="true" applyBorder="false" applyAlignment="true" applyProtection="false">
      <alignment horizontal="center" vertical="center" textRotation="0" wrapText="false" indent="0" shrinkToFit="false"/>
      <protection locked="true" hidden="false"/>
    </xf>
    <xf numFmtId="171" fontId="31" fillId="0" borderId="5" xfId="0" applyFont="true" applyBorder="true" applyAlignment="true" applyProtection="false">
      <alignment horizontal="center" vertical="bottom" textRotation="0" wrapText="false" indent="0" shrinkToFit="false"/>
      <protection locked="true" hidden="false"/>
    </xf>
    <xf numFmtId="171" fontId="31" fillId="0" borderId="4" xfId="0" applyFont="true" applyBorder="true" applyAlignment="true" applyProtection="false">
      <alignment horizontal="center" vertical="bottom" textRotation="0" wrapText="false" indent="0" shrinkToFit="false"/>
      <protection locked="true" hidden="false"/>
    </xf>
    <xf numFmtId="185" fontId="31" fillId="0" borderId="31" xfId="0" applyFont="true" applyBorder="true" applyAlignment="true" applyProtection="false">
      <alignment horizontal="left"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85" fontId="32" fillId="10" borderId="29" xfId="0" applyFont="true" applyBorder="true" applyAlignment="true" applyProtection="false">
      <alignment horizontal="left" vertical="bottom" textRotation="0" wrapText="false" indent="0" shrinkToFit="false"/>
      <protection locked="true" hidden="false"/>
    </xf>
    <xf numFmtId="171" fontId="32" fillId="10" borderId="9" xfId="21" applyFont="true" applyBorder="true" applyAlignment="true" applyProtection="false">
      <alignment horizontal="center" vertical="center" textRotation="0" wrapText="false" indent="0" shrinkToFit="false"/>
      <protection locked="true" hidden="false"/>
    </xf>
    <xf numFmtId="174" fontId="32" fillId="10" borderId="28" xfId="19" applyFont="true" applyBorder="true" applyAlignment="true" applyProtection="false">
      <alignment horizontal="center" vertical="bottom" textRotation="0" wrapText="false" indent="0" shrinkToFit="false"/>
      <protection locked="true" hidden="false"/>
    </xf>
    <xf numFmtId="171" fontId="32" fillId="10" borderId="28" xfId="0" applyFont="true" applyBorder="true" applyAlignment="true" applyProtection="false">
      <alignment horizontal="center" vertical="center" textRotation="0" wrapText="false" indent="0" shrinkToFit="false"/>
      <protection locked="true" hidden="false"/>
    </xf>
    <xf numFmtId="171" fontId="32" fillId="10" borderId="15" xfId="0" applyFont="true" applyBorder="true" applyAlignment="true" applyProtection="false">
      <alignment horizontal="center" vertical="center" textRotation="0" wrapText="false" indent="0" shrinkToFit="false"/>
      <protection locked="true" hidden="false"/>
    </xf>
    <xf numFmtId="171" fontId="32" fillId="10" borderId="8" xfId="21"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71" fontId="32" fillId="0" borderId="0" xfId="0" applyFont="true" applyBorder="false" applyAlignment="true" applyProtection="false">
      <alignment horizontal="center" vertical="bottom" textRotation="0" wrapText="false" indent="0" shrinkToFit="false"/>
      <protection locked="true" hidden="false"/>
    </xf>
    <xf numFmtId="171" fontId="32" fillId="0" borderId="5" xfId="0" applyFont="true" applyBorder="true" applyAlignment="true" applyProtection="false">
      <alignment horizontal="center" vertical="bottom" textRotation="0" wrapText="false" indent="0" shrinkToFit="false"/>
      <protection locked="true" hidden="false"/>
    </xf>
    <xf numFmtId="171" fontId="32" fillId="0" borderId="4" xfId="0" applyFont="true" applyBorder="true" applyAlignment="true" applyProtection="false">
      <alignment horizontal="center" vertical="center" textRotation="0" wrapText="false" indent="0" shrinkToFit="false"/>
      <protection locked="true" hidden="false"/>
    </xf>
    <xf numFmtId="186" fontId="0" fillId="0" borderId="0" xfId="0" applyFont="true" applyBorder="false" applyAlignment="false" applyProtection="false">
      <alignment horizontal="general" vertical="bottom" textRotation="0" wrapText="false" indent="0" shrinkToFit="false"/>
      <protection locked="true" hidden="false"/>
    </xf>
    <xf numFmtId="174" fontId="32" fillId="10" borderId="28" xfId="19" applyFont="true" applyBorder="true" applyAlignment="true" applyProtection="false">
      <alignment horizontal="center" vertical="center" textRotation="0" wrapText="false" indent="0" shrinkToFit="false"/>
      <protection locked="true" hidden="false"/>
    </xf>
    <xf numFmtId="171" fontId="32" fillId="0" borderId="9" xfId="21" applyFont="true" applyBorder="true" applyAlignment="true" applyProtection="false">
      <alignment horizontal="center" vertical="center" textRotation="0" wrapText="false" indent="0" shrinkToFit="false"/>
      <protection locked="true" hidden="false"/>
    </xf>
    <xf numFmtId="171" fontId="32" fillId="0" borderId="8" xfId="21" applyFont="true" applyBorder="true" applyAlignment="true" applyProtection="false">
      <alignment horizontal="center" vertical="center" textRotation="0" wrapText="false" indent="0" shrinkToFit="false"/>
      <protection locked="true" hidden="false"/>
    </xf>
    <xf numFmtId="185" fontId="37" fillId="0" borderId="31" xfId="0" applyFont="true" applyBorder="true" applyAlignment="true" applyProtection="false">
      <alignment horizontal="left" vertical="bottom" textRotation="0" wrapText="false" indent="0" shrinkToFit="false"/>
      <protection locked="true" hidden="false"/>
    </xf>
    <xf numFmtId="171" fontId="37" fillId="0" borderId="0" xfId="21" applyFont="true" applyBorder="false" applyAlignment="true" applyProtection="false">
      <alignment horizontal="center" vertical="bottom" textRotation="0" wrapText="false" indent="0" shrinkToFit="false"/>
      <protection locked="true" hidden="false"/>
    </xf>
    <xf numFmtId="174" fontId="37" fillId="0" borderId="0" xfId="19" applyFont="true" applyBorder="false" applyAlignment="true" applyProtection="false">
      <alignment horizontal="center" vertical="bottom" textRotation="0" wrapText="false" indent="0" shrinkToFit="false"/>
      <protection locked="true" hidden="false"/>
    </xf>
    <xf numFmtId="171" fontId="37" fillId="0" borderId="0" xfId="0" applyFont="true" applyBorder="false" applyAlignment="true" applyProtection="false">
      <alignment horizontal="center" vertical="center" textRotation="0" wrapText="false" indent="0" shrinkToFit="false"/>
      <protection locked="true" hidden="false"/>
    </xf>
    <xf numFmtId="171" fontId="37" fillId="0" borderId="5" xfId="0" applyFont="true" applyBorder="true" applyAlignment="true" applyProtection="false">
      <alignment horizontal="center" vertical="center" textRotation="0" wrapText="false" indent="0" shrinkToFit="false"/>
      <protection locked="true" hidden="false"/>
    </xf>
    <xf numFmtId="171" fontId="37" fillId="0" borderId="4" xfId="21" applyFont="true" applyBorder="true" applyAlignment="true" applyProtection="false">
      <alignment horizontal="center" vertical="bottom" textRotation="0" wrapText="false" indent="0" shrinkToFit="false"/>
      <protection locked="true" hidden="false"/>
    </xf>
    <xf numFmtId="171" fontId="31" fillId="0" borderId="4" xfId="0" applyFont="true" applyBorder="true" applyAlignment="true" applyProtection="false">
      <alignment horizontal="center" vertical="center" textRotation="0" wrapText="false" indent="0" shrinkToFit="false"/>
      <protection locked="true" hidden="false"/>
    </xf>
    <xf numFmtId="176" fontId="34" fillId="0" borderId="0" xfId="0" applyFont="true" applyBorder="false" applyAlignment="false" applyProtection="false">
      <alignment horizontal="general" vertical="bottom" textRotation="0" wrapText="false" indent="0" shrinkToFit="false"/>
      <protection locked="true" hidden="false"/>
    </xf>
    <xf numFmtId="171" fontId="31" fillId="0" borderId="9" xfId="0" applyFont="true" applyBorder="true" applyAlignment="true" applyProtection="false">
      <alignment horizontal="center" vertical="center" textRotation="0" wrapText="false" indent="0" shrinkToFit="false"/>
      <protection locked="true" hidden="false"/>
    </xf>
    <xf numFmtId="171" fontId="31" fillId="0" borderId="8" xfId="0" applyFont="true" applyBorder="true" applyAlignment="true" applyProtection="false">
      <alignment horizontal="center" vertical="center" textRotation="0" wrapText="false" indent="0" shrinkToFit="false"/>
      <protection locked="true" hidden="false"/>
    </xf>
    <xf numFmtId="171" fontId="32" fillId="10" borderId="9" xfId="21" applyFont="true" applyBorder="true" applyAlignment="true" applyProtection="false">
      <alignment horizontal="center" vertical="bottom" textRotation="0" wrapText="false" indent="0" shrinkToFit="false"/>
      <protection locked="true" hidden="false"/>
    </xf>
    <xf numFmtId="171" fontId="32" fillId="10" borderId="15" xfId="0" applyFont="true" applyBorder="true" applyAlignment="true" applyProtection="false">
      <alignment horizontal="center" vertical="bottom" textRotation="0" wrapText="false" indent="0" shrinkToFit="false"/>
      <protection locked="true" hidden="false"/>
    </xf>
    <xf numFmtId="171" fontId="32" fillId="10" borderId="8" xfId="21" applyFont="true" applyBorder="true" applyAlignment="true" applyProtection="false">
      <alignment horizontal="center" vertical="bottom" textRotation="0" wrapText="false" indent="0" shrinkToFit="false"/>
      <protection locked="true" hidden="false"/>
    </xf>
    <xf numFmtId="171" fontId="31" fillId="0" borderId="9" xfId="0" applyFont="true" applyBorder="true" applyAlignment="true" applyProtection="false">
      <alignment horizontal="center" vertical="bottom" textRotation="0" wrapText="false" indent="0" shrinkToFit="false"/>
      <protection locked="true" hidden="false"/>
    </xf>
    <xf numFmtId="174" fontId="31" fillId="0" borderId="0" xfId="19" applyFont="true" applyBorder="false" applyAlignment="true" applyProtection="false">
      <alignment horizontal="center" vertical="bottom" textRotation="0" wrapText="false" indent="0" shrinkToFit="false"/>
      <protection locked="true" hidden="false"/>
    </xf>
    <xf numFmtId="171" fontId="31" fillId="0" borderId="8" xfId="0" applyFont="true" applyBorder="true" applyAlignment="true" applyProtection="false">
      <alignment horizontal="center" vertical="bottom" textRotation="0" wrapText="false" indent="0" shrinkToFit="false"/>
      <protection locked="true" hidden="false"/>
    </xf>
    <xf numFmtId="185" fontId="32" fillId="7" borderId="29" xfId="0" applyFont="true" applyBorder="true" applyAlignment="true" applyProtection="false">
      <alignment horizontal="left" vertical="bottom" textRotation="0" wrapText="false" indent="0" shrinkToFit="false"/>
      <protection locked="true" hidden="false"/>
    </xf>
    <xf numFmtId="171" fontId="32" fillId="7" borderId="28" xfId="21" applyFont="true" applyBorder="true" applyAlignment="true" applyProtection="false">
      <alignment horizontal="center" vertical="bottom" textRotation="0" wrapText="false" indent="0" shrinkToFit="false"/>
      <protection locked="true" hidden="false"/>
    </xf>
    <xf numFmtId="174" fontId="32" fillId="7" borderId="28" xfId="19" applyFont="true" applyBorder="true" applyAlignment="true" applyProtection="false">
      <alignment horizontal="center" vertical="bottom" textRotation="0" wrapText="false" indent="0" shrinkToFit="false"/>
      <protection locked="true" hidden="false"/>
    </xf>
    <xf numFmtId="171" fontId="32" fillId="7" borderId="28" xfId="0" applyFont="true" applyBorder="true" applyAlignment="true" applyProtection="false">
      <alignment horizontal="center" vertical="center" textRotation="0" wrapText="false" indent="0" shrinkToFit="false"/>
      <protection locked="true" hidden="false"/>
    </xf>
    <xf numFmtId="171" fontId="32" fillId="7" borderId="15" xfId="0" applyFont="true" applyBorder="true" applyAlignment="true" applyProtection="false">
      <alignment horizontal="center" vertical="bottom" textRotation="0" wrapText="false" indent="0" shrinkToFit="false"/>
      <protection locked="true" hidden="false"/>
    </xf>
    <xf numFmtId="171" fontId="32" fillId="7" borderId="14" xfId="21" applyFont="true" applyBorder="true" applyAlignment="true" applyProtection="false">
      <alignment horizontal="center" vertical="bottom" textRotation="0" wrapText="false" indent="0" shrinkToFit="false"/>
      <protection locked="true" hidden="false"/>
    </xf>
    <xf numFmtId="185" fontId="31" fillId="0" borderId="29" xfId="0" applyFont="true" applyBorder="true" applyAlignment="true" applyProtection="false">
      <alignment horizontal="left" vertical="bottom" textRotation="0" wrapText="false" indent="0" shrinkToFit="false"/>
      <protection locked="true" hidden="false"/>
    </xf>
    <xf numFmtId="171" fontId="31" fillId="0" borderId="28" xfId="21" applyFont="true" applyBorder="true" applyAlignment="true" applyProtection="false">
      <alignment horizontal="center" vertical="bottom" textRotation="0" wrapText="false" indent="0" shrinkToFit="false"/>
      <protection locked="true" hidden="false"/>
    </xf>
    <xf numFmtId="174" fontId="31" fillId="0" borderId="28" xfId="19" applyFont="true" applyBorder="true" applyAlignment="true" applyProtection="false">
      <alignment horizontal="center" vertical="bottom" textRotation="0" wrapText="false" indent="0" shrinkToFit="false"/>
      <protection locked="true" hidden="false"/>
    </xf>
    <xf numFmtId="171" fontId="31" fillId="0" borderId="28" xfId="0" applyFont="true" applyBorder="true" applyAlignment="true" applyProtection="false">
      <alignment horizontal="center" vertical="center" textRotation="0" wrapText="false" indent="0" shrinkToFit="false"/>
      <protection locked="true" hidden="false"/>
    </xf>
    <xf numFmtId="171" fontId="31" fillId="0" borderId="15" xfId="0" applyFont="true" applyBorder="true" applyAlignment="true" applyProtection="false">
      <alignment horizontal="center" vertical="bottom" textRotation="0" wrapText="false" indent="0" shrinkToFit="false"/>
      <protection locked="true" hidden="false"/>
    </xf>
    <xf numFmtId="171" fontId="37" fillId="4" borderId="28" xfId="21" applyFont="true" applyBorder="true" applyAlignment="true" applyProtection="false">
      <alignment horizontal="center" vertical="bottom" textRotation="0" wrapText="false" indent="0" shrinkToFit="false"/>
      <protection locked="true" hidden="false"/>
    </xf>
    <xf numFmtId="171" fontId="37" fillId="4" borderId="15" xfId="0" applyFont="true" applyBorder="true" applyAlignment="true" applyProtection="false">
      <alignment horizontal="center" vertical="bottom" textRotation="0" wrapText="false" indent="0" shrinkToFit="false"/>
      <protection locked="true" hidden="false"/>
    </xf>
    <xf numFmtId="171" fontId="37" fillId="4" borderId="14" xfId="21" applyFont="true" applyBorder="true" applyAlignment="true" applyProtection="false">
      <alignment horizontal="center" vertical="bottom" textRotation="0" wrapText="false" indent="0" shrinkToFit="false"/>
      <protection locked="true" hidden="false"/>
    </xf>
    <xf numFmtId="185" fontId="35" fillId="0" borderId="31" xfId="0" applyFont="true" applyBorder="true" applyAlignment="true" applyProtection="false">
      <alignment horizontal="left" vertical="bottom" textRotation="0" wrapText="false" indent="0" shrinkToFit="false"/>
      <protection locked="true" hidden="false"/>
    </xf>
    <xf numFmtId="171" fontId="31" fillId="0" borderId="0" xfId="21" applyFont="true" applyBorder="false" applyAlignment="true" applyProtection="false">
      <alignment horizontal="center" vertical="bottom" textRotation="0" wrapText="false" indent="0" shrinkToFit="false"/>
      <protection locked="true" hidden="false"/>
    </xf>
    <xf numFmtId="185" fontId="31" fillId="0" borderId="30" xfId="0" applyFont="true" applyBorder="true" applyAlignment="true" applyProtection="false">
      <alignment horizontal="left" vertical="bottom" textRotation="0" wrapText="false" indent="0" shrinkToFit="false"/>
      <protection locked="true" hidden="false"/>
    </xf>
    <xf numFmtId="176" fontId="31" fillId="0" borderId="6" xfId="19" applyFont="true" applyBorder="true" applyAlignment="true" applyProtection="false">
      <alignment horizontal="center" vertical="bottom" textRotation="0" wrapText="false" indent="0" shrinkToFit="false"/>
      <protection locked="true" hidden="false"/>
    </xf>
    <xf numFmtId="176" fontId="31" fillId="0" borderId="7" xfId="19" applyFont="true" applyBorder="true" applyAlignment="true" applyProtection="false">
      <alignment horizontal="center" vertical="bottom" textRotation="0" wrapText="false" indent="0" shrinkToFit="false"/>
      <protection locked="true" hidden="false"/>
    </xf>
    <xf numFmtId="176" fontId="0" fillId="0" borderId="0" xfId="0" applyFont="true" applyBorder="false" applyAlignment="true" applyProtection="false">
      <alignment horizontal="center" vertical="bottom" textRotation="0" wrapText="false" indent="0" shrinkToFit="false"/>
      <protection locked="true" hidden="false"/>
    </xf>
    <xf numFmtId="185" fontId="32" fillId="5" borderId="29" xfId="0" applyFont="true" applyBorder="true" applyAlignment="true" applyProtection="false">
      <alignment horizontal="left" vertical="bottom" textRotation="0" wrapText="false" indent="0" shrinkToFit="false"/>
      <protection locked="true" hidden="false"/>
    </xf>
    <xf numFmtId="171" fontId="32" fillId="5" borderId="28" xfId="21" applyFont="true" applyBorder="true" applyAlignment="true" applyProtection="false">
      <alignment horizontal="center" vertical="bottom" textRotation="0" wrapText="false" indent="0" shrinkToFit="false"/>
      <protection locked="true" hidden="false"/>
    </xf>
    <xf numFmtId="174" fontId="32" fillId="5" borderId="28" xfId="19" applyFont="true" applyBorder="true" applyAlignment="true" applyProtection="false">
      <alignment horizontal="center" vertical="bottom" textRotation="0" wrapText="false" indent="0" shrinkToFit="false"/>
      <protection locked="true" hidden="false"/>
    </xf>
    <xf numFmtId="171" fontId="32" fillId="5" borderId="28" xfId="0" applyFont="true" applyBorder="true" applyAlignment="true" applyProtection="false">
      <alignment horizontal="center" vertical="bottom" textRotation="0" wrapText="false" indent="0" shrinkToFit="false"/>
      <protection locked="true" hidden="false"/>
    </xf>
    <xf numFmtId="171" fontId="32" fillId="5" borderId="15" xfId="0" applyFont="true" applyBorder="true" applyAlignment="true" applyProtection="false">
      <alignment horizontal="center" vertical="bottom" textRotation="0" wrapText="false" indent="0" shrinkToFit="false"/>
      <protection locked="true" hidden="false"/>
    </xf>
    <xf numFmtId="185" fontId="31" fillId="0" borderId="3" xfId="0" applyFont="true" applyBorder="true" applyAlignment="true" applyProtection="false">
      <alignment horizontal="left" vertical="bottom" textRotation="0" wrapText="false" indent="0" shrinkToFit="false"/>
      <protection locked="true" hidden="false"/>
    </xf>
    <xf numFmtId="185" fontId="32" fillId="5" borderId="3" xfId="0" applyFont="true" applyBorder="true" applyAlignment="true" applyProtection="false">
      <alignment horizontal="left" vertical="bottom" textRotation="0" wrapText="false" indent="0" shrinkToFit="false"/>
      <protection locked="true" hidden="false"/>
    </xf>
    <xf numFmtId="171" fontId="32" fillId="5" borderId="9" xfId="21" applyFont="true" applyBorder="true" applyAlignment="true" applyProtection="false">
      <alignment horizontal="center" vertical="bottom" textRotation="0" wrapText="false" indent="0" shrinkToFit="false"/>
      <protection locked="true" hidden="false"/>
    </xf>
    <xf numFmtId="174" fontId="32" fillId="5" borderId="9" xfId="19" applyFont="true" applyBorder="true" applyAlignment="true" applyProtection="false">
      <alignment horizontal="center" vertical="bottom" textRotation="0" wrapText="false" indent="0" shrinkToFit="false"/>
      <protection locked="true" hidden="false"/>
    </xf>
    <xf numFmtId="171" fontId="32" fillId="5" borderId="9" xfId="0" applyFont="true" applyBorder="true" applyAlignment="true" applyProtection="false">
      <alignment horizontal="center" vertical="bottom" textRotation="0" wrapText="false" indent="0" shrinkToFit="false"/>
      <protection locked="true" hidden="false"/>
    </xf>
    <xf numFmtId="171" fontId="32" fillId="5" borderId="10" xfId="0" applyFont="true" applyBorder="true" applyAlignment="true" applyProtection="false">
      <alignment horizontal="center" vertical="bottom" textRotation="0" wrapText="false" indent="0" shrinkToFit="false"/>
      <protection locked="true" hidden="false"/>
    </xf>
    <xf numFmtId="164" fontId="32" fillId="7" borderId="3" xfId="0" applyFont="true" applyBorder="true" applyAlignment="false" applyProtection="false">
      <alignment horizontal="general" vertical="bottom" textRotation="0" wrapText="false" indent="0" shrinkToFit="false"/>
      <protection locked="true" hidden="false"/>
    </xf>
    <xf numFmtId="168" fontId="32" fillId="7" borderId="10" xfId="19" applyFont="true" applyBorder="true" applyAlignment="true" applyProtection="false">
      <alignment horizontal="center" vertical="bottom" textRotation="0" wrapText="false" indent="0" shrinkToFit="false"/>
      <protection locked="true" hidden="false"/>
    </xf>
    <xf numFmtId="168" fontId="32" fillId="7" borderId="3" xfId="19" applyFont="true" applyBorder="true" applyAlignment="true" applyProtection="false">
      <alignment horizontal="center" vertical="bottom" textRotation="0" wrapText="false" indent="0" shrinkToFit="false"/>
      <protection locked="true" hidden="false"/>
    </xf>
    <xf numFmtId="164" fontId="32" fillId="7" borderId="30" xfId="0" applyFont="true" applyBorder="true" applyAlignment="false" applyProtection="false">
      <alignment horizontal="general" vertical="bottom" textRotation="0" wrapText="false" indent="0" shrinkToFit="false"/>
      <protection locked="true" hidden="false"/>
    </xf>
    <xf numFmtId="168" fontId="32" fillId="7" borderId="7" xfId="19" applyFont="true" applyBorder="true" applyAlignment="true" applyProtection="false">
      <alignment horizontal="center" vertical="bottom" textRotation="0" wrapText="false" indent="0" shrinkToFit="false"/>
      <protection locked="true" hidden="false"/>
    </xf>
    <xf numFmtId="168" fontId="32" fillId="7" borderId="30" xfId="19" applyFont="true" applyBorder="true" applyAlignment="true" applyProtection="false">
      <alignment horizontal="center" vertical="bottom" textRotation="0" wrapText="false" indent="0" shrinkToFit="false"/>
      <protection locked="true" hidden="false"/>
    </xf>
    <xf numFmtId="164" fontId="32" fillId="7" borderId="31" xfId="0" applyFont="true" applyBorder="true" applyAlignment="false" applyProtection="false">
      <alignment horizontal="general" vertical="bottom" textRotation="0" wrapText="false" indent="0" shrinkToFit="false"/>
      <protection locked="true" hidden="false"/>
    </xf>
    <xf numFmtId="168" fontId="32" fillId="7" borderId="5" xfId="19" applyFont="true" applyBorder="true" applyAlignment="true" applyProtection="false">
      <alignment horizontal="center" vertical="bottom" textRotation="0" wrapText="false" indent="0" shrinkToFit="false"/>
      <protection locked="true" hidden="false"/>
    </xf>
    <xf numFmtId="168" fontId="32" fillId="7" borderId="31" xfId="19" applyFont="true" applyBorder="tru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left" vertical="bottom" textRotation="0" wrapText="false" indent="0" shrinkToFit="false"/>
      <protection locked="true" hidden="false"/>
    </xf>
    <xf numFmtId="171" fontId="0" fillId="0" borderId="0" xfId="0" applyFont="true" applyBorder="false" applyAlignment="true" applyProtection="false">
      <alignment horizontal="center" vertical="bottom" textRotation="0" wrapText="false" indent="0" shrinkToFit="false"/>
      <protection locked="true" hidden="false"/>
    </xf>
    <xf numFmtId="187" fontId="0" fillId="0" borderId="0" xfId="0" applyFont="true" applyBorder="false" applyAlignment="false" applyProtection="false">
      <alignment horizontal="general" vertical="bottom" textRotation="0" wrapText="false" indent="0" shrinkToFit="false"/>
      <protection locked="true" hidden="false"/>
    </xf>
    <xf numFmtId="171" fontId="39"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77" fontId="0" fillId="0" borderId="0" xfId="0" applyFont="true" applyBorder="false" applyAlignment="true" applyProtection="false">
      <alignment horizontal="center" vertical="bottom" textRotation="0" wrapText="false" indent="0" shrinkToFit="false"/>
      <protection locked="true" hidden="false"/>
    </xf>
    <xf numFmtId="176" fontId="40" fillId="0" borderId="0" xfId="19" applyFont="true" applyBorder="false" applyAlignment="false" applyProtection="false">
      <alignment horizontal="general" vertical="bottom" textRotation="0" wrapText="false" indent="0" shrinkToFit="false"/>
      <protection locked="true" hidden="false"/>
    </xf>
    <xf numFmtId="164" fontId="41" fillId="11" borderId="0" xfId="0" applyFont="true" applyBorder="false" applyAlignment="true" applyProtection="false">
      <alignment horizontal="center" vertical="bottom" textRotation="0" wrapText="false" indent="0" shrinkToFit="false"/>
      <protection locked="true" hidden="false"/>
    </xf>
    <xf numFmtId="164" fontId="36" fillId="11" borderId="0" xfId="0" applyFont="true" applyBorder="false" applyAlignment="true" applyProtection="false">
      <alignment horizontal="center" vertical="bottom" textRotation="0" wrapText="false" indent="0" shrinkToFit="false"/>
      <protection locked="true" hidden="false"/>
    </xf>
    <xf numFmtId="188" fontId="42" fillId="5" borderId="0" xfId="0" applyFont="true" applyBorder="false" applyAlignment="true" applyProtection="false">
      <alignment horizontal="right" vertical="bottom" textRotation="0" wrapText="false" indent="0" shrinkToFit="false"/>
      <protection locked="true" hidden="false"/>
    </xf>
    <xf numFmtId="189" fontId="43" fillId="5" borderId="0" xfId="0" applyFont="true" applyBorder="false" applyAlignment="false" applyProtection="false">
      <alignment horizontal="general" vertical="bottom" textRotation="0" wrapText="false" indent="0" shrinkToFit="false"/>
      <protection locked="true" hidden="false"/>
    </xf>
    <xf numFmtId="189" fontId="44" fillId="5" borderId="0" xfId="0" applyFont="true" applyBorder="false" applyAlignment="false" applyProtection="false">
      <alignment horizontal="general" vertical="bottom" textRotation="0" wrapText="false" indent="0" shrinkToFit="false"/>
      <protection locked="true" hidden="false"/>
    </xf>
    <xf numFmtId="167" fontId="32" fillId="0" borderId="0" xfId="0" applyFont="true" applyBorder="false" applyAlignment="false" applyProtection="false">
      <alignment horizontal="general" vertical="bottom" textRotation="0" wrapText="false" indent="0" shrinkToFit="false"/>
      <protection locked="true" hidden="false"/>
    </xf>
    <xf numFmtId="171" fontId="34" fillId="0" borderId="0" xfId="0" applyFont="true" applyBorder="false" applyAlignment="true" applyProtection="false">
      <alignment horizontal="center"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88" fontId="42" fillId="6" borderId="0" xfId="0" applyFont="true" applyBorder="false" applyAlignment="true" applyProtection="false">
      <alignment horizontal="right" vertical="bottom" textRotation="0" wrapText="false" indent="0" shrinkToFit="false"/>
      <protection locked="true" hidden="false"/>
    </xf>
    <xf numFmtId="170" fontId="45" fillId="0" borderId="0" xfId="15" applyFont="true" applyBorder="false" applyAlignment="false" applyProtection="false">
      <alignment horizontal="general" vertical="bottom" textRotation="0" wrapText="false" indent="0" shrinkToFit="false"/>
      <protection locked="true" hidden="false"/>
    </xf>
    <xf numFmtId="170" fontId="4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6" fontId="45" fillId="0" borderId="0" xfId="0" applyFont="true" applyBorder="false" applyAlignment="false" applyProtection="false">
      <alignment horizontal="general" vertical="bottom" textRotation="0" wrapText="false" indent="0" shrinkToFit="false"/>
      <protection locked="true" hidden="false"/>
    </xf>
    <xf numFmtId="167" fontId="31" fillId="0" borderId="0" xfId="0" applyFont="true" applyBorder="false" applyAlignment="false" applyProtection="false">
      <alignment horizontal="general" vertical="bottom" textRotation="0" wrapText="false" indent="0" shrinkToFit="false"/>
      <protection locked="true" hidden="false"/>
    </xf>
    <xf numFmtId="176" fontId="47" fillId="0" borderId="0" xfId="0" applyFont="true" applyBorder="false" applyAlignment="false" applyProtection="false">
      <alignment horizontal="general"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right" vertical="bottom" textRotation="0" wrapText="false" indent="0" shrinkToFit="false"/>
      <protection locked="true" hidden="false"/>
    </xf>
    <xf numFmtId="167" fontId="50" fillId="0" borderId="0" xfId="0" applyFont="true" applyBorder="false" applyAlignment="true" applyProtection="false">
      <alignment horizontal="center" vertical="bottom" textRotation="0" wrapText="false" indent="0" shrinkToFit="false"/>
      <protection locked="true" hidden="false"/>
    </xf>
    <xf numFmtId="168" fontId="51" fillId="0" borderId="0" xfId="0" applyFont="true" applyBorder="false" applyAlignment="false" applyProtection="false">
      <alignment horizontal="general" vertical="bottom" textRotation="0" wrapText="false" indent="0" shrinkToFit="false"/>
      <protection locked="true" hidden="false"/>
    </xf>
    <xf numFmtId="178" fontId="0" fillId="0" borderId="0" xfId="0" applyFont="true" applyBorder="false" applyAlignment="false" applyProtection="false">
      <alignment horizontal="general" vertical="bottom" textRotation="0" wrapText="false" indent="0" shrinkToFit="false"/>
      <protection locked="true" hidden="false"/>
    </xf>
    <xf numFmtId="178" fontId="0" fillId="0" borderId="0" xfId="0" applyFont="true" applyBorder="false" applyAlignment="true" applyProtection="false">
      <alignment horizontal="center" vertical="bottom" textRotation="0" wrapText="false" indent="0" shrinkToFit="false"/>
      <protection locked="true" hidden="false"/>
    </xf>
    <xf numFmtId="174" fontId="0" fillId="0" borderId="0" xfId="0" applyFont="true" applyBorder="false" applyAlignment="true" applyProtection="false">
      <alignment horizontal="center" vertical="bottom" textRotation="0" wrapText="false" indent="0" shrinkToFit="false"/>
      <protection locked="true" hidden="false"/>
    </xf>
    <xf numFmtId="174" fontId="0" fillId="0" borderId="0" xfId="0" applyFont="true" applyBorder="false" applyAlignment="false" applyProtection="false">
      <alignment horizontal="general" vertical="bottom" textRotation="0" wrapText="false" indent="0" shrinkToFit="false"/>
      <protection locked="true" hidden="false"/>
    </xf>
    <xf numFmtId="169" fontId="52" fillId="4" borderId="3" xfId="0" applyFont="true" applyBorder="true" applyAlignment="true" applyProtection="false">
      <alignment horizontal="center" vertical="bottom" textRotation="0" wrapText="false" indent="0" shrinkToFit="false"/>
      <protection locked="true" hidden="false"/>
    </xf>
    <xf numFmtId="164" fontId="53" fillId="5" borderId="8" xfId="0" applyFont="true" applyBorder="true" applyAlignment="false" applyProtection="false">
      <alignment horizontal="general" vertical="bottom" textRotation="0" wrapText="false" indent="0" shrinkToFit="false"/>
      <protection locked="true" hidden="false"/>
    </xf>
    <xf numFmtId="164" fontId="53" fillId="5" borderId="9" xfId="0" applyFont="true" applyBorder="true" applyAlignment="false" applyProtection="false">
      <alignment horizontal="general" vertical="bottom" textRotation="0" wrapText="false" indent="0" shrinkToFit="false"/>
      <protection locked="true" hidden="false"/>
    </xf>
    <xf numFmtId="171" fontId="53" fillId="5" borderId="3" xfId="0" applyFont="true" applyBorder="true" applyAlignment="true" applyProtection="false">
      <alignment horizontal="center" vertical="bottom" textRotation="0" wrapText="false" indent="0" shrinkToFit="false"/>
      <protection locked="true" hidden="false"/>
    </xf>
    <xf numFmtId="164" fontId="53" fillId="7" borderId="10" xfId="0" applyFont="true" applyBorder="true" applyAlignment="true" applyProtection="false">
      <alignment horizontal="center" vertical="bottom" textRotation="0" wrapText="false" indent="0" shrinkToFit="false"/>
      <protection locked="true" hidden="false"/>
    </xf>
    <xf numFmtId="164" fontId="53" fillId="5" borderId="14" xfId="0" applyFont="true" applyBorder="true" applyAlignment="false" applyProtection="false">
      <alignment horizontal="general" vertical="bottom" textRotation="0" wrapText="false" indent="0" shrinkToFit="false"/>
      <protection locked="true" hidden="false"/>
    </xf>
    <xf numFmtId="164" fontId="53" fillId="5" borderId="28" xfId="0" applyFont="true" applyBorder="true" applyAlignment="false" applyProtection="false">
      <alignment horizontal="general" vertical="bottom" textRotation="0" wrapText="false" indent="0" shrinkToFit="false"/>
      <protection locked="true" hidden="false"/>
    </xf>
    <xf numFmtId="164" fontId="53" fillId="5" borderId="28" xfId="0" applyFont="true" applyBorder="true" applyAlignment="true" applyProtection="false">
      <alignment horizontal="center" vertical="bottom" textRotation="0" wrapText="false" indent="0" shrinkToFit="false"/>
      <protection locked="true" hidden="false"/>
    </xf>
    <xf numFmtId="171" fontId="53" fillId="5" borderId="14" xfId="0" applyFont="true" applyBorder="true" applyAlignment="true" applyProtection="false">
      <alignment horizontal="center" vertical="bottom" textRotation="0" wrapText="false" indent="0" shrinkToFit="false"/>
      <protection locked="true" hidden="false"/>
    </xf>
    <xf numFmtId="164" fontId="53" fillId="5" borderId="15" xfId="0" applyFont="true" applyBorder="true" applyAlignment="true" applyProtection="false">
      <alignment horizontal="center" vertical="bottom" textRotation="0" wrapText="false" indent="0" shrinkToFit="false"/>
      <protection locked="true" hidden="false"/>
    </xf>
    <xf numFmtId="164" fontId="53" fillId="7" borderId="28" xfId="0" applyFont="true" applyBorder="true" applyAlignment="true" applyProtection="false">
      <alignment horizontal="center" vertical="bottom" textRotation="0" wrapText="false" indent="0" shrinkToFit="false"/>
      <protection locked="true" hidden="false"/>
    </xf>
    <xf numFmtId="171" fontId="53" fillId="7" borderId="28" xfId="0" applyFont="true" applyBorder="true" applyAlignment="true" applyProtection="false">
      <alignment horizontal="center" vertical="bottom" textRotation="0" wrapText="false" indent="0" shrinkToFit="false"/>
      <protection locked="true" hidden="false"/>
    </xf>
    <xf numFmtId="178" fontId="53" fillId="7" borderId="28" xfId="0" applyFont="true" applyBorder="true" applyAlignment="true" applyProtection="false">
      <alignment horizontal="center" vertical="bottom" textRotation="0" wrapText="false" indent="0" shrinkToFit="false"/>
      <protection locked="true" hidden="false"/>
    </xf>
    <xf numFmtId="164" fontId="53" fillId="7" borderId="28" xfId="0" applyFont="true" applyBorder="true" applyAlignment="true" applyProtection="false">
      <alignment horizontal="center" vertical="bottom" textRotation="0" wrapText="true" indent="0" shrinkToFit="false"/>
      <protection locked="true" hidden="false"/>
    </xf>
    <xf numFmtId="171" fontId="53" fillId="7" borderId="14" xfId="0" applyFont="true" applyBorder="true" applyAlignment="true" applyProtection="false">
      <alignment horizontal="center" vertical="bottom" textRotation="0" wrapText="true" indent="0" shrinkToFit="false"/>
      <protection locked="true" hidden="false"/>
    </xf>
    <xf numFmtId="171" fontId="53" fillId="7" borderId="28" xfId="0" applyFont="true" applyBorder="true" applyAlignment="true" applyProtection="false">
      <alignment horizontal="center" vertical="bottom" textRotation="0" wrapText="true" indent="0" shrinkToFit="false"/>
      <protection locked="true" hidden="false"/>
    </xf>
    <xf numFmtId="178" fontId="53" fillId="7" borderId="15" xfId="0" applyFont="true" applyBorder="true" applyAlignment="true" applyProtection="false">
      <alignment horizontal="center" vertical="bottom" textRotation="0" wrapText="false" indent="0" shrinkToFit="false"/>
      <protection locked="true" hidden="false"/>
    </xf>
    <xf numFmtId="174" fontId="53" fillId="7" borderId="28" xfId="0" applyFont="true" applyBorder="true" applyAlignment="true" applyProtection="false">
      <alignment horizontal="center" vertical="bottom" textRotation="0" wrapText="true" indent="0" shrinkToFit="false"/>
      <protection locked="true" hidden="false"/>
    </xf>
    <xf numFmtId="174" fontId="53" fillId="7" borderId="15" xfId="0" applyFont="true" applyBorder="true" applyAlignment="true" applyProtection="false">
      <alignment horizontal="center" vertical="bottom" textRotation="0" wrapText="false" indent="0" shrinkToFit="false"/>
      <protection locked="true" hidden="false"/>
    </xf>
    <xf numFmtId="164" fontId="54" fillId="0" borderId="4" xfId="0" applyFont="true" applyBorder="true" applyAlignment="false" applyProtection="false">
      <alignment horizontal="general"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7" fontId="54" fillId="0" borderId="0" xfId="0" applyFont="true" applyBorder="false" applyAlignment="true" applyProtection="false">
      <alignment horizontal="center" vertical="bottom" textRotation="0" wrapText="false" indent="0" shrinkToFit="false"/>
      <protection locked="true" hidden="false"/>
    </xf>
    <xf numFmtId="171" fontId="54" fillId="0" borderId="4" xfId="0" applyFont="true" applyBorder="true" applyAlignment="true" applyProtection="false">
      <alignment horizontal="center" vertical="bottom" textRotation="0" wrapText="false" indent="0" shrinkToFit="false"/>
      <protection locked="true" hidden="false"/>
    </xf>
    <xf numFmtId="171" fontId="54" fillId="0" borderId="5" xfId="0" applyFont="true" applyBorder="true" applyAlignment="true" applyProtection="false">
      <alignment horizontal="center" vertical="bottom" textRotation="0" wrapText="false" indent="0" shrinkToFit="false"/>
      <protection locked="true" hidden="false"/>
    </xf>
    <xf numFmtId="174" fontId="54" fillId="0" borderId="0" xfId="0" applyFont="true" applyBorder="false" applyAlignment="true" applyProtection="false">
      <alignment horizontal="center" vertical="bottom" textRotation="0" wrapText="false" indent="0" shrinkToFit="false"/>
      <protection locked="true" hidden="false"/>
    </xf>
    <xf numFmtId="171" fontId="54" fillId="0" borderId="0" xfId="0" applyFont="true" applyBorder="false" applyAlignment="true" applyProtection="false">
      <alignment horizontal="center" vertical="bottom" textRotation="0" wrapText="false" indent="0" shrinkToFit="false"/>
      <protection locked="true" hidden="false"/>
    </xf>
    <xf numFmtId="178" fontId="54" fillId="0" borderId="0" xfId="0" applyFont="true" applyBorder="false" applyAlignment="true" applyProtection="false">
      <alignment horizontal="center" vertical="bottom" textRotation="0" wrapText="false" indent="0" shrinkToFit="false"/>
      <protection locked="true" hidden="false"/>
    </xf>
    <xf numFmtId="174" fontId="54" fillId="0" borderId="5" xfId="0" applyFont="true" applyBorder="true" applyAlignment="true" applyProtection="false">
      <alignment horizontal="center" vertical="bottom" textRotation="0" wrapText="false" indent="0" shrinkToFit="false"/>
      <protection locked="true" hidden="false"/>
    </xf>
    <xf numFmtId="175" fontId="53" fillId="5" borderId="28" xfId="0" applyFont="true" applyBorder="true" applyAlignment="true" applyProtection="false">
      <alignment horizontal="center" vertical="bottom" textRotation="0" wrapText="false" indent="0" shrinkToFit="false"/>
      <protection locked="true" hidden="false"/>
    </xf>
    <xf numFmtId="171" fontId="53" fillId="5" borderId="15" xfId="0" applyFont="true" applyBorder="true" applyAlignment="true" applyProtection="false">
      <alignment horizontal="center" vertical="bottom" textRotation="0" wrapText="false" indent="0" shrinkToFit="false"/>
      <protection locked="true" hidden="false"/>
    </xf>
    <xf numFmtId="174" fontId="53" fillId="5" borderId="28" xfId="0" applyFont="true" applyBorder="true" applyAlignment="true" applyProtection="false">
      <alignment horizontal="center" vertical="bottom" textRotation="0" wrapText="false" indent="0" shrinkToFit="false"/>
      <protection locked="true" hidden="false"/>
    </xf>
    <xf numFmtId="171" fontId="53" fillId="5" borderId="28" xfId="0" applyFont="true" applyBorder="true" applyAlignment="true" applyProtection="false">
      <alignment horizontal="center" vertical="bottom" textRotation="0" wrapText="false" indent="0" shrinkToFit="false"/>
      <protection locked="true" hidden="false"/>
    </xf>
    <xf numFmtId="178" fontId="53" fillId="5" borderId="28" xfId="0" applyFont="true" applyBorder="true" applyAlignment="true" applyProtection="false">
      <alignment horizontal="center" vertical="bottom" textRotation="0" wrapText="false" indent="0" shrinkToFit="false"/>
      <protection locked="true" hidden="false"/>
    </xf>
    <xf numFmtId="187" fontId="53" fillId="5" borderId="28" xfId="0" applyFont="true" applyBorder="true" applyAlignment="true" applyProtection="false">
      <alignment horizontal="center" vertical="bottom" textRotation="0" wrapText="false" indent="0" shrinkToFit="false"/>
      <protection locked="true" hidden="false"/>
    </xf>
    <xf numFmtId="174" fontId="53" fillId="5" borderId="15" xfId="0" applyFont="true" applyBorder="true" applyAlignment="true" applyProtection="false">
      <alignment horizontal="center" vertical="bottom" textRotation="0" wrapText="false" indent="0" shrinkToFit="false"/>
      <protection locked="true" hidden="false"/>
    </xf>
    <xf numFmtId="169" fontId="55" fillId="7" borderId="3" xfId="0" applyFont="true" applyBorder="tru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3" fillId="7" borderId="4" xfId="0" applyFont="true" applyBorder="true" applyAlignment="false" applyProtection="false">
      <alignment horizontal="general" vertical="bottom" textRotation="0" wrapText="false" indent="0" shrinkToFit="false"/>
      <protection locked="true" hidden="false"/>
    </xf>
    <xf numFmtId="177" fontId="53" fillId="7" borderId="5" xfId="0" applyFont="true" applyBorder="true" applyAlignment="true" applyProtection="false">
      <alignment horizontal="center" vertical="bottom" textRotation="0" wrapText="false" indent="0" shrinkToFit="false"/>
      <protection locked="true" hidden="false"/>
    </xf>
    <xf numFmtId="164" fontId="53" fillId="7" borderId="11" xfId="0" applyFont="true" applyBorder="true" applyAlignment="false" applyProtection="false">
      <alignment horizontal="general" vertical="bottom" textRotation="0" wrapText="false" indent="0" shrinkToFit="false"/>
      <protection locked="true" hidden="false"/>
    </xf>
    <xf numFmtId="177" fontId="53" fillId="7" borderId="7" xfId="0" applyFont="true" applyBorder="true" applyAlignment="true" applyProtection="false">
      <alignment horizontal="center" vertical="bottom" textRotation="0" wrapText="false" indent="0" shrinkToFit="false"/>
      <protection locked="true" hidden="false"/>
    </xf>
    <xf numFmtId="168" fontId="57" fillId="0" borderId="0" xfId="19" applyFont="true" applyBorder="false" applyAlignment="true" applyProtection="false">
      <alignment horizontal="center" vertical="bottom" textRotation="0" wrapText="false" indent="0" shrinkToFit="false"/>
      <protection locked="true" hidden="false"/>
    </xf>
    <xf numFmtId="164" fontId="34" fillId="0" borderId="8" xfId="0" applyFont="true" applyBorder="true" applyAlignment="false" applyProtection="false">
      <alignment horizontal="general" vertical="bottom" textRotation="0" wrapText="false" indent="0" shrinkToFit="false"/>
      <protection locked="true" hidden="false"/>
    </xf>
    <xf numFmtId="164" fontId="34" fillId="0" borderId="9" xfId="0" applyFont="true" applyBorder="true" applyAlignment="false" applyProtection="false">
      <alignment horizontal="general" vertical="bottom" textRotation="0" wrapText="false" indent="0" shrinkToFit="false"/>
      <protection locked="true" hidden="false"/>
    </xf>
    <xf numFmtId="174" fontId="34" fillId="0" borderId="10" xfId="19" applyFont="true" applyBorder="true" applyAlignment="true" applyProtection="false">
      <alignment horizontal="center" vertical="bottom" textRotation="0" wrapText="false" indent="0" shrinkToFit="false"/>
      <protection locked="true" hidden="false"/>
    </xf>
    <xf numFmtId="164" fontId="59" fillId="3" borderId="2" xfId="30" applyFont="true" applyBorder="true" applyAlignment="true" applyProtection="false">
      <alignment horizontal="center" vertical="bottom" textRotation="0" wrapText="false" indent="0" shrinkToFit="false"/>
      <protection locked="true" hidden="false"/>
    </xf>
    <xf numFmtId="164" fontId="34" fillId="0" borderId="11" xfId="0" applyFont="true" applyBorder="true" applyAlignment="false" applyProtection="false">
      <alignment horizontal="general" vertical="bottom" textRotation="0" wrapText="false" indent="0" shrinkToFit="false"/>
      <protection locked="true" hidden="false"/>
    </xf>
    <xf numFmtId="174" fontId="34" fillId="0" borderId="7" xfId="19" applyFont="true" applyBorder="true" applyAlignment="true" applyProtection="false">
      <alignment horizontal="center" vertical="bottom" textRotation="0" wrapText="false" indent="0" shrinkToFit="false"/>
      <protection locked="true" hidden="false"/>
    </xf>
    <xf numFmtId="164" fontId="37" fillId="4" borderId="14" xfId="0" applyFont="true" applyBorder="true" applyAlignment="true" applyProtection="false">
      <alignment horizontal="left" vertical="bottom" textRotation="0" wrapText="false" indent="0" shrinkToFit="false"/>
      <protection locked="true" hidden="false"/>
    </xf>
    <xf numFmtId="164" fontId="32" fillId="10" borderId="4" xfId="0" applyFont="true" applyBorder="true" applyAlignment="true" applyProtection="false">
      <alignment horizontal="left" vertical="bottom" textRotation="0" wrapText="false" indent="0" shrinkToFit="false"/>
      <protection locked="true" hidden="false"/>
    </xf>
    <xf numFmtId="181" fontId="33" fillId="10" borderId="3" xfId="0" applyFont="true" applyBorder="true" applyAlignment="true" applyProtection="false">
      <alignment horizontal="center" vertical="bottom" textRotation="0" wrapText="false" indent="0" shrinkToFit="false"/>
      <protection locked="true" hidden="false"/>
    </xf>
    <xf numFmtId="181" fontId="60" fillId="10" borderId="31" xfId="0" applyFont="true" applyBorder="true" applyAlignment="true" applyProtection="false">
      <alignment horizontal="center" vertical="bottom" textRotation="0" wrapText="false" indent="0" shrinkToFit="false"/>
      <protection locked="true" hidden="false"/>
    </xf>
    <xf numFmtId="181" fontId="33" fillId="10" borderId="31" xfId="0" applyFont="true" applyBorder="true" applyAlignment="true" applyProtection="false">
      <alignment horizontal="center" vertical="bottom" textRotation="0" wrapText="false" indent="0" shrinkToFit="false"/>
      <protection locked="true" hidden="false"/>
    </xf>
    <xf numFmtId="168" fontId="61" fillId="10" borderId="31" xfId="19" applyFont="true" applyBorder="true" applyAlignment="true" applyProtection="false">
      <alignment horizontal="center" vertical="bottom" textRotation="0" wrapText="false" indent="0" shrinkToFit="false"/>
      <protection locked="true" hidden="false"/>
    </xf>
    <xf numFmtId="182" fontId="32" fillId="10" borderId="4" xfId="0" applyFont="true" applyBorder="true" applyAlignment="true" applyProtection="false">
      <alignment horizontal="left" vertical="bottom" textRotation="0" wrapText="false" indent="0" shrinkToFit="false"/>
      <protection locked="true" hidden="false"/>
    </xf>
    <xf numFmtId="171" fontId="61" fillId="10" borderId="31" xfId="19" applyFont="true" applyBorder="true" applyAlignment="true" applyProtection="false">
      <alignment horizontal="center" vertical="bottom" textRotation="0" wrapText="false" indent="0" shrinkToFit="false"/>
      <protection locked="true" hidden="false"/>
    </xf>
    <xf numFmtId="182" fontId="32" fillId="10" borderId="11" xfId="0" applyFont="true" applyBorder="true" applyAlignment="true" applyProtection="false">
      <alignment horizontal="left" vertical="bottom" textRotation="0" wrapText="false" indent="0" shrinkToFit="false"/>
      <protection locked="true" hidden="false"/>
    </xf>
    <xf numFmtId="183" fontId="33" fillId="10" borderId="30" xfId="0" applyFont="true" applyBorder="true" applyAlignment="true" applyProtection="false">
      <alignment horizontal="center" vertical="bottom" textRotation="0" wrapText="false" indent="0" shrinkToFit="false"/>
      <protection locked="true" hidden="false"/>
    </xf>
    <xf numFmtId="183" fontId="0" fillId="0" borderId="0" xfId="0" applyFont="true" applyBorder="false" applyAlignment="false" applyProtection="false">
      <alignment horizontal="general" vertical="bottom" textRotation="0" wrapText="false" indent="0" shrinkToFit="false"/>
      <protection locked="true" hidden="false"/>
    </xf>
    <xf numFmtId="164" fontId="32" fillId="0" borderId="4" xfId="0" applyFont="true" applyBorder="true" applyAlignment="true" applyProtection="false">
      <alignment horizontal="left" vertical="bottom" textRotation="0" wrapText="false" indent="0" shrinkToFit="false"/>
      <protection locked="true" hidden="false"/>
    </xf>
    <xf numFmtId="181" fontId="33" fillId="0" borderId="4" xfId="0" applyFont="true" applyBorder="true" applyAlignment="true" applyProtection="false">
      <alignment horizontal="center" vertical="bottom" textRotation="0" wrapText="false" indent="0" shrinkToFit="false"/>
      <protection locked="true" hidden="false"/>
    </xf>
    <xf numFmtId="181" fontId="33" fillId="0" borderId="0" xfId="0" applyFont="true" applyBorder="false" applyAlignment="true" applyProtection="false">
      <alignment horizontal="center" vertical="bottom" textRotation="0" wrapText="false" indent="0" shrinkToFit="false"/>
      <protection locked="true" hidden="false"/>
    </xf>
    <xf numFmtId="180" fontId="33" fillId="0" borderId="0" xfId="0" applyFont="true" applyBorder="false" applyAlignment="true" applyProtection="false">
      <alignment horizontal="center" vertical="bottom" textRotation="0" wrapText="false" indent="0" shrinkToFit="false"/>
      <protection locked="true" hidden="false"/>
    </xf>
    <xf numFmtId="164" fontId="33" fillId="0" borderId="5" xfId="0" applyFont="true" applyBorder="true" applyAlignment="true" applyProtection="false">
      <alignment horizontal="center" vertical="bottom" textRotation="0" wrapText="false" indent="0" shrinkToFit="false"/>
      <protection locked="true" hidden="false"/>
    </xf>
    <xf numFmtId="184" fontId="33" fillId="0" borderId="4" xfId="0" applyFont="true" applyBorder="true" applyAlignment="true" applyProtection="false">
      <alignment horizontal="center" vertical="center" textRotation="0" wrapText="false" indent="0" shrinkToFit="false"/>
      <protection locked="true" hidden="false"/>
    </xf>
    <xf numFmtId="184" fontId="33" fillId="0" borderId="0" xfId="0" applyFont="true" applyBorder="false" applyAlignment="true" applyProtection="false">
      <alignment horizontal="center" vertical="center" textRotation="0" wrapText="false" indent="0" shrinkToFit="false"/>
      <protection locked="true" hidden="false"/>
    </xf>
    <xf numFmtId="180" fontId="33" fillId="0" borderId="0" xfId="0" applyFont="true" applyBorder="false" applyAlignment="true" applyProtection="false">
      <alignment horizontal="center" vertical="center" textRotation="0" wrapText="false" indent="0" shrinkToFit="false"/>
      <protection locked="true" hidden="false"/>
    </xf>
    <xf numFmtId="183" fontId="33" fillId="0" borderId="5" xfId="0" applyFont="true" applyBorder="true" applyAlignment="true" applyProtection="false">
      <alignment horizontal="center" vertical="center" textRotation="0" wrapText="false" indent="0" shrinkToFit="false"/>
      <protection locked="true" hidden="false"/>
    </xf>
    <xf numFmtId="164" fontId="31" fillId="0" borderId="4" xfId="0" applyFont="true" applyBorder="true" applyAlignment="true" applyProtection="false">
      <alignment horizontal="left" vertical="bottom" textRotation="0" wrapText="false" indent="0" shrinkToFit="false"/>
      <protection locked="true" hidden="false"/>
    </xf>
    <xf numFmtId="171" fontId="35" fillId="0" borderId="4" xfId="21" applyFont="true" applyBorder="true" applyAlignment="true" applyProtection="false">
      <alignment horizontal="center" vertical="center" textRotation="0" wrapText="false" indent="0" shrinkToFit="false"/>
      <protection locked="true" hidden="false"/>
    </xf>
    <xf numFmtId="174" fontId="35" fillId="0" borderId="0" xfId="21" applyFont="true" applyBorder="false" applyAlignment="true" applyProtection="false">
      <alignment horizontal="center" vertical="center" textRotation="0" wrapText="false" indent="0" shrinkToFit="false"/>
      <protection locked="true" hidden="false"/>
    </xf>
    <xf numFmtId="171" fontId="35" fillId="0" borderId="0" xfId="0" applyFont="true" applyBorder="false" applyAlignment="true" applyProtection="false">
      <alignment horizontal="center" vertical="center" textRotation="0" wrapText="false" indent="0" shrinkToFit="false"/>
      <protection locked="true" hidden="false"/>
    </xf>
    <xf numFmtId="171" fontId="35" fillId="0" borderId="5" xfId="0" applyFont="true" applyBorder="true" applyAlignment="true" applyProtection="false">
      <alignment horizontal="center" vertical="center" textRotation="0" wrapText="false" indent="0" shrinkToFit="false"/>
      <protection locked="true" hidden="false"/>
    </xf>
    <xf numFmtId="174" fontId="35" fillId="0" borderId="0" xfId="19" applyFont="true" applyBorder="false" applyAlignment="true" applyProtection="false">
      <alignment horizontal="center" vertical="center" textRotation="0" wrapText="false" indent="0" shrinkToFit="false"/>
      <protection locked="true" hidden="false"/>
    </xf>
    <xf numFmtId="171" fontId="50" fillId="0" borderId="0" xfId="0" applyFont="true" applyBorder="false" applyAlignment="true" applyProtection="false">
      <alignment horizontal="center" vertical="center" textRotation="0" wrapText="false" indent="0" shrinkToFit="false"/>
      <protection locked="true" hidden="false"/>
    </xf>
    <xf numFmtId="185" fontId="37" fillId="4" borderId="14" xfId="0" applyFont="true" applyBorder="true" applyAlignment="true" applyProtection="false">
      <alignment horizontal="left" vertical="bottom" textRotation="0" wrapText="false" indent="0" shrinkToFit="false"/>
      <protection locked="true" hidden="false"/>
    </xf>
    <xf numFmtId="185" fontId="32" fillId="0" borderId="4" xfId="0" applyFont="true" applyBorder="true" applyAlignment="true" applyProtection="false">
      <alignment horizontal="left" vertical="bottom" textRotation="0" wrapText="false" indent="0" shrinkToFit="false"/>
      <protection locked="true" hidden="false"/>
    </xf>
    <xf numFmtId="171" fontId="33" fillId="0" borderId="8" xfId="21" applyFont="true" applyBorder="true" applyAlignment="true" applyProtection="false">
      <alignment horizontal="center" vertical="bottom" textRotation="0" wrapText="false" indent="0" shrinkToFit="false"/>
      <protection locked="true" hidden="false"/>
    </xf>
    <xf numFmtId="171" fontId="33" fillId="0" borderId="0" xfId="0" applyFont="true" applyBorder="false" applyAlignment="true" applyProtection="false">
      <alignment horizontal="center" vertical="center" textRotation="0" wrapText="false" indent="0" shrinkToFit="false"/>
      <protection locked="true" hidden="false"/>
    </xf>
    <xf numFmtId="171" fontId="33" fillId="0" borderId="5" xfId="0" applyFont="true" applyBorder="true" applyAlignment="true" applyProtection="false">
      <alignment horizontal="center" vertical="center" textRotation="0" wrapText="false" indent="0" shrinkToFit="false"/>
      <protection locked="true" hidden="false"/>
    </xf>
    <xf numFmtId="171" fontId="35" fillId="0" borderId="4" xfId="0" applyFont="true" applyBorder="true" applyAlignment="true" applyProtection="false">
      <alignment horizontal="center" vertical="bottom" textRotation="0" wrapText="false" indent="0" shrinkToFit="false"/>
      <protection locked="true" hidden="false"/>
    </xf>
    <xf numFmtId="174" fontId="33" fillId="0" borderId="0" xfId="19" applyFont="true" applyBorder="false" applyAlignment="true" applyProtection="false">
      <alignment horizontal="center" vertical="center" textRotation="0" wrapText="false" indent="0" shrinkToFit="false"/>
      <protection locked="true" hidden="false"/>
    </xf>
    <xf numFmtId="171" fontId="35" fillId="0" borderId="0" xfId="0" applyFont="true" applyBorder="false" applyAlignment="true" applyProtection="false">
      <alignment horizontal="center" vertical="bottom" textRotation="0" wrapText="false" indent="0" shrinkToFit="false"/>
      <protection locked="true" hidden="false"/>
    </xf>
    <xf numFmtId="171" fontId="35" fillId="0" borderId="5" xfId="0" applyFont="true" applyBorder="true" applyAlignment="true" applyProtection="false">
      <alignment horizontal="center" vertical="bottom" textRotation="0" wrapText="false" indent="0" shrinkToFit="false"/>
      <protection locked="true" hidden="false"/>
    </xf>
    <xf numFmtId="185" fontId="31" fillId="0" borderId="4" xfId="0" applyFont="true" applyBorder="true" applyAlignment="true" applyProtection="false">
      <alignment horizontal="left" vertical="bottom" textRotation="0" wrapText="false" indent="0" shrinkToFit="false"/>
      <protection locked="true" hidden="false"/>
    </xf>
    <xf numFmtId="171" fontId="35" fillId="0" borderId="4" xfId="0" applyFont="true" applyBorder="true" applyAlignment="true" applyProtection="false">
      <alignment horizontal="center" vertical="center" textRotation="0" wrapText="false" indent="0" shrinkToFit="false"/>
      <protection locked="true" hidden="false"/>
    </xf>
    <xf numFmtId="174" fontId="50" fillId="0" borderId="0" xfId="19" applyFont="true" applyBorder="false" applyAlignment="true" applyProtection="false">
      <alignment horizontal="center" vertical="center" textRotation="0" wrapText="false" indent="0" shrinkToFit="false"/>
      <protection locked="true" hidden="false"/>
    </xf>
    <xf numFmtId="185" fontId="32" fillId="10" borderId="14" xfId="0" applyFont="true" applyBorder="true" applyAlignment="true" applyProtection="false">
      <alignment horizontal="left" vertical="bottom" textRotation="0" wrapText="false" indent="0" shrinkToFit="false"/>
      <protection locked="true" hidden="false"/>
    </xf>
    <xf numFmtId="171" fontId="33" fillId="10" borderId="8" xfId="21" applyFont="true" applyBorder="true" applyAlignment="true" applyProtection="false">
      <alignment horizontal="center" vertical="center" textRotation="0" wrapText="false" indent="0" shrinkToFit="false"/>
      <protection locked="true" hidden="false"/>
    </xf>
    <xf numFmtId="174" fontId="33" fillId="10" borderId="28" xfId="19" applyFont="true" applyBorder="true" applyAlignment="true" applyProtection="false">
      <alignment horizontal="center" vertical="bottom" textRotation="0" wrapText="false" indent="0" shrinkToFit="false"/>
      <protection locked="true" hidden="false"/>
    </xf>
    <xf numFmtId="171" fontId="33" fillId="10" borderId="28" xfId="0" applyFont="true" applyBorder="true" applyAlignment="true" applyProtection="false">
      <alignment horizontal="center" vertical="center" textRotation="0" wrapText="false" indent="0" shrinkToFit="false"/>
      <protection locked="true" hidden="false"/>
    </xf>
    <xf numFmtId="171" fontId="33" fillId="10" borderId="15" xfId="0" applyFont="true" applyBorder="true" applyAlignment="true" applyProtection="false">
      <alignment horizontal="center" vertical="center" textRotation="0" wrapText="false" indent="0" shrinkToFit="false"/>
      <protection locked="true" hidden="false"/>
    </xf>
    <xf numFmtId="171" fontId="33" fillId="0" borderId="4" xfId="0" applyFont="true" applyBorder="true" applyAlignment="true" applyProtection="false">
      <alignment horizontal="center" vertical="center" textRotation="0" wrapText="false" indent="0" shrinkToFit="false"/>
      <protection locked="true" hidden="false"/>
    </xf>
    <xf numFmtId="171" fontId="33" fillId="0" borderId="0" xfId="0" applyFont="true" applyBorder="false" applyAlignment="true" applyProtection="false">
      <alignment horizontal="center" vertical="bottom" textRotation="0" wrapText="false" indent="0" shrinkToFit="false"/>
      <protection locked="true" hidden="false"/>
    </xf>
    <xf numFmtId="171" fontId="33" fillId="0" borderId="5" xfId="0" applyFont="true" applyBorder="true" applyAlignment="true" applyProtection="false">
      <alignment horizontal="center" vertical="bottom" textRotation="0" wrapText="false" indent="0" shrinkToFit="false"/>
      <protection locked="true" hidden="false"/>
    </xf>
    <xf numFmtId="171" fontId="50" fillId="0" borderId="5" xfId="0" applyFont="true" applyBorder="true" applyAlignment="true" applyProtection="false">
      <alignment horizontal="center" vertical="center" textRotation="0" wrapText="false" indent="0" shrinkToFit="false"/>
      <protection locked="true" hidden="false"/>
    </xf>
    <xf numFmtId="174" fontId="33" fillId="10" borderId="28" xfId="19" applyFont="true" applyBorder="true" applyAlignment="true" applyProtection="false">
      <alignment horizontal="center" vertical="center" textRotation="0" wrapText="false" indent="0" shrinkToFit="false"/>
      <protection locked="true" hidden="false"/>
    </xf>
    <xf numFmtId="171" fontId="33" fillId="0" borderId="8" xfId="21" applyFont="true" applyBorder="true" applyAlignment="true" applyProtection="false">
      <alignment horizontal="center" vertical="center" textRotation="0" wrapText="false" indent="0" shrinkToFit="false"/>
      <protection locked="true" hidden="false"/>
    </xf>
    <xf numFmtId="185" fontId="37" fillId="0" borderId="4" xfId="0" applyFont="true" applyBorder="true" applyAlignment="true" applyProtection="false">
      <alignment horizontal="left" vertical="bottom" textRotation="0" wrapText="false" indent="0" shrinkToFit="false"/>
      <protection locked="true" hidden="false"/>
    </xf>
    <xf numFmtId="171" fontId="35" fillId="0" borderId="8" xfId="0" applyFont="true" applyBorder="true" applyAlignment="true" applyProtection="false">
      <alignment horizontal="center" vertical="center" textRotation="0" wrapText="false" indent="0" shrinkToFit="false"/>
      <protection locked="true" hidden="false"/>
    </xf>
    <xf numFmtId="171" fontId="50" fillId="0" borderId="4"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bottom" textRotation="0" wrapText="false" indent="0" shrinkToFit="false"/>
      <protection locked="true" hidden="false"/>
    </xf>
    <xf numFmtId="176" fontId="50" fillId="0" borderId="0" xfId="0" applyFont="true" applyBorder="false" applyAlignment="true" applyProtection="false">
      <alignment horizontal="center" vertical="bottom" textRotation="0" wrapText="false" indent="0" shrinkToFit="false"/>
      <protection locked="true" hidden="false"/>
    </xf>
    <xf numFmtId="171" fontId="33" fillId="10" borderId="8" xfId="21" applyFont="true" applyBorder="true" applyAlignment="true" applyProtection="false">
      <alignment horizontal="center" vertical="bottom" textRotation="0" wrapText="false" indent="0" shrinkToFit="false"/>
      <protection locked="true" hidden="false"/>
    </xf>
    <xf numFmtId="171" fontId="33" fillId="10" borderId="15" xfId="0" applyFont="true" applyBorder="true" applyAlignment="true" applyProtection="false">
      <alignment horizontal="center" vertical="bottom" textRotation="0" wrapText="false" indent="0" shrinkToFit="false"/>
      <protection locked="true" hidden="false"/>
    </xf>
    <xf numFmtId="171" fontId="35" fillId="0" borderId="8" xfId="0" applyFont="true" applyBorder="true" applyAlignment="true" applyProtection="false">
      <alignment horizontal="center" vertical="bottom" textRotation="0" wrapText="false" indent="0" shrinkToFit="false"/>
      <protection locked="true" hidden="false"/>
    </xf>
    <xf numFmtId="174" fontId="35" fillId="0" borderId="0" xfId="19" applyFont="true" applyBorder="false" applyAlignment="true" applyProtection="false">
      <alignment horizontal="center" vertical="bottom" textRotation="0" wrapText="false" indent="0" shrinkToFit="false"/>
      <protection locked="true" hidden="false"/>
    </xf>
    <xf numFmtId="185" fontId="32" fillId="7" borderId="14" xfId="0" applyFont="true" applyBorder="true" applyAlignment="true" applyProtection="false">
      <alignment horizontal="left" vertical="bottom" textRotation="0" wrapText="false" indent="0" shrinkToFit="false"/>
      <protection locked="true" hidden="false"/>
    </xf>
    <xf numFmtId="171" fontId="33" fillId="7" borderId="8" xfId="21" applyFont="true" applyBorder="true" applyAlignment="true" applyProtection="false">
      <alignment horizontal="center" vertical="bottom" textRotation="0" wrapText="false" indent="0" shrinkToFit="false"/>
      <protection locked="true" hidden="false"/>
    </xf>
    <xf numFmtId="174" fontId="33" fillId="7" borderId="28" xfId="19" applyFont="true" applyBorder="true" applyAlignment="true" applyProtection="false">
      <alignment horizontal="center" vertical="bottom" textRotation="0" wrapText="false" indent="0" shrinkToFit="false"/>
      <protection locked="true" hidden="false"/>
    </xf>
    <xf numFmtId="171" fontId="33" fillId="7" borderId="28" xfId="0" applyFont="true" applyBorder="true" applyAlignment="true" applyProtection="false">
      <alignment horizontal="center" vertical="center" textRotation="0" wrapText="false" indent="0" shrinkToFit="false"/>
      <protection locked="true" hidden="false"/>
    </xf>
    <xf numFmtId="171" fontId="33" fillId="7" borderId="15" xfId="0" applyFont="true" applyBorder="true" applyAlignment="true" applyProtection="false">
      <alignment horizontal="center" vertical="bottom" textRotation="0" wrapText="false" indent="0" shrinkToFit="false"/>
      <protection locked="true" hidden="false"/>
    </xf>
    <xf numFmtId="171" fontId="35" fillId="0" borderId="14" xfId="0" applyFont="true" applyBorder="true" applyAlignment="true" applyProtection="false">
      <alignment horizontal="center" vertical="bottom" textRotation="0" wrapText="false" indent="0" shrinkToFit="false"/>
      <protection locked="true" hidden="false"/>
    </xf>
    <xf numFmtId="174" fontId="50" fillId="0" borderId="0" xfId="19" applyFont="true" applyBorder="false" applyAlignment="true" applyProtection="false">
      <alignment horizontal="center" vertical="bottom" textRotation="0" wrapText="false" indent="0" shrinkToFit="false"/>
      <protection locked="true" hidden="false"/>
    </xf>
    <xf numFmtId="171" fontId="32" fillId="7" borderId="8" xfId="21" applyFont="true" applyBorder="true" applyAlignment="true" applyProtection="false">
      <alignment horizontal="center" vertical="bottom" textRotation="0" wrapText="false" indent="0" shrinkToFit="false"/>
      <protection locked="true" hidden="false"/>
    </xf>
    <xf numFmtId="176" fontId="31" fillId="0" borderId="28" xfId="19" applyFont="true" applyBorder="true" applyAlignment="true" applyProtection="false">
      <alignment horizontal="center" vertical="bottom" textRotation="0" wrapText="false" indent="0" shrinkToFit="false"/>
      <protection locked="true" hidden="false"/>
    </xf>
    <xf numFmtId="176" fontId="31" fillId="0" borderId="15" xfId="19" applyFont="true" applyBorder="true" applyAlignment="true" applyProtection="false">
      <alignment horizontal="center" vertical="bottom" textRotation="0" wrapText="false" indent="0" shrinkToFit="false"/>
      <protection locked="true" hidden="false"/>
    </xf>
    <xf numFmtId="176" fontId="39" fillId="0" borderId="15" xfId="19" applyFont="true" applyBorder="true" applyAlignment="true" applyProtection="false">
      <alignment horizontal="center" vertical="bottom" textRotation="0" wrapText="false" indent="0" shrinkToFit="false"/>
      <protection locked="true" hidden="false"/>
    </xf>
    <xf numFmtId="171" fontId="60" fillId="5" borderId="28" xfId="21" applyFont="true" applyBorder="true" applyAlignment="true" applyProtection="false">
      <alignment horizontal="center" vertical="bottom" textRotation="0" wrapText="false" indent="0" shrinkToFit="false"/>
      <protection locked="true" hidden="false"/>
    </xf>
    <xf numFmtId="171" fontId="33" fillId="5" borderId="15" xfId="0" applyFont="true" applyBorder="true" applyAlignment="true" applyProtection="false">
      <alignment horizontal="center" vertical="bottom" textRotation="0" wrapText="false" indent="0" shrinkToFit="false"/>
      <protection locked="true" hidden="false"/>
    </xf>
    <xf numFmtId="185" fontId="31" fillId="0" borderId="8" xfId="0" applyFont="true" applyBorder="true" applyAlignment="true" applyProtection="false">
      <alignment horizontal="left" vertical="bottom" textRotation="0" wrapText="false" indent="0" shrinkToFit="false"/>
      <protection locked="true" hidden="false"/>
    </xf>
    <xf numFmtId="174" fontId="32" fillId="0" borderId="9" xfId="19" applyFont="true" applyBorder="true" applyAlignment="true" applyProtection="false">
      <alignment horizontal="center" vertical="bottom" textRotation="0" wrapText="false" indent="0" shrinkToFit="false"/>
      <protection locked="true" hidden="false"/>
    </xf>
    <xf numFmtId="171" fontId="32" fillId="0" borderId="9" xfId="0" applyFont="true" applyBorder="true" applyAlignment="true" applyProtection="false">
      <alignment horizontal="center" vertical="bottom" textRotation="0" wrapText="false" indent="0" shrinkToFit="false"/>
      <protection locked="true" hidden="false"/>
    </xf>
    <xf numFmtId="171" fontId="32" fillId="0" borderId="14" xfId="21" applyFont="true" applyBorder="true" applyAlignment="true" applyProtection="false">
      <alignment horizontal="center" vertical="bottom" textRotation="0" wrapText="false" indent="0" shrinkToFit="false"/>
      <protection locked="true" hidden="false"/>
    </xf>
    <xf numFmtId="174" fontId="32" fillId="0" borderId="28" xfId="19" applyFont="true" applyBorder="true" applyAlignment="true" applyProtection="false">
      <alignment horizontal="center" vertical="bottom" textRotation="0" wrapText="false" indent="0" shrinkToFit="false"/>
      <protection locked="true" hidden="false"/>
    </xf>
    <xf numFmtId="171" fontId="32" fillId="0" borderId="28" xfId="0" applyFont="true" applyBorder="true" applyAlignment="true" applyProtection="false">
      <alignment horizontal="center" vertical="bottom" textRotation="0" wrapText="false" indent="0" shrinkToFit="false"/>
      <protection locked="true" hidden="false"/>
    </xf>
    <xf numFmtId="171" fontId="32" fillId="0" borderId="15" xfId="0" applyFont="true" applyBorder="true" applyAlignment="true" applyProtection="false">
      <alignment horizontal="center" vertical="bottom" textRotation="0" wrapText="false" indent="0" shrinkToFit="false"/>
      <protection locked="true" hidden="false"/>
    </xf>
    <xf numFmtId="171" fontId="35" fillId="0" borderId="10" xfId="0" applyFont="true" applyBorder="true" applyAlignment="true" applyProtection="false">
      <alignment horizontal="center" vertical="bottom" textRotation="0" wrapText="false" indent="0" shrinkToFit="false"/>
      <protection locked="true" hidden="false"/>
    </xf>
    <xf numFmtId="164" fontId="38" fillId="0" borderId="9" xfId="0" applyFont="true" applyBorder="true" applyAlignment="true" applyProtection="false">
      <alignment horizontal="left"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true" indent="0" shrinkToFit="false"/>
      <protection locked="true" hidden="false"/>
    </xf>
    <xf numFmtId="164" fontId="35" fillId="0" borderId="0" xfId="0" applyFont="true" applyBorder="false" applyAlignment="true" applyProtection="false">
      <alignment horizontal="center"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62" fillId="0" borderId="0" xfId="25" applyFont="true" applyBorder="false" applyAlignment="false" applyProtection="false">
      <alignment horizontal="general" vertical="bottom" textRotation="0" wrapText="false" indent="0" shrinkToFit="false"/>
      <protection locked="true" hidden="false"/>
    </xf>
    <xf numFmtId="164" fontId="62" fillId="0" borderId="0" xfId="25" applyFont="true" applyBorder="false" applyAlignment="true" applyProtection="false">
      <alignment horizontal="center" vertical="bottom" textRotation="0" wrapText="false" indent="0" shrinkToFit="false"/>
      <protection locked="true" hidden="false"/>
    </xf>
    <xf numFmtId="164" fontId="63" fillId="0" borderId="0" xfId="25" applyFont="true" applyBorder="false" applyAlignment="false" applyProtection="false">
      <alignment horizontal="general" vertical="bottom" textRotation="0" wrapText="false" indent="0" shrinkToFit="false"/>
      <protection locked="true" hidden="false"/>
    </xf>
    <xf numFmtId="164" fontId="64" fillId="0" borderId="0" xfId="25" applyFont="true" applyBorder="false" applyAlignment="false" applyProtection="false">
      <alignment horizontal="general" vertical="bottom" textRotation="0" wrapText="false" indent="0" shrinkToFit="false"/>
      <protection locked="true" hidden="false"/>
    </xf>
    <xf numFmtId="164" fontId="65" fillId="0" borderId="0" xfId="25" applyFont="true" applyBorder="false" applyAlignment="true" applyProtection="false">
      <alignment horizontal="center" vertical="bottom" textRotation="0" wrapText="false" indent="0" shrinkToFit="false"/>
      <protection locked="true" hidden="false"/>
    </xf>
    <xf numFmtId="164" fontId="65" fillId="6" borderId="0" xfId="25" applyFont="true" applyBorder="false" applyAlignment="true" applyProtection="false">
      <alignment horizontal="center" vertical="bottom" textRotation="0" wrapText="false" indent="0" shrinkToFit="false"/>
      <protection locked="true" hidden="false"/>
    </xf>
    <xf numFmtId="164" fontId="66" fillId="0" borderId="0" xfId="25" applyFont="true" applyBorder="false" applyAlignment="true" applyProtection="false">
      <alignment horizontal="center" vertical="bottom" textRotation="0" wrapText="false" indent="0" shrinkToFit="false"/>
      <protection locked="true" hidden="false"/>
    </xf>
    <xf numFmtId="164" fontId="67" fillId="6" borderId="0" xfId="25" applyFont="true" applyBorder="false" applyAlignment="true" applyProtection="false">
      <alignment horizontal="general" vertical="top" textRotation="0" wrapText="false" indent="0" shrinkToFit="false"/>
      <protection locked="true" hidden="false"/>
    </xf>
    <xf numFmtId="164" fontId="68" fillId="6" borderId="0" xfId="25" applyFont="true" applyBorder="false" applyAlignment="true" applyProtection="false">
      <alignment horizontal="left" vertical="center" textRotation="0" wrapText="false" indent="0" shrinkToFit="false"/>
      <protection locked="true" hidden="false"/>
    </xf>
    <xf numFmtId="164" fontId="67" fillId="6" borderId="0" xfId="25" applyFont="true" applyBorder="false" applyAlignment="false" applyProtection="false">
      <alignment horizontal="general" vertical="bottom" textRotation="0" wrapText="false" indent="0" shrinkToFit="false"/>
      <protection locked="true" hidden="false"/>
    </xf>
    <xf numFmtId="164" fontId="69" fillId="6" borderId="0" xfId="25" applyFont="true" applyBorder="false" applyAlignment="true" applyProtection="false">
      <alignment horizontal="center" vertical="bottom" textRotation="0" wrapText="false" indent="0" shrinkToFit="false"/>
      <protection locked="true" hidden="false"/>
    </xf>
    <xf numFmtId="164" fontId="66" fillId="6" borderId="0" xfId="25" applyFont="true" applyBorder="false" applyAlignment="true" applyProtection="false">
      <alignment horizontal="center" vertical="bottom" textRotation="0" wrapText="false" indent="0" shrinkToFit="false"/>
      <protection locked="true" hidden="false"/>
    </xf>
    <xf numFmtId="164" fontId="70" fillId="6" borderId="0" xfId="25" applyFont="true" applyBorder="false" applyAlignment="false" applyProtection="false">
      <alignment horizontal="general" vertical="bottom" textRotation="0" wrapText="false" indent="0" shrinkToFit="false"/>
      <protection locked="true" hidden="false"/>
    </xf>
    <xf numFmtId="183" fontId="67" fillId="6" borderId="0" xfId="25" applyFont="true" applyBorder="false" applyAlignment="true" applyProtection="false">
      <alignment horizontal="center" vertical="bottom" textRotation="0" wrapText="false" indent="0" shrinkToFit="false"/>
      <protection locked="true" hidden="false"/>
    </xf>
    <xf numFmtId="164" fontId="67" fillId="0" borderId="32" xfId="26" applyFont="true" applyBorder="true" applyAlignment="false" applyProtection="false">
      <alignment horizontal="general" vertical="bottom" textRotation="0" wrapText="false" indent="0" shrinkToFit="false"/>
      <protection locked="true" hidden="false"/>
    </xf>
    <xf numFmtId="164" fontId="67" fillId="0" borderId="33" xfId="26" applyFont="true" applyBorder="true" applyAlignment="false" applyProtection="false">
      <alignment horizontal="general" vertical="bottom" textRotation="0" wrapText="false" indent="0" shrinkToFit="false"/>
      <protection locked="true" hidden="false"/>
    </xf>
    <xf numFmtId="164" fontId="68" fillId="0" borderId="33" xfId="26" applyFont="true" applyBorder="true" applyAlignment="true" applyProtection="false">
      <alignment horizontal="left" vertical="bottom" textRotation="0" wrapText="false" indent="0" shrinkToFit="false"/>
      <protection locked="true" hidden="false"/>
    </xf>
    <xf numFmtId="164" fontId="67" fillId="0" borderId="33" xfId="26" applyFont="true" applyBorder="true" applyAlignment="true" applyProtection="false">
      <alignment horizontal="center" vertical="bottom" textRotation="0" wrapText="false" indent="0" shrinkToFit="false"/>
      <protection locked="true" hidden="false"/>
    </xf>
    <xf numFmtId="164" fontId="67" fillId="0" borderId="34" xfId="26" applyFont="true" applyBorder="true" applyAlignment="true" applyProtection="false">
      <alignment horizontal="center" vertical="bottom" textRotation="0" wrapText="false" indent="0" shrinkToFit="false"/>
      <protection locked="true" hidden="false"/>
    </xf>
    <xf numFmtId="164" fontId="68" fillId="0" borderId="35" xfId="26" applyFont="true" applyBorder="true" applyAlignment="true" applyProtection="false">
      <alignment horizontal="left" vertical="bottom" textRotation="0" wrapText="false" indent="0" shrinkToFit="false"/>
      <protection locked="true" hidden="false"/>
    </xf>
    <xf numFmtId="164" fontId="67" fillId="0" borderId="33" xfId="26" applyFont="true" applyBorder="true" applyAlignment="true" applyProtection="false">
      <alignment horizontal="left" vertical="bottom" textRotation="0" wrapText="false" indent="0" shrinkToFit="false"/>
      <protection locked="true" hidden="false"/>
    </xf>
    <xf numFmtId="164" fontId="68" fillId="0" borderId="36" xfId="26" applyFont="true" applyBorder="true" applyAlignment="true" applyProtection="false">
      <alignment horizontal="left" vertical="bottom" textRotation="0" wrapText="false" indent="0" shrinkToFit="false"/>
      <protection locked="true" hidden="false"/>
    </xf>
    <xf numFmtId="164" fontId="68" fillId="0" borderId="37" xfId="26" applyFont="true" applyBorder="true" applyAlignment="true" applyProtection="false">
      <alignment horizontal="left" vertical="bottom" textRotation="0" wrapText="false" indent="0" shrinkToFit="false"/>
      <protection locked="true" hidden="false"/>
    </xf>
    <xf numFmtId="164" fontId="68" fillId="0" borderId="34" xfId="26" applyFont="true" applyBorder="true" applyAlignment="true" applyProtection="false">
      <alignment horizontal="left" vertical="bottom" textRotation="0" wrapText="false" indent="0" shrinkToFit="false"/>
      <protection locked="true" hidden="false"/>
    </xf>
    <xf numFmtId="164" fontId="67" fillId="0" borderId="38" xfId="26" applyFont="true" applyBorder="true" applyAlignment="true" applyProtection="false">
      <alignment horizontal="center" vertical="bottom" textRotation="0" wrapText="false" indent="0" shrinkToFit="false"/>
      <protection locked="true" hidden="false"/>
    </xf>
    <xf numFmtId="164" fontId="62" fillId="0" borderId="0" xfId="25" applyFont="true" applyBorder="false" applyAlignment="true" applyProtection="false">
      <alignment horizontal="general" vertical="center" textRotation="0" wrapText="true" indent="0" shrinkToFit="false"/>
      <protection locked="true" hidden="false"/>
    </xf>
    <xf numFmtId="164" fontId="71" fillId="12" borderId="32" xfId="26" applyFont="true" applyBorder="true" applyAlignment="true" applyProtection="false">
      <alignment horizontal="center" vertical="center" textRotation="0" wrapText="true" indent="0" shrinkToFit="false"/>
      <protection locked="true" hidden="false"/>
    </xf>
    <xf numFmtId="164" fontId="71" fillId="12" borderId="33" xfId="26" applyFont="true" applyBorder="true" applyAlignment="true" applyProtection="false">
      <alignment horizontal="general" vertical="center" textRotation="0" wrapText="true" indent="0" shrinkToFit="false"/>
      <protection locked="true" hidden="false"/>
    </xf>
    <xf numFmtId="164" fontId="71" fillId="12" borderId="33" xfId="26" applyFont="true" applyBorder="true" applyAlignment="true" applyProtection="false">
      <alignment horizontal="center" vertical="center" textRotation="0" wrapText="true" indent="0" shrinkToFit="false"/>
      <protection locked="true" hidden="false"/>
    </xf>
    <xf numFmtId="164" fontId="71" fillId="12" borderId="34" xfId="26" applyFont="true" applyBorder="true" applyAlignment="true" applyProtection="false">
      <alignment horizontal="center" vertical="center" textRotation="0" wrapText="true" indent="0" shrinkToFit="false"/>
      <protection locked="true" hidden="false"/>
    </xf>
    <xf numFmtId="177" fontId="71" fillId="12" borderId="35" xfId="26" applyFont="true" applyBorder="true" applyAlignment="true" applyProtection="false">
      <alignment horizontal="center" vertical="center" textRotation="0" wrapText="true" indent="0" shrinkToFit="false"/>
      <protection locked="true" hidden="false"/>
    </xf>
    <xf numFmtId="164" fontId="71" fillId="12" borderId="38" xfId="26" applyFont="true" applyBorder="true" applyAlignment="true" applyProtection="false">
      <alignment horizontal="center" vertical="center" textRotation="0" wrapText="true" indent="0" shrinkToFit="false"/>
      <protection locked="true" hidden="false"/>
    </xf>
    <xf numFmtId="164" fontId="72" fillId="0" borderId="0" xfId="25" applyFont="true" applyBorder="false" applyAlignment="false" applyProtection="false">
      <alignment horizontal="general" vertical="bottom" textRotation="0" wrapText="false" indent="0" shrinkToFit="false"/>
      <protection locked="true" hidden="false"/>
    </xf>
    <xf numFmtId="164" fontId="63" fillId="0" borderId="39" xfId="26" applyFont="true" applyBorder="true" applyAlignment="false" applyProtection="false">
      <alignment horizontal="general" vertical="bottom" textRotation="0" wrapText="false" indent="0" shrinkToFit="false"/>
      <protection locked="true" hidden="false"/>
    </xf>
    <xf numFmtId="164" fontId="63" fillId="0" borderId="40" xfId="26" applyFont="true" applyBorder="true" applyAlignment="false" applyProtection="false">
      <alignment horizontal="general" vertical="bottom" textRotation="0" wrapText="false" indent="0" shrinkToFit="false"/>
      <protection locked="true" hidden="false"/>
    </xf>
    <xf numFmtId="164" fontId="63" fillId="0" borderId="40" xfId="26" applyFont="true" applyBorder="true" applyAlignment="true" applyProtection="false">
      <alignment horizontal="center" vertical="bottom" textRotation="0" wrapText="false" indent="0" shrinkToFit="false"/>
      <protection locked="true" hidden="false"/>
    </xf>
    <xf numFmtId="164" fontId="63" fillId="0" borderId="41" xfId="26" applyFont="true" applyBorder="true" applyAlignment="true" applyProtection="false">
      <alignment horizontal="center" vertical="bottom" textRotation="0" wrapText="false" indent="0" shrinkToFit="false"/>
      <protection locked="true" hidden="false"/>
    </xf>
    <xf numFmtId="181" fontId="63" fillId="0" borderId="40" xfId="26" applyFont="true" applyBorder="true" applyAlignment="true" applyProtection="false">
      <alignment horizontal="center" vertical="bottom" textRotation="0" wrapText="false" indent="0" shrinkToFit="false"/>
      <protection locked="true" hidden="false"/>
    </xf>
    <xf numFmtId="168" fontId="63" fillId="0" borderId="40" xfId="27" applyFont="true" applyBorder="true" applyAlignment="true" applyProtection="false">
      <alignment horizontal="center" vertical="bottom" textRotation="0" wrapText="false" indent="0" shrinkToFit="false"/>
      <protection locked="true" hidden="false"/>
    </xf>
    <xf numFmtId="172" fontId="63" fillId="0" borderId="40" xfId="26" applyFont="true" applyBorder="true" applyAlignment="true" applyProtection="false">
      <alignment horizontal="center" vertical="bottom" textRotation="0" wrapText="false" indent="0" shrinkToFit="false"/>
      <protection locked="true" hidden="false"/>
    </xf>
    <xf numFmtId="164" fontId="68" fillId="0" borderId="42" xfId="26" applyFont="true" applyBorder="true" applyAlignment="true" applyProtection="false">
      <alignment horizontal="center" vertical="bottom" textRotation="0" wrapText="false" indent="0" shrinkToFit="false"/>
      <protection locked="true" hidden="false"/>
    </xf>
    <xf numFmtId="164" fontId="68" fillId="0" borderId="40" xfId="26" applyFont="true" applyBorder="true" applyAlignment="true" applyProtection="false">
      <alignment horizontal="center" vertical="bottom" textRotation="0" wrapText="false" indent="0" shrinkToFit="false"/>
      <protection locked="true" hidden="false"/>
    </xf>
    <xf numFmtId="164" fontId="68" fillId="0" borderId="41" xfId="26" applyFont="true" applyBorder="true" applyAlignment="true" applyProtection="false">
      <alignment horizontal="center" vertical="bottom" textRotation="0" wrapText="false" indent="0" shrinkToFit="false"/>
      <protection locked="true" hidden="false"/>
    </xf>
    <xf numFmtId="181" fontId="68" fillId="0" borderId="40" xfId="26" applyFont="true" applyBorder="true" applyAlignment="true" applyProtection="false">
      <alignment horizontal="center" vertical="bottom" textRotation="0" wrapText="false" indent="0" shrinkToFit="false"/>
      <protection locked="true" hidden="false"/>
    </xf>
    <xf numFmtId="181" fontId="68" fillId="0" borderId="41" xfId="26" applyFont="true" applyBorder="true" applyAlignment="true" applyProtection="false">
      <alignment horizontal="center" vertical="bottom" textRotation="0" wrapText="false" indent="0" shrinkToFit="false"/>
      <protection locked="true" hidden="false"/>
    </xf>
    <xf numFmtId="168" fontId="68" fillId="0" borderId="40" xfId="26" applyFont="true" applyBorder="true" applyAlignment="true" applyProtection="false">
      <alignment horizontal="center" vertical="bottom" textRotation="0" wrapText="false" indent="0" shrinkToFit="false"/>
      <protection locked="true" hidden="false"/>
    </xf>
    <xf numFmtId="168" fontId="68" fillId="0" borderId="41" xfId="26" applyFont="true" applyBorder="true" applyAlignment="true" applyProtection="false">
      <alignment horizontal="center" vertical="bottom" textRotation="0" wrapText="false" indent="0" shrinkToFit="false"/>
      <protection locked="true" hidden="false"/>
    </xf>
    <xf numFmtId="190" fontId="68" fillId="0" borderId="40" xfId="26" applyFont="true" applyBorder="true" applyAlignment="true" applyProtection="false">
      <alignment horizontal="center" vertical="bottom" textRotation="0" wrapText="false" indent="0" shrinkToFit="false"/>
      <protection locked="true" hidden="false"/>
    </xf>
    <xf numFmtId="190" fontId="68" fillId="0" borderId="41" xfId="26" applyFont="true" applyBorder="true" applyAlignment="true" applyProtection="false">
      <alignment horizontal="center" vertical="bottom" textRotation="0" wrapText="false" indent="0" shrinkToFit="false"/>
      <protection locked="true" hidden="false"/>
    </xf>
    <xf numFmtId="190" fontId="68" fillId="0" borderId="43" xfId="26" applyFont="true" applyBorder="true" applyAlignment="true" applyProtection="false">
      <alignment horizontal="center" vertical="bottom" textRotation="0" wrapText="false" indent="0" shrinkToFit="false"/>
      <protection locked="true" hidden="false"/>
    </xf>
    <xf numFmtId="190" fontId="68" fillId="0" borderId="44" xfId="26" applyFont="true" applyBorder="true" applyAlignment="true" applyProtection="false">
      <alignment horizontal="center" vertical="bottom" textRotation="0" wrapText="false" indent="0" shrinkToFit="false"/>
      <protection locked="true" hidden="false"/>
    </xf>
    <xf numFmtId="183" fontId="68" fillId="0" borderId="40" xfId="26" applyFont="true" applyBorder="true" applyAlignment="true" applyProtection="false">
      <alignment horizontal="center" vertical="bottom" textRotation="0" wrapText="false" indent="0" shrinkToFit="false"/>
      <protection locked="true" hidden="false"/>
    </xf>
    <xf numFmtId="183" fontId="68" fillId="0" borderId="44" xfId="26" applyFont="true" applyBorder="true" applyAlignment="true" applyProtection="false">
      <alignment horizontal="center" vertical="bottom" textRotation="0" wrapText="false" indent="0" shrinkToFit="false"/>
      <protection locked="true" hidden="false"/>
    </xf>
    <xf numFmtId="183" fontId="68" fillId="0" borderId="41" xfId="26" applyFont="true" applyBorder="true" applyAlignment="true" applyProtection="false">
      <alignment horizontal="center" vertical="bottom" textRotation="0" wrapText="false" indent="0" shrinkToFit="false"/>
      <protection locked="true" hidden="false"/>
    </xf>
    <xf numFmtId="183" fontId="68" fillId="0" borderId="45" xfId="26" applyFont="true" applyBorder="true" applyAlignment="true" applyProtection="false">
      <alignment horizontal="center" vertical="bottom" textRotation="0" wrapText="false" indent="0" shrinkToFit="false"/>
      <protection locked="true" hidden="false"/>
    </xf>
    <xf numFmtId="164" fontId="66" fillId="0" borderId="0" xfId="25" applyFont="true" applyBorder="false" applyAlignment="false" applyProtection="false">
      <alignment horizontal="general" vertical="bottom" textRotation="0" wrapText="false" indent="0" shrinkToFit="false"/>
      <protection locked="true" hidden="false"/>
    </xf>
    <xf numFmtId="164" fontId="65" fillId="0" borderId="46" xfId="26" applyFont="true" applyBorder="true" applyAlignment="true" applyProtection="false">
      <alignment horizontal="center" vertical="bottom" textRotation="0" wrapText="false" indent="0" shrinkToFit="false"/>
      <protection locked="true" hidden="false"/>
    </xf>
    <xf numFmtId="164" fontId="65" fillId="0" borderId="0" xfId="26" applyFont="true" applyBorder="false" applyAlignment="true" applyProtection="false">
      <alignment horizontal="left" vertical="bottom" textRotation="0" wrapText="false" indent="0" shrinkToFit="false"/>
      <protection locked="true" hidden="false"/>
    </xf>
    <xf numFmtId="164" fontId="65" fillId="0" borderId="0" xfId="26" applyFont="true" applyBorder="false" applyAlignment="true" applyProtection="false">
      <alignment horizontal="center" vertical="bottom" textRotation="0" wrapText="false" indent="0" shrinkToFit="false"/>
      <protection locked="true" hidden="false"/>
    </xf>
    <xf numFmtId="164" fontId="65" fillId="0" borderId="47" xfId="26" applyFont="true" applyBorder="true" applyAlignment="true" applyProtection="false">
      <alignment horizontal="center" vertical="bottom" textRotation="0" wrapText="false" indent="0" shrinkToFit="false"/>
      <protection locked="true" hidden="false"/>
    </xf>
    <xf numFmtId="191" fontId="65" fillId="0" borderId="0" xfId="26" applyFont="true" applyBorder="false" applyAlignment="true" applyProtection="false">
      <alignment horizontal="center" vertical="bottom" textRotation="0" wrapText="false" indent="0" shrinkToFit="false"/>
      <protection locked="true" hidden="false"/>
    </xf>
    <xf numFmtId="188" fontId="65" fillId="0" borderId="0" xfId="26" applyFont="true" applyBorder="false" applyAlignment="true" applyProtection="false">
      <alignment horizontal="center" vertical="bottom" textRotation="0" wrapText="false" indent="0" shrinkToFit="false"/>
      <protection locked="true" hidden="false"/>
    </xf>
    <xf numFmtId="168" fontId="65" fillId="0" borderId="0" xfId="26" applyFont="true" applyBorder="false" applyAlignment="true" applyProtection="false">
      <alignment horizontal="center" vertical="bottom" textRotation="0" wrapText="false" indent="0" shrinkToFit="false"/>
      <protection locked="true" hidden="false"/>
    </xf>
    <xf numFmtId="164" fontId="65" fillId="0" borderId="48" xfId="26" applyFont="true" applyBorder="true" applyAlignment="true" applyProtection="false">
      <alignment horizontal="center" vertical="bottom" textRotation="0" wrapText="false" indent="0" shrinkToFit="false"/>
      <protection locked="true" hidden="false"/>
    </xf>
    <xf numFmtId="188" fontId="65" fillId="0" borderId="47" xfId="26" applyFont="true" applyBorder="true" applyAlignment="true" applyProtection="false">
      <alignment horizontal="center" vertical="bottom" textRotation="0" wrapText="false" indent="0" shrinkToFit="false"/>
      <protection locked="true" hidden="false"/>
    </xf>
    <xf numFmtId="181" fontId="65" fillId="0" borderId="0" xfId="26" applyFont="true" applyBorder="false" applyAlignment="true" applyProtection="false">
      <alignment horizontal="center" vertical="bottom" textRotation="0" wrapText="false" indent="0" shrinkToFit="false"/>
      <protection locked="true" hidden="false"/>
    </xf>
    <xf numFmtId="181" fontId="65" fillId="0" borderId="47" xfId="26" applyFont="true" applyBorder="true" applyAlignment="true" applyProtection="false">
      <alignment horizontal="center" vertical="bottom" textRotation="0" wrapText="false" indent="0" shrinkToFit="false"/>
      <protection locked="true" hidden="false"/>
    </xf>
    <xf numFmtId="168" fontId="65" fillId="0" borderId="47" xfId="26" applyFont="true" applyBorder="true" applyAlignment="true" applyProtection="false">
      <alignment horizontal="center" vertical="bottom" textRotation="0" wrapText="false" indent="0" shrinkToFit="false"/>
      <protection locked="true" hidden="false"/>
    </xf>
    <xf numFmtId="190" fontId="65" fillId="0" borderId="0" xfId="26" applyFont="true" applyBorder="false" applyAlignment="true" applyProtection="false">
      <alignment horizontal="center" vertical="bottom" textRotation="0" wrapText="false" indent="0" shrinkToFit="false"/>
      <protection locked="true" hidden="false"/>
    </xf>
    <xf numFmtId="190" fontId="65" fillId="0" borderId="47" xfId="26" applyFont="true" applyBorder="true" applyAlignment="true" applyProtection="false">
      <alignment horizontal="center" vertical="bottom" textRotation="0" wrapText="false" indent="0" shrinkToFit="false"/>
      <protection locked="true" hidden="false"/>
    </xf>
    <xf numFmtId="183" fontId="65" fillId="0" borderId="0" xfId="26" applyFont="true" applyBorder="false" applyAlignment="true" applyProtection="false">
      <alignment horizontal="center" vertical="bottom" textRotation="0" wrapText="false" indent="0" shrinkToFit="false"/>
      <protection locked="true" hidden="false"/>
    </xf>
    <xf numFmtId="183" fontId="65" fillId="0" borderId="48" xfId="26" applyFont="true" applyBorder="true" applyAlignment="true" applyProtection="false">
      <alignment horizontal="center" vertical="bottom" textRotation="0" wrapText="false" indent="0" shrinkToFit="false"/>
      <protection locked="true" hidden="false"/>
    </xf>
    <xf numFmtId="183" fontId="65" fillId="0" borderId="47" xfId="26" applyFont="true" applyBorder="true" applyAlignment="true" applyProtection="false">
      <alignment horizontal="center" vertical="bottom" textRotation="0" wrapText="false" indent="0" shrinkToFit="false"/>
      <protection locked="true" hidden="false"/>
    </xf>
    <xf numFmtId="183" fontId="65" fillId="0" borderId="49" xfId="26" applyFont="true" applyBorder="true" applyAlignment="true" applyProtection="false">
      <alignment horizontal="center" vertical="bottom" textRotation="0" wrapText="false" indent="0" shrinkToFit="false"/>
      <protection locked="true" hidden="false"/>
    </xf>
    <xf numFmtId="181" fontId="65" fillId="0" borderId="48" xfId="26" applyFont="true" applyBorder="true" applyAlignment="true" applyProtection="false">
      <alignment horizontal="center" vertical="bottom" textRotation="0" wrapText="false" indent="0" shrinkToFit="false"/>
      <protection locked="true" hidden="false"/>
    </xf>
    <xf numFmtId="181" fontId="65" fillId="0" borderId="49" xfId="26" applyFont="true" applyBorder="true" applyAlignment="true" applyProtection="false">
      <alignment horizontal="center" vertical="bottom" textRotation="0" wrapText="false" indent="0" shrinkToFit="false"/>
      <protection locked="true" hidden="false"/>
    </xf>
    <xf numFmtId="175" fontId="34" fillId="0" borderId="0" xfId="0" applyFont="true" applyBorder="false" applyAlignment="true" applyProtection="false">
      <alignment horizontal="center" vertical="bottom" textRotation="0" wrapText="false" indent="0" shrinkToFit="false"/>
      <protection locked="true" hidden="false"/>
    </xf>
    <xf numFmtId="175" fontId="0" fillId="0" borderId="0" xfId="0" applyFont="true" applyBorder="false" applyAlignment="true" applyProtection="false">
      <alignment horizontal="center" vertical="bottom" textRotation="0" wrapText="false" indent="0" shrinkToFit="false"/>
      <protection locked="true" hidden="false"/>
    </xf>
    <xf numFmtId="187" fontId="0" fillId="0" borderId="0" xfId="0" applyFont="true" applyBorder="false" applyAlignment="true" applyProtection="false">
      <alignment horizontal="center" vertical="bottom" textRotation="0" wrapText="false" indent="0" shrinkToFit="false"/>
      <protection locked="true" hidden="false"/>
    </xf>
    <xf numFmtId="164" fontId="34" fillId="5" borderId="14" xfId="0" applyFont="true" applyBorder="true" applyAlignment="false" applyProtection="false">
      <alignment horizontal="general" vertical="bottom" textRotation="0" wrapText="false" indent="0" shrinkToFit="false"/>
      <protection locked="true" hidden="false"/>
    </xf>
    <xf numFmtId="175" fontId="34" fillId="5" borderId="28" xfId="0" applyFont="true" applyBorder="true" applyAlignment="true" applyProtection="false">
      <alignment horizontal="center" vertical="bottom" textRotation="0" wrapText="false" indent="0" shrinkToFit="false"/>
      <protection locked="true" hidden="false"/>
    </xf>
    <xf numFmtId="171" fontId="34" fillId="5" borderId="28" xfId="0" applyFont="true" applyBorder="true" applyAlignment="false" applyProtection="false">
      <alignment horizontal="general" vertical="bottom" textRotation="0" wrapText="false" indent="0" shrinkToFit="false"/>
      <protection locked="true" hidden="false"/>
    </xf>
    <xf numFmtId="171" fontId="34" fillId="5" borderId="15" xfId="0" applyFont="true" applyBorder="true" applyAlignment="false" applyProtection="false">
      <alignment horizontal="general" vertical="bottom" textRotation="0" wrapText="false" indent="0"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Comma 11" xfId="20"/>
    <cellStyle name="Currency 14" xfId="21"/>
    <cellStyle name="Normal 13" xfId="22"/>
    <cellStyle name="Normal 2 2 2 3" xfId="23"/>
    <cellStyle name="Normal 21" xfId="24"/>
    <cellStyle name="Normal 4" xfId="25"/>
    <cellStyle name="Normal 4 2 3" xfId="26"/>
    <cellStyle name="Percent 2" xfId="27"/>
    <cellStyle name="Percent 2 3" xfId="28"/>
    <cellStyle name="Excel Built-in Note" xfId="29"/>
    <cellStyle name="Excel Built-in Input" xfId="30"/>
  </cellStyles>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08080"/>
      <rgbColor rgb="FFB2B2B2"/>
      <rgbColor rgb="FF7F7F7F"/>
      <rgbColor rgb="FF9999FF"/>
      <rgbColor rgb="FF993366"/>
      <rgbColor rgb="FFFFFFCC"/>
      <rgbColor rgb="FFDCEA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D9F2D0"/>
      <rgbColor rgb="FFFBE3D6"/>
      <rgbColor rgb="FFE8E8E8"/>
      <rgbColor rgb="FFF2DCDB"/>
      <rgbColor rgb="FFF2F2F2"/>
      <rgbColor rgb="FFFFCC99"/>
      <rgbColor rgb="FF3366FF"/>
      <rgbColor rgb="FF33CCCC"/>
      <rgbColor rgb="FF99CC00"/>
      <rgbColor rgb="FFFFCC00"/>
      <rgbColor rgb="FFFF9900"/>
      <rgbColor rgb="FFFF6600"/>
      <rgbColor rgb="FF666699"/>
      <rgbColor rgb="FF969696"/>
      <rgbColor rgb="FF0F2F51"/>
      <rgbColor rgb="FF2F8E6D"/>
      <rgbColor rgb="FF0C1C2D"/>
      <rgbColor rgb="FF333300"/>
      <rgbColor rgb="FF993300"/>
      <rgbColor rgb="FF993366"/>
      <rgbColor rgb="FF3F3F76"/>
      <rgbColor rgb="FF352B6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10"/>
  </cols>
  <sheetData>
    <row r="2" customFormat="false" ht="15" hidden="false" customHeight="false" outlineLevel="0" collapsed="false">
      <c r="B2" s="1" t="s">
        <v>0</v>
      </c>
      <c r="C2" s="1"/>
    </row>
    <row r="4" customFormat="false" ht="15" hidden="false" customHeight="false" outlineLevel="0" collapsed="false">
      <c r="B4" s="2" t="s">
        <v>1</v>
      </c>
      <c r="C4" s="2" t="s">
        <v>2</v>
      </c>
    </row>
    <row r="5" customFormat="false" ht="15" hidden="false" customHeight="false" outlineLevel="0" collapsed="false">
      <c r="B5" s="3" t="s">
        <v>3</v>
      </c>
      <c r="C5" s="4" t="s">
        <v>4</v>
      </c>
    </row>
    <row r="6" customFormat="false" ht="23.85" hidden="false" customHeight="false" outlineLevel="0" collapsed="false">
      <c r="B6" s="5"/>
      <c r="C6" s="6" t="s">
        <v>5</v>
      </c>
    </row>
    <row r="7" customFormat="false" ht="15" hidden="false" customHeight="false" outlineLevel="0" collapsed="false">
      <c r="B7" s="3"/>
      <c r="C7" s="4" t="s">
        <v>6</v>
      </c>
    </row>
    <row r="8" customFormat="false" ht="15" hidden="false" customHeight="false" outlineLevel="0" collapsed="false">
      <c r="B8" s="5" t="s">
        <v>7</v>
      </c>
      <c r="C8" s="6" t="s">
        <v>8</v>
      </c>
    </row>
    <row r="9" customFormat="false" ht="15" hidden="false" customHeight="false" outlineLevel="0" collapsed="false">
      <c r="B9" s="3"/>
      <c r="C9" s="4" t="s">
        <v>9</v>
      </c>
    </row>
    <row r="10" customFormat="false" ht="23.85" hidden="false" customHeight="false" outlineLevel="0" collapsed="false">
      <c r="B10" s="5" t="s">
        <v>10</v>
      </c>
      <c r="C10" s="6" t="s">
        <v>11</v>
      </c>
    </row>
    <row r="11" customFormat="false" ht="15" hidden="false" customHeight="false" outlineLevel="0" collapsed="false">
      <c r="B11" s="3" t="s">
        <v>12</v>
      </c>
      <c r="C11" s="4" t="s">
        <v>13</v>
      </c>
    </row>
    <row r="12" customFormat="false" ht="15" hidden="false" customHeight="false" outlineLevel="0" collapsed="false">
      <c r="B12" s="5" t="s">
        <v>14</v>
      </c>
      <c r="C12" s="6" t="s">
        <v>15</v>
      </c>
    </row>
    <row r="13" customFormat="false" ht="35.05" hidden="false" customHeight="false" outlineLevel="0" collapsed="false">
      <c r="B13" s="3" t="s">
        <v>16</v>
      </c>
      <c r="C13" s="4" t="s">
        <v>17</v>
      </c>
    </row>
    <row r="14" customFormat="false" ht="15" hidden="false" customHeight="false" outlineLevel="0" collapsed="false">
      <c r="B14" s="5" t="s">
        <v>18</v>
      </c>
      <c r="C14"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C3:AJ50"/>
  <sheetViews>
    <sheetView showFormulas="false" showGridLines="false" showRowColHeaders="true" showZeros="true" rightToLeft="false" tabSelected="false" showOutlineSymbols="true" defaultGridColor="true" view="normal" topLeftCell="C1" colorId="64" zoomScale="100" zoomScaleNormal="100" zoomScalePageLayoutView="107" workbookViewId="0">
      <selection pane="topLeft" activeCell="M15" activeCellId="0" sqref="M15"/>
    </sheetView>
  </sheetViews>
  <sheetFormatPr defaultColWidth="8.73046875" defaultRowHeight="14.25" zeroHeight="false" outlineLevelRow="0" outlineLevelCol="3"/>
  <cols>
    <col collapsed="false" customWidth="true" hidden="false" outlineLevel="0" max="2" min="1" style="7" width="2.53"/>
    <col collapsed="false" customWidth="true" hidden="false" outlineLevel="0" max="3" min="3" style="7" width="18"/>
    <col collapsed="false" customWidth="true" hidden="false" outlineLevel="0" max="4" min="4" style="7" width="17.8"/>
    <col collapsed="false" customWidth="false" hidden="false" outlineLevel="0" max="5" min="5" style="7" width="8.73"/>
    <col collapsed="false" customWidth="true" hidden="false" outlineLevel="0" max="6" min="6" style="7" width="6"/>
    <col collapsed="false" customWidth="true" hidden="false" outlineLevel="0" max="7" min="7" style="7" width="12.2"/>
    <col collapsed="false" customWidth="true" hidden="false" outlineLevel="0" max="8" min="8" style="7" width="13.46"/>
    <col collapsed="false" customWidth="true" hidden="false" outlineLevel="1" max="9" min="9" style="7" width="7.53"/>
    <col collapsed="false" customWidth="true" hidden="false" outlineLevel="1" max="10" min="10" style="7" width="13.27"/>
    <col collapsed="false" customWidth="true" hidden="false" outlineLevel="1" max="11" min="11" style="7" width="6.46"/>
    <col collapsed="false" customWidth="true" hidden="false" outlineLevel="2" max="12" min="12" style="7" width="9.27"/>
    <col collapsed="false" customWidth="true" hidden="false" outlineLevel="1" max="13" min="13" style="7" width="8"/>
    <col collapsed="false" customWidth="false" hidden="false" outlineLevel="1" max="14" min="14" style="7" width="8.73"/>
    <col collapsed="false" customWidth="true" hidden="true" outlineLevel="3" max="15" min="15" style="7" width="8.53"/>
    <col collapsed="true" customWidth="true" hidden="false" outlineLevel="1" max="16" min="16" style="7" width="9.2"/>
    <col collapsed="false" customWidth="true" hidden="false" outlineLevel="1" max="17" min="17" style="7" width="9.53"/>
    <col collapsed="false" customWidth="true" hidden="false" outlineLevel="1" max="18" min="18" style="7" width="8.53"/>
    <col collapsed="false" customWidth="true" hidden="false" outlineLevel="0" max="19" min="19" style="7" width="5.53"/>
    <col collapsed="false" customWidth="true" hidden="false" outlineLevel="0" max="20" min="20" style="7" width="7"/>
    <col collapsed="false" customWidth="true" hidden="true" outlineLevel="1" max="21" min="21" style="7" width="11"/>
    <col collapsed="false" customWidth="true" hidden="true" outlineLevel="1" max="22" min="22" style="7" width="7.2"/>
    <col collapsed="false" customWidth="true" hidden="true" outlineLevel="1" max="23" min="23" style="7" width="8.2"/>
    <col collapsed="false" customWidth="true" hidden="true" outlineLevel="1" max="24" min="24" style="7" width="11"/>
    <col collapsed="false" customWidth="true" hidden="true" outlineLevel="1" max="25" min="25" style="7" width="7.2"/>
    <col collapsed="false" customWidth="true" hidden="true" outlineLevel="1" max="26" min="26" style="7" width="8.2"/>
    <col collapsed="false" customWidth="true" hidden="true" outlineLevel="1" max="27" min="27" style="7" width="11"/>
    <col collapsed="false" customWidth="true" hidden="true" outlineLevel="1" max="28" min="28" style="7" width="7.2"/>
    <col collapsed="false" customWidth="true" hidden="true" outlineLevel="1" max="29" min="29" style="7" width="8.2"/>
    <col collapsed="false" customWidth="true" hidden="false" outlineLevel="0" max="33" min="30" style="7" width="11.53"/>
    <col collapsed="false" customWidth="true" hidden="false" outlineLevel="0" max="34" min="34" style="7" width="12.53"/>
    <col collapsed="false" customWidth="true" hidden="false" outlineLevel="0" max="35" min="35" style="7" width="8.2"/>
    <col collapsed="false" customWidth="false" hidden="false" outlineLevel="0" max="16384" min="36" style="7" width="8.73"/>
  </cols>
  <sheetData>
    <row r="3" customFormat="false" ht="16.5" hidden="false" customHeight="true" outlineLevel="0" collapsed="false">
      <c r="C3" s="8" t="s">
        <v>20</v>
      </c>
      <c r="D3" s="8"/>
      <c r="E3" s="9"/>
      <c r="F3" s="10"/>
      <c r="G3" s="10"/>
    </row>
    <row r="4" customFormat="false" ht="14.25" hidden="false" customHeight="true" outlineLevel="0" collapsed="false">
      <c r="C4" s="11" t="s">
        <v>21</v>
      </c>
      <c r="D4" s="12" t="s">
        <v>22</v>
      </c>
      <c r="E4" s="9"/>
      <c r="F4" s="10"/>
      <c r="G4" s="10"/>
    </row>
    <row r="5" customFormat="false" ht="14.25" hidden="false" customHeight="true" outlineLevel="0" collapsed="false">
      <c r="C5" s="11" t="s">
        <v>23</v>
      </c>
      <c r="D5" s="13" t="n">
        <f aca="false">Rollup!$AN$4</f>
        <v>0</v>
      </c>
      <c r="E5" s="9"/>
      <c r="F5" s="10"/>
      <c r="G5" s="10"/>
    </row>
    <row r="6" customFormat="false" ht="14.25" hidden="false" customHeight="true" outlineLevel="0" collapsed="false">
      <c r="C6" s="14" t="s">
        <v>24</v>
      </c>
      <c r="D6" s="15" t="n">
        <f aca="false">Rollup!$AB$53</f>
        <v>0</v>
      </c>
      <c r="E6" s="9"/>
      <c r="F6" s="10"/>
      <c r="G6" s="10"/>
    </row>
    <row r="7" customFormat="false" ht="14.25" hidden="false" customHeight="true" outlineLevel="0" collapsed="false">
      <c r="C7" s="11" t="s">
        <v>25</v>
      </c>
      <c r="D7" s="15" t="n">
        <f aca="false">'SSP UW Summary'!$O$36</f>
        <v>0</v>
      </c>
      <c r="E7" s="9"/>
      <c r="F7" s="10"/>
      <c r="G7" s="10"/>
    </row>
    <row r="8" customFormat="false" ht="14.25" hidden="false" customHeight="true" outlineLevel="0" collapsed="false">
      <c r="C8" s="14" t="s">
        <v>26</v>
      </c>
      <c r="D8" s="16" t="n">
        <f aca="false">SUM('UW Drivers'!$W$9:$W$38)</f>
        <v>0</v>
      </c>
      <c r="E8" s="9"/>
      <c r="F8" s="10"/>
      <c r="G8" s="10"/>
    </row>
    <row r="9" customFormat="false" ht="14.25" hidden="false" customHeight="true" outlineLevel="0" collapsed="false">
      <c r="C9" s="14" t="s">
        <v>27</v>
      </c>
      <c r="D9" s="17"/>
      <c r="E9" s="9"/>
    </row>
    <row r="10" customFormat="false" ht="14.25" hidden="false" customHeight="true" outlineLevel="0" collapsed="false">
      <c r="C10" s="14" t="s">
        <v>28</v>
      </c>
      <c r="D10" s="16" t="n">
        <f aca="false">'UW Drivers'!AE40+D12</f>
        <v>0</v>
      </c>
      <c r="E10" s="9"/>
    </row>
    <row r="11" customFormat="false" ht="14.25" hidden="false" customHeight="true" outlineLevel="0" collapsed="false">
      <c r="C11" s="18" t="s">
        <v>29</v>
      </c>
      <c r="D11" s="19" t="n">
        <f aca="false">'UW Drivers'!AD40+D12</f>
        <v>0</v>
      </c>
      <c r="E11" s="9"/>
    </row>
    <row r="12" customFormat="false" ht="16.5" hidden="false" customHeight="true" outlineLevel="0" collapsed="false">
      <c r="C12" s="14" t="s">
        <v>30</v>
      </c>
      <c r="D12" s="17"/>
      <c r="F12" s="20" t="str">
        <f aca="false">$D$4&amp;" - Capital Stack"</f>
        <v>[Deal Name] - Capital Stack</v>
      </c>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row>
    <row r="13" customFormat="false" ht="15.75" hidden="false" customHeight="true" outlineLevel="0" collapsed="false">
      <c r="C13" s="21"/>
      <c r="D13" s="22"/>
      <c r="F13" s="23"/>
      <c r="G13" s="24"/>
      <c r="H13" s="24"/>
      <c r="I13" s="24"/>
      <c r="J13" s="24"/>
      <c r="K13" s="24"/>
      <c r="L13" s="24"/>
      <c r="M13" s="24"/>
      <c r="N13" s="24"/>
      <c r="O13" s="24"/>
      <c r="P13" s="24"/>
      <c r="Q13" s="25"/>
      <c r="R13" s="25"/>
      <c r="S13" s="26" t="s">
        <v>31</v>
      </c>
      <c r="T13" s="26"/>
      <c r="U13" s="27" t="s">
        <v>32</v>
      </c>
      <c r="V13" s="27"/>
      <c r="W13" s="27"/>
      <c r="X13" s="10"/>
      <c r="Y13" s="10"/>
      <c r="Z13" s="10"/>
      <c r="AA13" s="10"/>
      <c r="AB13" s="10"/>
      <c r="AC13" s="10"/>
      <c r="AD13" s="10"/>
      <c r="AE13" s="10"/>
      <c r="AF13" s="10"/>
      <c r="AG13" s="10"/>
      <c r="AH13" s="10"/>
      <c r="AI13" s="10"/>
      <c r="AJ13" s="10"/>
    </row>
    <row r="14" customFormat="false" ht="31.5" hidden="false" customHeight="true" outlineLevel="0" collapsed="false">
      <c r="F14" s="28" t="s">
        <v>33</v>
      </c>
      <c r="G14" s="29" t="s">
        <v>34</v>
      </c>
      <c r="H14" s="29" t="s">
        <v>35</v>
      </c>
      <c r="I14" s="29" t="s">
        <v>36</v>
      </c>
      <c r="J14" s="29" t="s">
        <v>37</v>
      </c>
      <c r="K14" s="29" t="s">
        <v>38</v>
      </c>
      <c r="L14" s="29" t="s">
        <v>39</v>
      </c>
      <c r="M14" s="29" t="str">
        <f aca="false">Tape!$Z$5&amp;" DY"</f>
        <v>TTM DY</v>
      </c>
      <c r="N14" s="29" t="s">
        <v>40</v>
      </c>
      <c r="O14" s="29" t="s">
        <v>41</v>
      </c>
      <c r="P14" s="29" t="s">
        <v>42</v>
      </c>
      <c r="Q14" s="30" t="s">
        <v>43</v>
      </c>
      <c r="R14" s="30" t="s">
        <v>44</v>
      </c>
      <c r="S14" s="31" t="s">
        <v>45</v>
      </c>
      <c r="T14" s="32" t="s">
        <v>46</v>
      </c>
      <c r="U14" s="29" t="s">
        <v>47</v>
      </c>
      <c r="V14" s="29" t="s">
        <v>48</v>
      </c>
      <c r="W14" s="30" t="s">
        <v>49</v>
      </c>
      <c r="X14" s="10"/>
      <c r="Y14" s="10"/>
      <c r="Z14" s="10"/>
      <c r="AA14" s="10"/>
      <c r="AB14" s="10"/>
      <c r="AC14" s="10"/>
      <c r="AD14" s="10"/>
      <c r="AE14" s="10"/>
      <c r="AF14" s="10"/>
      <c r="AG14" s="10"/>
      <c r="AH14" s="10"/>
      <c r="AI14" s="10"/>
      <c r="AJ14" s="10"/>
    </row>
    <row r="15" customFormat="false" ht="16.5" hidden="false" customHeight="true" outlineLevel="0" collapsed="false">
      <c r="C15" s="8" t="s">
        <v>50</v>
      </c>
      <c r="D15" s="8"/>
      <c r="F15" s="33" t="s">
        <v>51</v>
      </c>
      <c r="G15" s="34"/>
      <c r="H15" s="35"/>
      <c r="I15" s="36" t="n">
        <f aca="false">IFERROR(H15/$H$23,0)</f>
        <v>0</v>
      </c>
      <c r="J15" s="35" t="n">
        <f aca="false">SUM(H$15:H15)</f>
        <v>0</v>
      </c>
      <c r="K15" s="36" t="n">
        <f aca="false">IFERROR(SUM(H16:H$22)/$H$23,0)</f>
        <v>0</v>
      </c>
      <c r="L15" s="35" t="n">
        <f aca="false">IFERROR(J15/$D$5,0)</f>
        <v>0</v>
      </c>
      <c r="M15" s="37" t="n">
        <f aca="false">IFERROR($D$6/J15,0)</f>
        <v>0</v>
      </c>
      <c r="N15" s="37" t="n">
        <f aca="false">IFERROR($D$7/J15,0)</f>
        <v>0</v>
      </c>
      <c r="O15" s="38" t="n">
        <f aca="false">IFERROR($D$8/J15,0)</f>
        <v>0</v>
      </c>
      <c r="P15" s="38" t="n">
        <f aca="false">IFERROR(J15/$D$9,0)</f>
        <v>0</v>
      </c>
      <c r="Q15" s="39" t="n">
        <f aca="false">IFERROR(J15/$D$11,0)</f>
        <v>0</v>
      </c>
      <c r="R15" s="39" t="n">
        <f aca="false">IFERROR(J15/$D$10,0)</f>
        <v>0</v>
      </c>
      <c r="S15" s="40"/>
      <c r="T15" s="41" t="n">
        <f aca="false">IFERROR(SUMPRODUCT(S$15:S15,H$15:H15)/J15,0)</f>
        <v>0</v>
      </c>
      <c r="U15" s="42"/>
      <c r="V15" s="43" t="n">
        <f aca="false">IFERROR(U15/$H15,0)</f>
        <v>0</v>
      </c>
      <c r="W15" s="44" t="str">
        <f aca="false">IF(U15=0,"-",IFERROR(SUMPRODUCT($S$15:$S15,U$15:U15)/SUM(U$15:U15),"-"))</f>
        <v>-</v>
      </c>
      <c r="X15" s="10"/>
      <c r="Y15" s="10"/>
      <c r="Z15" s="10"/>
      <c r="AA15" s="10"/>
      <c r="AB15" s="10"/>
      <c r="AC15" s="10"/>
      <c r="AD15" s="10"/>
      <c r="AE15" s="10"/>
      <c r="AF15" s="10"/>
      <c r="AG15" s="10"/>
      <c r="AH15" s="10"/>
      <c r="AI15" s="10"/>
      <c r="AJ15" s="10"/>
    </row>
    <row r="16" customFormat="false" ht="14.25" hidden="false" customHeight="true" outlineLevel="0" collapsed="false">
      <c r="C16" s="45" t="s">
        <v>52</v>
      </c>
      <c r="D16" s="46" t="s">
        <v>35</v>
      </c>
      <c r="F16" s="47" t="s">
        <v>53</v>
      </c>
      <c r="G16" s="48"/>
      <c r="H16" s="49"/>
      <c r="I16" s="50" t="n">
        <f aca="false">IFERROR(H16/$H$23,0)</f>
        <v>0</v>
      </c>
      <c r="J16" s="49" t="n">
        <f aca="false">SUM(H$15:H16)</f>
        <v>0</v>
      </c>
      <c r="K16" s="50" t="n">
        <f aca="false">IFERROR(SUM(H17:H$22)/$H$23,0)</f>
        <v>0</v>
      </c>
      <c r="L16" s="49" t="n">
        <f aca="false">IFERROR(J16/$D$5,0)</f>
        <v>0</v>
      </c>
      <c r="M16" s="51" t="n">
        <f aca="false">IFERROR($D$6/J16,0)</f>
        <v>0</v>
      </c>
      <c r="N16" s="51" t="n">
        <f aca="false">IFERROR($D$7/J16,0)</f>
        <v>0</v>
      </c>
      <c r="O16" s="52" t="n">
        <f aca="false">IFERROR($D$8/J16,0)</f>
        <v>0</v>
      </c>
      <c r="P16" s="52" t="n">
        <f aca="false">IFERROR(J16/$D$9,0)</f>
        <v>0</v>
      </c>
      <c r="Q16" s="53" t="n">
        <f aca="false">IFERROR(J16/$D$11,0)</f>
        <v>0</v>
      </c>
      <c r="R16" s="53" t="n">
        <f aca="false">IFERROR(J16/$D$10,0)</f>
        <v>0</v>
      </c>
      <c r="S16" s="54"/>
      <c r="T16" s="55" t="n">
        <f aca="false">IFERROR(SUMPRODUCT(S$15:S16,H$15:H16)/J16,0)</f>
        <v>0</v>
      </c>
      <c r="U16" s="56"/>
      <c r="V16" s="51" t="n">
        <f aca="false">IFERROR(U16/$H16,0)</f>
        <v>0</v>
      </c>
      <c r="W16" s="57" t="str">
        <f aca="false">IF(U16=0,"-",IFERROR(SUMPRODUCT($S$15:$S16,U$15:U16)/SUM(U$15:U16),"-"))</f>
        <v>-</v>
      </c>
      <c r="X16" s="10"/>
      <c r="Y16" s="10"/>
      <c r="Z16" s="10"/>
      <c r="AA16" s="10"/>
      <c r="AB16" s="10"/>
      <c r="AC16" s="10"/>
      <c r="AD16" s="10"/>
      <c r="AE16" s="10"/>
      <c r="AF16" s="10"/>
      <c r="AG16" s="10"/>
      <c r="AH16" s="10"/>
      <c r="AI16" s="10"/>
      <c r="AJ16" s="10"/>
    </row>
    <row r="17" customFormat="false" ht="14.25" hidden="false" customHeight="false" outlineLevel="0" collapsed="false">
      <c r="C17" s="33" t="s">
        <v>54</v>
      </c>
      <c r="D17" s="58" t="n">
        <f aca="false">SUMIFS($G$28:$G$35,$K$28:$K$35,C17)</f>
        <v>0</v>
      </c>
      <c r="F17" s="59" t="s">
        <v>55</v>
      </c>
      <c r="G17" s="60"/>
      <c r="H17" s="61"/>
      <c r="I17" s="62" t="n">
        <f aca="false">IFERROR(H17/$H$23,0)</f>
        <v>0</v>
      </c>
      <c r="J17" s="61" t="n">
        <f aca="false">SUM(H$15:H17)</f>
        <v>0</v>
      </c>
      <c r="K17" s="62" t="n">
        <f aca="false">IFERROR(SUM(H18:H$22)/$H$23,0)</f>
        <v>0</v>
      </c>
      <c r="L17" s="61" t="n">
        <f aca="false">IFERROR(J17/$D$5,0)</f>
        <v>0</v>
      </c>
      <c r="M17" s="63" t="n">
        <f aca="false">IFERROR($D$6/J17,0)</f>
        <v>0</v>
      </c>
      <c r="N17" s="63" t="n">
        <f aca="false">IFERROR($D$7/J17,0)</f>
        <v>0</v>
      </c>
      <c r="O17" s="64" t="n">
        <f aca="false">IFERROR($D$8/J17,0)</f>
        <v>0</v>
      </c>
      <c r="P17" s="64" t="n">
        <f aca="false">IFERROR(J17/$D$9,0)</f>
        <v>0</v>
      </c>
      <c r="Q17" s="65" t="n">
        <f aca="false">IFERROR(J17/$D$11,0)</f>
        <v>0</v>
      </c>
      <c r="R17" s="65" t="n">
        <f aca="false">IFERROR(J17/$D$10,0)</f>
        <v>0</v>
      </c>
      <c r="S17" s="66"/>
      <c r="T17" s="67" t="n">
        <f aca="false">IFERROR(SUMPRODUCT(S$15:S17,H$15:H17)/J17,0)</f>
        <v>0</v>
      </c>
      <c r="U17" s="68"/>
      <c r="V17" s="63" t="n">
        <f aca="false">IFERROR(U17/$H17,0)</f>
        <v>0</v>
      </c>
      <c r="W17" s="69" t="str">
        <f aca="false">IF(U17=0,"-",IFERROR(SUMPRODUCT($S$15:$S17,U$15:U17)/SUM(U$15:U17),"-"))</f>
        <v>-</v>
      </c>
      <c r="X17" s="10"/>
      <c r="Y17" s="10"/>
      <c r="Z17" s="10"/>
      <c r="AA17" s="10"/>
      <c r="AB17" s="10"/>
      <c r="AC17" s="10"/>
      <c r="AD17" s="10"/>
      <c r="AE17" s="10"/>
      <c r="AF17" s="10"/>
      <c r="AG17" s="10"/>
      <c r="AH17" s="10"/>
      <c r="AI17" s="10"/>
      <c r="AJ17" s="10"/>
    </row>
    <row r="18" customFormat="false" ht="14.25" hidden="false" customHeight="true" outlineLevel="0" collapsed="false">
      <c r="C18" s="70" t="s">
        <v>56</v>
      </c>
      <c r="D18" s="71" t="n">
        <f aca="false">SUMIFS($G$28:$G$35,$K$28:$K$35,C18)</f>
        <v>0</v>
      </c>
      <c r="F18" s="59" t="s">
        <v>57</v>
      </c>
      <c r="G18" s="60"/>
      <c r="H18" s="61"/>
      <c r="I18" s="62" t="n">
        <f aca="false">IFERROR(H18/$H$23,0)</f>
        <v>0</v>
      </c>
      <c r="J18" s="61" t="n">
        <f aca="false">SUM(H$15:H18)</f>
        <v>0</v>
      </c>
      <c r="K18" s="62" t="n">
        <f aca="false">IFERROR(SUM(H19:H$22)/$H$23,0)</f>
        <v>0</v>
      </c>
      <c r="L18" s="61" t="n">
        <f aca="false">IFERROR(J18/$D$5,0)</f>
        <v>0</v>
      </c>
      <c r="M18" s="63" t="n">
        <f aca="false">IFERROR($D$6/J18,0)</f>
        <v>0</v>
      </c>
      <c r="N18" s="63" t="n">
        <f aca="false">IFERROR($D$7/J18,0)</f>
        <v>0</v>
      </c>
      <c r="O18" s="64" t="n">
        <f aca="false">IFERROR($D$8/J18,0)</f>
        <v>0</v>
      </c>
      <c r="P18" s="64" t="n">
        <f aca="false">IFERROR(J18/$D$9,0)</f>
        <v>0</v>
      </c>
      <c r="Q18" s="65" t="n">
        <f aca="false">IFERROR(J18/$D$11,0)</f>
        <v>0</v>
      </c>
      <c r="R18" s="65" t="n">
        <f aca="false">IFERROR(J18/$D$10,0)</f>
        <v>0</v>
      </c>
      <c r="S18" s="66"/>
      <c r="T18" s="67" t="n">
        <f aca="false">IFERROR(SUMPRODUCT(S$15:S18,H$15:H18)/J18,0)</f>
        <v>0</v>
      </c>
      <c r="U18" s="72"/>
      <c r="V18" s="73" t="n">
        <f aca="false">IFERROR(U18/$H18,0)</f>
        <v>0</v>
      </c>
      <c r="W18" s="74" t="str">
        <f aca="false">IF(U18=0,"-",IFERROR(SUMPRODUCT($S$15:$S18,U$15:U18)/SUM(U$15:U18),"-"))</f>
        <v>-</v>
      </c>
      <c r="X18" s="10"/>
      <c r="Y18" s="10"/>
      <c r="Z18" s="10"/>
      <c r="AA18" s="10"/>
      <c r="AB18" s="10"/>
      <c r="AC18" s="10"/>
      <c r="AD18" s="10"/>
      <c r="AE18" s="10"/>
      <c r="AF18" s="10"/>
      <c r="AG18" s="10"/>
      <c r="AH18" s="10"/>
      <c r="AI18" s="10"/>
      <c r="AJ18" s="10"/>
    </row>
    <row r="19" customFormat="false" ht="14.25" hidden="false" customHeight="true" outlineLevel="0" collapsed="false">
      <c r="C19" s="75" t="s">
        <v>58</v>
      </c>
      <c r="D19" s="76" t="n">
        <f aca="false">SUM(D17:D18)</f>
        <v>0</v>
      </c>
      <c r="F19" s="77" t="s">
        <v>59</v>
      </c>
      <c r="G19" s="78"/>
      <c r="H19" s="79"/>
      <c r="I19" s="80" t="n">
        <f aca="false">IFERROR(H19/$H$23,0)</f>
        <v>0</v>
      </c>
      <c r="J19" s="79" t="n">
        <f aca="false">SUM(H$15:H19)</f>
        <v>0</v>
      </c>
      <c r="K19" s="80" t="n">
        <f aca="false">IFERROR(SUM(H20:H$22)/$H$23,0)</f>
        <v>0</v>
      </c>
      <c r="L19" s="79" t="n">
        <f aca="false">IFERROR(J19/$D$5,0)</f>
        <v>0</v>
      </c>
      <c r="M19" s="73" t="n">
        <f aca="false">IFERROR($D$6/J19,0)</f>
        <v>0</v>
      </c>
      <c r="N19" s="73" t="n">
        <f aca="false">IFERROR($D$7/J19,0)</f>
        <v>0</v>
      </c>
      <c r="O19" s="81" t="n">
        <f aca="false">IFERROR($D$8/J19,0)</f>
        <v>0</v>
      </c>
      <c r="P19" s="81" t="n">
        <f aca="false">IFERROR(J19/$D$9,0)</f>
        <v>0</v>
      </c>
      <c r="Q19" s="82" t="n">
        <f aca="false">IFERROR(J19/$D$11,0)</f>
        <v>0</v>
      </c>
      <c r="R19" s="82" t="n">
        <f aca="false">IFERROR(J19/$D$10,0)</f>
        <v>0</v>
      </c>
      <c r="S19" s="83"/>
      <c r="T19" s="84" t="n">
        <f aca="false">IFERROR(SUMPRODUCT(S$15:S19,H$15:H19)/J19,0)</f>
        <v>0</v>
      </c>
      <c r="U19" s="85"/>
      <c r="V19" s="86" t="n">
        <f aca="false">IFERROR(U19/$H19,0)</f>
        <v>0</v>
      </c>
      <c r="W19" s="87" t="str">
        <f aca="false">IF(U19=0,"-",IFERROR(SUMPRODUCT($S$15:$S19,U$15:U19)/SUM(U$15:U19),"-"))</f>
        <v>-</v>
      </c>
      <c r="X19" s="10"/>
      <c r="Y19" s="10"/>
      <c r="Z19" s="10"/>
      <c r="AA19" s="10"/>
      <c r="AB19" s="10"/>
      <c r="AC19" s="10"/>
      <c r="AD19" s="10"/>
      <c r="AE19" s="10"/>
      <c r="AF19" s="10"/>
      <c r="AG19" s="10"/>
      <c r="AH19" s="10"/>
      <c r="AI19" s="10"/>
      <c r="AJ19" s="10"/>
    </row>
    <row r="20" customFormat="false" ht="14.25" hidden="false" customHeight="false" outlineLevel="0" collapsed="false">
      <c r="F20" s="33" t="s">
        <v>60</v>
      </c>
      <c r="G20" s="88"/>
      <c r="H20" s="89"/>
      <c r="I20" s="37" t="n">
        <f aca="false">IFERROR(H20/$H$23,0)</f>
        <v>0</v>
      </c>
      <c r="J20" s="89" t="n">
        <f aca="false">SUM(H$15:H20)</f>
        <v>0</v>
      </c>
      <c r="K20" s="37" t="n">
        <f aca="false">IFERROR(SUM(H21:H$22)/$H$23,0)</f>
        <v>0</v>
      </c>
      <c r="L20" s="89" t="n">
        <f aca="false">IFERROR(J20/$D$5,0)</f>
        <v>0</v>
      </c>
      <c r="M20" s="43" t="n">
        <f aca="false">IFERROR($D$6/J20,0)</f>
        <v>0</v>
      </c>
      <c r="N20" s="43" t="n">
        <f aca="false">IFERROR($D$7/J20,0)</f>
        <v>0</v>
      </c>
      <c r="O20" s="90" t="n">
        <f aca="false">IFERROR($D$8/J20,0)</f>
        <v>0</v>
      </c>
      <c r="P20" s="90" t="n">
        <f aca="false">IFERROR(J20/$D$9,0)</f>
        <v>0</v>
      </c>
      <c r="Q20" s="91" t="n">
        <f aca="false">IFERROR(J20/$D$11,0)</f>
        <v>0</v>
      </c>
      <c r="R20" s="91" t="n">
        <f aca="false">IFERROR(J20/$D$10,0)</f>
        <v>0</v>
      </c>
      <c r="S20" s="92"/>
      <c r="T20" s="93" t="n">
        <f aca="false">IFERROR(SUMPRODUCT(S$15:S20,H$15:H20)/J20,0)</f>
        <v>0</v>
      </c>
      <c r="U20" s="42"/>
      <c r="V20" s="43" t="n">
        <f aca="false">IFERROR(U20/$H20,0)</f>
        <v>0</v>
      </c>
      <c r="W20" s="44" t="str">
        <f aca="false">IF(U20=0,"-",IFERROR(SUMPRODUCT($S$15:$S20,U$15:U20)/SUM(U$15:U20),"-"))</f>
        <v>-</v>
      </c>
      <c r="X20" s="10"/>
      <c r="Y20" s="10"/>
      <c r="Z20" s="10"/>
      <c r="AA20" s="10"/>
      <c r="AB20" s="10"/>
      <c r="AC20" s="10"/>
      <c r="AD20" s="10"/>
      <c r="AE20" s="10"/>
      <c r="AF20" s="10"/>
      <c r="AG20" s="10"/>
      <c r="AH20" s="10"/>
      <c r="AI20" s="10"/>
      <c r="AJ20" s="10"/>
    </row>
    <row r="21" customFormat="false" ht="14.25" hidden="false" customHeight="false" outlineLevel="0" collapsed="false">
      <c r="E21" s="94"/>
      <c r="F21" s="33" t="s">
        <v>61</v>
      </c>
      <c r="G21" s="88"/>
      <c r="H21" s="89"/>
      <c r="I21" s="37" t="n">
        <f aca="false">IFERROR(H21/$H$23,0)</f>
        <v>0</v>
      </c>
      <c r="J21" s="89" t="n">
        <f aca="false">SUM(H$15:H21)</f>
        <v>0</v>
      </c>
      <c r="K21" s="37" t="n">
        <f aca="false">IFERROR(SUM(H22:H$22)/$H$23,0)</f>
        <v>0</v>
      </c>
      <c r="L21" s="89" t="n">
        <f aca="false">IFERROR(J21/$D$5,0)</f>
        <v>0</v>
      </c>
      <c r="M21" s="43" t="n">
        <f aca="false">IFERROR($D$6/J21,0)</f>
        <v>0</v>
      </c>
      <c r="N21" s="43" t="n">
        <f aca="false">IFERROR($D$7/J21,0)</f>
        <v>0</v>
      </c>
      <c r="O21" s="90" t="n">
        <f aca="false">IFERROR($D$8/J21,0)</f>
        <v>0</v>
      </c>
      <c r="P21" s="90" t="n">
        <f aca="false">IFERROR(J21/$D$9,0)</f>
        <v>0</v>
      </c>
      <c r="Q21" s="91" t="n">
        <f aca="false">IFERROR(J21/$D$11,0)</f>
        <v>0</v>
      </c>
      <c r="R21" s="91" t="n">
        <f aca="false">IFERROR(J21/$D$10,0)</f>
        <v>0</v>
      </c>
      <c r="S21" s="92"/>
      <c r="T21" s="93" t="n">
        <f aca="false">IFERROR(SUMPRODUCT(S$15:S21,H$15:H21)/J21,0)</f>
        <v>0</v>
      </c>
      <c r="U21" s="42"/>
      <c r="V21" s="43" t="n">
        <f aca="false">IFERROR(U21/$H21,0)</f>
        <v>0</v>
      </c>
      <c r="W21" s="44" t="str">
        <f aca="false">IF(U21=0,"-",IFERROR(SUMPRODUCT($S$15:$S21,U$15:U21)/SUM(U$15:U21),"-"))</f>
        <v>-</v>
      </c>
      <c r="X21" s="10"/>
      <c r="Y21" s="10"/>
      <c r="Z21" s="10"/>
      <c r="AA21" s="10"/>
      <c r="AB21" s="10"/>
      <c r="AC21" s="10"/>
      <c r="AD21" s="10"/>
      <c r="AE21" s="10"/>
      <c r="AF21" s="10"/>
      <c r="AG21" s="10"/>
      <c r="AH21" s="10"/>
      <c r="AI21" s="10"/>
      <c r="AJ21" s="10"/>
    </row>
    <row r="22" customFormat="false" ht="14.25" hidden="false" customHeight="false" outlineLevel="0" collapsed="false">
      <c r="E22" s="94"/>
      <c r="F22" s="33" t="s">
        <v>62</v>
      </c>
      <c r="G22" s="88"/>
      <c r="H22" s="89"/>
      <c r="I22" s="37" t="n">
        <f aca="false">IFERROR(H22/$H$23,0)</f>
        <v>0</v>
      </c>
      <c r="J22" s="89" t="n">
        <f aca="false">SUM(H$15:H22)</f>
        <v>0</v>
      </c>
      <c r="K22" s="37" t="s">
        <v>63</v>
      </c>
      <c r="L22" s="89" t="n">
        <f aca="false">IFERROR(J22/$D$5,0)</f>
        <v>0</v>
      </c>
      <c r="M22" s="43" t="n">
        <f aca="false">IFERROR($D$6/J22,0)</f>
        <v>0</v>
      </c>
      <c r="N22" s="43" t="n">
        <f aca="false">IFERROR($D$7/J22,0)</f>
        <v>0</v>
      </c>
      <c r="O22" s="90" t="n">
        <f aca="false">IFERROR($D$8/J22,0)</f>
        <v>0</v>
      </c>
      <c r="P22" s="90" t="n">
        <f aca="false">IFERROR(J22/$D$9,0)</f>
        <v>0</v>
      </c>
      <c r="Q22" s="91" t="n">
        <f aca="false">IFERROR(J22/$D$11,0)</f>
        <v>0</v>
      </c>
      <c r="R22" s="91" t="n">
        <f aca="false">IFERROR(J22/$D$10,0)</f>
        <v>0</v>
      </c>
      <c r="S22" s="92"/>
      <c r="T22" s="93" t="n">
        <f aca="false">IFERROR(SUMPRODUCT(S$15:S22,H$15:H22)/J22,0)</f>
        <v>0</v>
      </c>
      <c r="U22" s="42"/>
      <c r="V22" s="43" t="n">
        <f aca="false">IFERROR(U22/$H22,0)</f>
        <v>0</v>
      </c>
      <c r="W22" s="44" t="str">
        <f aca="false">IF(U22=0,"-",IFERROR(SUMPRODUCT($S$15:$S22,U$15:U22)/SUM(U$15:U22),"-"))</f>
        <v>-</v>
      </c>
      <c r="X22" s="10"/>
      <c r="Y22" s="10"/>
      <c r="Z22" s="10"/>
      <c r="AA22" s="10"/>
      <c r="AB22" s="10"/>
      <c r="AC22" s="10"/>
      <c r="AD22" s="10"/>
      <c r="AE22" s="10"/>
      <c r="AF22" s="10"/>
      <c r="AG22" s="10"/>
      <c r="AH22" s="10"/>
      <c r="AI22" s="10"/>
      <c r="AJ22" s="10"/>
    </row>
    <row r="23" customFormat="false" ht="14.25" hidden="false" customHeight="false" outlineLevel="0" collapsed="false">
      <c r="F23" s="95" t="s">
        <v>64</v>
      </c>
      <c r="G23" s="96"/>
      <c r="H23" s="97" t="n">
        <f aca="false">SUM(H15:H22)</f>
        <v>0</v>
      </c>
      <c r="I23" s="98" t="n">
        <f aca="false">IFERROR(H23/$H$23,0)</f>
        <v>0</v>
      </c>
      <c r="J23" s="97" t="n">
        <f aca="false">J22</f>
        <v>0</v>
      </c>
      <c r="K23" s="99" t="s">
        <v>63</v>
      </c>
      <c r="L23" s="97" t="n">
        <f aca="false">IFERROR(J23/$D$5,0)</f>
        <v>0</v>
      </c>
      <c r="M23" s="100" t="n">
        <f aca="false">IFERROR($D$6/J23,0)</f>
        <v>0</v>
      </c>
      <c r="N23" s="100" t="n">
        <f aca="false">IFERROR($D$7/J23,0)</f>
        <v>0</v>
      </c>
      <c r="O23" s="101" t="n">
        <f aca="false">IFERROR($D$8/J23,0)</f>
        <v>0</v>
      </c>
      <c r="P23" s="101" t="n">
        <f aca="false">IFERROR(J23/$D$9,0)</f>
        <v>0</v>
      </c>
      <c r="Q23" s="102" t="n">
        <f aca="false">IFERROR(J23/$D$11,0)</f>
        <v>0</v>
      </c>
      <c r="R23" s="102" t="n">
        <f aca="false">IFERROR(J23/$D$10,0)</f>
        <v>0</v>
      </c>
      <c r="S23" s="103" t="n">
        <f aca="false">IFERROR(SUMPRODUCT(S15:S22,$H$15:$H$22)/SUM(H15:H22),0)</f>
        <v>0</v>
      </c>
      <c r="T23" s="104" t="n">
        <f aca="false">T22</f>
        <v>0</v>
      </c>
      <c r="U23" s="105" t="n">
        <f aca="false">SUM(U15:U22)</f>
        <v>0</v>
      </c>
      <c r="V23" s="100" t="n">
        <f aca="false">IFERROR(U23/$H23,0)</f>
        <v>0</v>
      </c>
      <c r="W23" s="106" t="str">
        <f aca="false">IF(U23=0,"-",IFERROR(SUMPRODUCT($S$15:$S$22,U$15:U$22)/U23,"-"))</f>
        <v>-</v>
      </c>
      <c r="X23" s="10"/>
      <c r="Y23" s="10"/>
      <c r="Z23" s="10"/>
      <c r="AA23" s="10"/>
      <c r="AB23" s="10"/>
      <c r="AC23" s="10"/>
      <c r="AD23" s="10"/>
      <c r="AE23" s="10"/>
      <c r="AF23" s="10"/>
      <c r="AG23" s="10"/>
      <c r="AH23" s="10"/>
      <c r="AI23" s="10"/>
      <c r="AJ23" s="10"/>
    </row>
    <row r="24" customFormat="false" ht="14.25" hidden="false" customHeight="false" outlineLevel="0" collapsed="false">
      <c r="F24" s="107"/>
      <c r="G24" s="94"/>
      <c r="X24" s="10"/>
      <c r="Y24" s="10"/>
      <c r="Z24" s="10"/>
      <c r="AA24" s="10"/>
      <c r="AB24" s="10"/>
      <c r="AC24" s="10"/>
      <c r="AD24" s="10"/>
      <c r="AE24" s="10"/>
      <c r="AF24" s="10"/>
      <c r="AG24" s="10"/>
      <c r="AH24" s="10"/>
      <c r="AI24" s="10"/>
      <c r="AJ24" s="10"/>
    </row>
    <row r="25" customFormat="false" ht="14.25" hidden="false" customHeight="false" outlineLevel="0" collapsed="false">
      <c r="F25" s="108"/>
      <c r="G25" s="94"/>
      <c r="H25" s="34"/>
      <c r="I25" s="34"/>
      <c r="J25" s="34"/>
      <c r="K25" s="34"/>
      <c r="X25" s="10"/>
      <c r="Y25" s="10"/>
      <c r="Z25" s="10"/>
      <c r="AA25" s="10"/>
      <c r="AB25" s="10"/>
      <c r="AC25" s="10"/>
      <c r="AD25" s="10"/>
      <c r="AE25" s="10"/>
      <c r="AF25" s="10"/>
      <c r="AG25" s="10"/>
      <c r="AH25" s="10"/>
      <c r="AI25" s="10"/>
      <c r="AJ25" s="10"/>
    </row>
    <row r="26" s="109" customFormat="true" ht="14.25" hidden="false" customHeight="false" outlineLevel="0" collapsed="false">
      <c r="F26" s="110" t="s">
        <v>65</v>
      </c>
      <c r="G26" s="110"/>
      <c r="H26" s="110"/>
      <c r="I26" s="110"/>
      <c r="J26" s="110"/>
      <c r="K26" s="110"/>
      <c r="Q26" s="10"/>
      <c r="R26" s="10"/>
      <c r="S26" s="10"/>
      <c r="T26" s="10"/>
      <c r="U26" s="10"/>
      <c r="V26" s="10"/>
      <c r="W26" s="10"/>
      <c r="X26" s="10"/>
      <c r="Y26" s="10"/>
      <c r="Z26" s="10"/>
      <c r="AA26" s="10"/>
    </row>
    <row r="27" customFormat="false" ht="14.25" hidden="false" customHeight="false" outlineLevel="0" collapsed="false">
      <c r="F27" s="109" t="s">
        <v>33</v>
      </c>
      <c r="G27" s="111" t="s">
        <v>35</v>
      </c>
      <c r="H27" s="111" t="s">
        <v>66</v>
      </c>
      <c r="I27" s="111" t="s">
        <v>67</v>
      </c>
      <c r="J27" s="111" t="s">
        <v>68</v>
      </c>
      <c r="K27" s="111" t="s">
        <v>69</v>
      </c>
      <c r="Q27" s="10"/>
      <c r="R27" s="10"/>
      <c r="S27" s="10"/>
      <c r="T27" s="10"/>
      <c r="U27" s="10"/>
      <c r="V27" s="10"/>
      <c r="W27" s="10"/>
      <c r="X27" s="10"/>
      <c r="Y27" s="10"/>
      <c r="Z27" s="10"/>
      <c r="AA27" s="10"/>
    </row>
    <row r="28" customFormat="false" ht="14.25" hidden="false" customHeight="false" outlineLevel="0" collapsed="false">
      <c r="F28" s="7" t="str">
        <f aca="false">F15</f>
        <v>A</v>
      </c>
      <c r="G28" s="112" t="n">
        <f aca="false">H15</f>
        <v>0</v>
      </c>
      <c r="H28" s="113" t="n">
        <f aca="false">IFERROR(S15/10000,0)</f>
        <v>0</v>
      </c>
      <c r="I28" s="114"/>
      <c r="J28" s="112" t="n">
        <f aca="false">IFERROR(G28*(H28+I28)*365/360,0)</f>
        <v>0</v>
      </c>
      <c r="K28" s="34" t="s">
        <v>54</v>
      </c>
      <c r="Q28" s="10"/>
      <c r="R28" s="10"/>
      <c r="S28" s="10"/>
      <c r="T28" s="10"/>
      <c r="U28" s="10"/>
      <c r="V28" s="10"/>
      <c r="W28" s="10"/>
      <c r="X28" s="10"/>
      <c r="Y28" s="10"/>
      <c r="Z28" s="10"/>
      <c r="AA28" s="10"/>
    </row>
    <row r="29" customFormat="false" ht="14.25" hidden="false" customHeight="false" outlineLevel="0" collapsed="false">
      <c r="F29" s="7" t="str">
        <f aca="false">F16</f>
        <v>B</v>
      </c>
      <c r="G29" s="112" t="n">
        <f aca="false">H16</f>
        <v>0</v>
      </c>
      <c r="H29" s="113" t="n">
        <f aca="false">IFERROR(S16/10000,0)</f>
        <v>0</v>
      </c>
      <c r="I29" s="115" t="n">
        <f aca="false">$I$28</f>
        <v>0</v>
      </c>
      <c r="J29" s="112" t="n">
        <f aca="false">IFERROR(G29*(H29+I29)*365/360,0)</f>
        <v>0</v>
      </c>
      <c r="K29" s="34" t="s">
        <v>54</v>
      </c>
      <c r="Q29" s="10"/>
      <c r="R29" s="10"/>
      <c r="S29" s="10"/>
      <c r="T29" s="10"/>
      <c r="U29" s="10"/>
      <c r="V29" s="10"/>
      <c r="W29" s="10"/>
      <c r="X29" s="10"/>
      <c r="Y29" s="10"/>
      <c r="Z29" s="10"/>
      <c r="AA29" s="10"/>
    </row>
    <row r="30" customFormat="false" ht="14.25" hidden="false" customHeight="false" outlineLevel="0" collapsed="false">
      <c r="F30" s="7" t="str">
        <f aca="false">F17</f>
        <v>C</v>
      </c>
      <c r="G30" s="112" t="n">
        <f aca="false">H17</f>
        <v>0</v>
      </c>
      <c r="H30" s="113" t="n">
        <f aca="false">IFERROR(S17/10000,0)</f>
        <v>0</v>
      </c>
      <c r="I30" s="115" t="n">
        <f aca="false">$I$28</f>
        <v>0</v>
      </c>
      <c r="J30" s="112" t="n">
        <f aca="false">IFERROR(G30*(H30+I30)*365/360,0)</f>
        <v>0</v>
      </c>
      <c r="K30" s="34" t="s">
        <v>54</v>
      </c>
      <c r="Q30" s="10"/>
      <c r="R30" s="10"/>
      <c r="S30" s="10"/>
      <c r="T30" s="10"/>
      <c r="U30" s="10"/>
      <c r="V30" s="10"/>
      <c r="W30" s="10"/>
      <c r="X30" s="10"/>
      <c r="Y30" s="10"/>
      <c r="Z30" s="10"/>
      <c r="AA30" s="10"/>
    </row>
    <row r="31" customFormat="false" ht="14.25" hidden="false" customHeight="false" outlineLevel="0" collapsed="false">
      <c r="F31" s="116" t="str">
        <f aca="false">F18</f>
        <v>D</v>
      </c>
      <c r="G31" s="117" t="n">
        <f aca="false">H18</f>
        <v>0</v>
      </c>
      <c r="H31" s="118" t="n">
        <f aca="false">IFERROR(S18/10000,0)</f>
        <v>0</v>
      </c>
      <c r="I31" s="119" t="n">
        <f aca="false">$I$28</f>
        <v>0</v>
      </c>
      <c r="J31" s="117" t="n">
        <f aca="false">IFERROR(G31*(H31+I31)*365/360,0)</f>
        <v>0</v>
      </c>
      <c r="K31" s="120" t="s">
        <v>54</v>
      </c>
      <c r="Q31" s="10"/>
      <c r="R31" s="10"/>
      <c r="S31" s="10"/>
      <c r="T31" s="10"/>
      <c r="U31" s="10"/>
      <c r="V31" s="10"/>
      <c r="W31" s="10"/>
      <c r="X31" s="10"/>
      <c r="Y31" s="10"/>
      <c r="Z31" s="10"/>
      <c r="AA31" s="10"/>
    </row>
    <row r="32" customFormat="false" ht="14.25" hidden="false" customHeight="false" outlineLevel="0" collapsed="false">
      <c r="F32" s="7" t="str">
        <f aca="false">F19</f>
        <v>E</v>
      </c>
      <c r="G32" s="112" t="n">
        <f aca="false">H19</f>
        <v>0</v>
      </c>
      <c r="H32" s="113" t="n">
        <f aca="false">IFERROR(S19/10000,0)</f>
        <v>0</v>
      </c>
      <c r="I32" s="115" t="n">
        <f aca="false">$I$28</f>
        <v>0</v>
      </c>
      <c r="J32" s="112" t="n">
        <f aca="false">IFERROR(G32*(H32+I32)*365/360,0)</f>
        <v>0</v>
      </c>
      <c r="K32" s="34" t="s">
        <v>56</v>
      </c>
    </row>
    <row r="33" customFormat="false" ht="14.25" hidden="false" customHeight="false" outlineLevel="0" collapsed="false">
      <c r="F33" s="7" t="str">
        <f aca="false">F20</f>
        <v>F</v>
      </c>
      <c r="G33" s="112" t="n">
        <f aca="false">H20</f>
        <v>0</v>
      </c>
      <c r="H33" s="113" t="n">
        <f aca="false">IFERROR(S20/10000,0)</f>
        <v>0</v>
      </c>
      <c r="I33" s="115" t="n">
        <f aca="false">$I$28</f>
        <v>0</v>
      </c>
      <c r="J33" s="112" t="n">
        <f aca="false">IFERROR(G33*(H33+I33)*365/360,0)</f>
        <v>0</v>
      </c>
      <c r="K33" s="34" t="s">
        <v>56</v>
      </c>
    </row>
    <row r="34" customFormat="false" ht="14.25" hidden="false" customHeight="false" outlineLevel="0" collapsed="false">
      <c r="F34" s="7" t="str">
        <f aca="false">F21</f>
        <v>G</v>
      </c>
      <c r="G34" s="112" t="n">
        <f aca="false">H21</f>
        <v>0</v>
      </c>
      <c r="H34" s="113" t="n">
        <f aca="false">IFERROR(S21/10000,0)</f>
        <v>0</v>
      </c>
      <c r="I34" s="115" t="n">
        <f aca="false">$I$28</f>
        <v>0</v>
      </c>
      <c r="J34" s="112" t="n">
        <f aca="false">IFERROR(G34*(H34+I34)*365/360,0)</f>
        <v>0</v>
      </c>
      <c r="K34" s="34" t="s">
        <v>56</v>
      </c>
    </row>
    <row r="35" customFormat="false" ht="14.25" hidden="false" customHeight="false" outlineLevel="0" collapsed="false">
      <c r="F35" s="7" t="str">
        <f aca="false">F22</f>
        <v>HRR</v>
      </c>
      <c r="G35" s="112" t="n">
        <f aca="false">H22</f>
        <v>0</v>
      </c>
      <c r="H35" s="113" t="n">
        <f aca="false">IFERROR(S22/10000,0)</f>
        <v>0</v>
      </c>
      <c r="I35" s="115" t="n">
        <f aca="false">$I$28</f>
        <v>0</v>
      </c>
      <c r="J35" s="112" t="n">
        <f aca="false">IFERROR(G35*(H35+I35)*365/360,0)</f>
        <v>0</v>
      </c>
      <c r="K35" s="34" t="s">
        <v>56</v>
      </c>
    </row>
    <row r="36" customFormat="false" ht="14.25" hidden="false" customHeight="false" outlineLevel="0" collapsed="false">
      <c r="G36" s="112"/>
    </row>
    <row r="37" customFormat="false" ht="16.5" hidden="false" customHeight="true" outlineLevel="0" collapsed="false">
      <c r="F37" s="10"/>
      <c r="G37" s="10"/>
      <c r="H37" s="10"/>
      <c r="I37" s="10"/>
      <c r="J37" s="10"/>
    </row>
    <row r="38" customFormat="false" ht="16.5" hidden="false" customHeight="true" outlineLevel="0" collapsed="false">
      <c r="F38" s="10"/>
      <c r="G38" s="10"/>
      <c r="H38" s="10"/>
      <c r="I38" s="10"/>
      <c r="J38" s="10"/>
    </row>
    <row r="39" customFormat="false" ht="16.5" hidden="false" customHeight="true" outlineLevel="0" collapsed="false">
      <c r="F39" s="10"/>
      <c r="G39" s="10"/>
      <c r="H39" s="10"/>
      <c r="I39" s="10"/>
      <c r="J39" s="10"/>
    </row>
    <row r="40" customFormat="false" ht="14.25" hidden="false" customHeight="false" outlineLevel="0" collapsed="false">
      <c r="F40" s="10"/>
      <c r="G40" s="10"/>
      <c r="H40" s="10"/>
      <c r="I40" s="10"/>
      <c r="J40" s="10"/>
    </row>
    <row r="41" customFormat="false" ht="14.25" hidden="false" customHeight="false" outlineLevel="0" collapsed="false">
      <c r="F41" s="10"/>
      <c r="G41" s="10"/>
      <c r="H41" s="10"/>
      <c r="I41" s="10"/>
      <c r="J41" s="10"/>
    </row>
    <row r="42" customFormat="false" ht="14.25" hidden="false" customHeight="false" outlineLevel="0" collapsed="false">
      <c r="F42" s="10"/>
      <c r="G42" s="10"/>
      <c r="H42" s="10"/>
      <c r="I42" s="10"/>
      <c r="J42" s="10"/>
    </row>
    <row r="43" customFormat="false" ht="14.25" hidden="false" customHeight="false" outlineLevel="0" collapsed="false">
      <c r="F43" s="10"/>
      <c r="G43" s="10"/>
      <c r="H43" s="10"/>
      <c r="I43" s="10"/>
      <c r="J43" s="10"/>
    </row>
    <row r="44" customFormat="false" ht="14.25" hidden="false" customHeight="false" outlineLevel="0" collapsed="false">
      <c r="F44" s="10"/>
      <c r="G44" s="10"/>
      <c r="H44" s="10"/>
      <c r="I44" s="10"/>
      <c r="J44" s="10"/>
    </row>
    <row r="45" customFormat="false" ht="14.25" hidden="false" customHeight="false" outlineLevel="0" collapsed="false">
      <c r="F45" s="10"/>
      <c r="G45" s="10"/>
      <c r="H45" s="10"/>
      <c r="I45" s="10"/>
      <c r="J45" s="10"/>
    </row>
    <row r="46" customFormat="false" ht="14.25" hidden="false" customHeight="false" outlineLevel="0" collapsed="false">
      <c r="F46" s="10"/>
      <c r="G46" s="10"/>
      <c r="H46" s="10"/>
      <c r="I46" s="10"/>
      <c r="J46" s="10"/>
    </row>
    <row r="47" customFormat="false" ht="14.25" hidden="false" customHeight="false" outlineLevel="0" collapsed="false">
      <c r="F47" s="10"/>
      <c r="G47" s="10"/>
      <c r="H47" s="10"/>
      <c r="I47" s="10"/>
      <c r="J47" s="10"/>
    </row>
    <row r="48" customFormat="false" ht="14.25" hidden="false" customHeight="false" outlineLevel="0" collapsed="false">
      <c r="F48" s="10"/>
      <c r="G48" s="10"/>
      <c r="H48" s="10"/>
      <c r="I48" s="10"/>
      <c r="J48" s="10"/>
    </row>
    <row r="49" customFormat="false" ht="14.25" hidden="false" customHeight="false" outlineLevel="0" collapsed="false">
      <c r="F49" s="10"/>
      <c r="G49" s="10"/>
      <c r="H49" s="10"/>
      <c r="I49" s="10"/>
      <c r="J49" s="10"/>
    </row>
    <row r="50" customFormat="false" ht="14.25" hidden="false" customHeight="false" outlineLevel="0" collapsed="false">
      <c r="F50" s="10"/>
      <c r="G50" s="10"/>
      <c r="H50" s="10"/>
      <c r="I50" s="10"/>
      <c r="J50" s="10"/>
    </row>
  </sheetData>
  <mergeCells count="6">
    <mergeCell ref="C3:D3"/>
    <mergeCell ref="F12:AI12"/>
    <mergeCell ref="S13:T13"/>
    <mergeCell ref="U13:W13"/>
    <mergeCell ref="C15:D15"/>
    <mergeCell ref="F26:K26"/>
  </mergeCells>
  <dataValidations count="1">
    <dataValidation allowBlank="true" errorStyle="stop" operator="between" showDropDown="false" showErrorMessage="false" showInputMessage="false" sqref="K28:K35" type="list">
      <formula1>"IG,Non-IG"</formula1>
      <formula2>0</formula2>
    </dataValidation>
  </dataValidations>
  <printOptions headings="false" gridLines="false" gridLinesSet="true" horizontalCentered="false" verticalCentered="false"/>
  <pageMargins left="0.7" right="0.7" top="0.75" bottom="0.75" header="0.511811023622047" footer="0.511811023622047"/>
  <pageSetup paperSize="1" scale="3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C1:M11"/>
  <sheetViews>
    <sheetView showFormulas="false" showGridLines="false" showRowColHeaders="true" showZeros="true" rightToLeft="false" tabSelected="false" showOutlineSymbols="true" defaultGridColor="true" view="normal" topLeftCell="A1" colorId="64" zoomScale="100" zoomScaleNormal="100" zoomScalePageLayoutView="115" workbookViewId="0">
      <selection pane="topLeft" activeCell="A1" activeCellId="0" sqref="A1"/>
    </sheetView>
  </sheetViews>
  <sheetFormatPr defaultColWidth="8.73046875" defaultRowHeight="14.25" zeroHeight="false" outlineLevelRow="0" outlineLevelCol="0"/>
  <cols>
    <col collapsed="false" customWidth="true" hidden="false" outlineLevel="0" max="2" min="1" style="7" width="2.53"/>
    <col collapsed="false" customWidth="true" hidden="false" outlineLevel="0" max="3" min="3" style="7" width="36.2"/>
    <col collapsed="false" customWidth="true" hidden="false" outlineLevel="0" max="4" min="4" style="7" width="16.53"/>
    <col collapsed="false" customWidth="true" hidden="false" outlineLevel="0" max="5" min="5" style="7" width="12.53"/>
    <col collapsed="false" customWidth="true" hidden="false" outlineLevel="0" max="6" min="6" style="7" width="10.53"/>
    <col collapsed="false" customWidth="true" hidden="false" outlineLevel="0" max="7" min="7" style="7" width="2.53"/>
    <col collapsed="false" customWidth="true" hidden="false" outlineLevel="0" max="8" min="8" style="7" width="30.53"/>
    <col collapsed="false" customWidth="true" hidden="false" outlineLevel="0" max="9" min="9" style="7" width="16.53"/>
    <col collapsed="false" customWidth="true" hidden="false" outlineLevel="0" max="10" min="10" style="7" width="12.53"/>
    <col collapsed="false" customWidth="true" hidden="false" outlineLevel="0" max="11" min="11" style="7" width="10.53"/>
    <col collapsed="false" customWidth="true" hidden="false" outlineLevel="0" max="12" min="12" style="7" width="2.53"/>
    <col collapsed="false" customWidth="false" hidden="false" outlineLevel="0" max="16384" min="13" style="7" width="8.73"/>
  </cols>
  <sheetData>
    <row r="1" customFormat="false" ht="14.25" hidden="false" customHeight="false" outlineLevel="0" collapsed="false">
      <c r="C1" s="7" t="s">
        <v>23</v>
      </c>
      <c r="D1" s="121" t="n">
        <f aca="false">'Cap Stack Control'!$D$5</f>
        <v>0</v>
      </c>
    </row>
    <row r="3" customFormat="false" ht="14.25" hidden="false" customHeight="false" outlineLevel="0" collapsed="false">
      <c r="C3" s="122" t="s">
        <v>70</v>
      </c>
      <c r="D3" s="123"/>
      <c r="E3" s="124"/>
      <c r="F3" s="123"/>
      <c r="G3" s="125"/>
      <c r="H3" s="125"/>
      <c r="I3" s="123"/>
      <c r="J3" s="123"/>
      <c r="K3" s="126"/>
    </row>
    <row r="4" customFormat="false" ht="14.25" hidden="false" customHeight="false" outlineLevel="0" collapsed="false">
      <c r="C4" s="45" t="s">
        <v>71</v>
      </c>
      <c r="D4" s="127" t="s">
        <v>72</v>
      </c>
      <c r="E4" s="128" t="s">
        <v>39</v>
      </c>
      <c r="F4" s="127" t="s">
        <v>73</v>
      </c>
      <c r="G4" s="129"/>
      <c r="H4" s="129" t="s">
        <v>74</v>
      </c>
      <c r="I4" s="127" t="s">
        <v>72</v>
      </c>
      <c r="J4" s="127" t="s">
        <v>39</v>
      </c>
      <c r="K4" s="130" t="s">
        <v>73</v>
      </c>
    </row>
    <row r="5" customFormat="false" ht="15.75" hidden="false" customHeight="true" outlineLevel="0" collapsed="false">
      <c r="C5" s="33" t="s">
        <v>75</v>
      </c>
      <c r="D5" s="112" t="n">
        <f aca="false">'Cap Stack Control'!$H$23</f>
        <v>0</v>
      </c>
      <c r="E5" s="112" t="n">
        <f aca="false">IFERROR(SUM(D$5:D5)/$D$1,0)</f>
        <v>0</v>
      </c>
      <c r="F5" s="131" t="n">
        <f aca="false">IFERROR(SUM(D$5:D5)/$D$10,0)</f>
        <v>0</v>
      </c>
      <c r="H5" s="7" t="s">
        <v>76</v>
      </c>
      <c r="I5" s="112"/>
      <c r="J5" s="112" t="n">
        <f aca="false">IFERROR(I5/$D$1,0)</f>
        <v>0</v>
      </c>
      <c r="K5" s="132" t="n">
        <f aca="false">IFERROR(I5/$I$10,0)</f>
        <v>0</v>
      </c>
    </row>
    <row r="6" customFormat="false" ht="14.25" hidden="false" customHeight="false" outlineLevel="0" collapsed="false">
      <c r="C6" s="33" t="s">
        <v>77</v>
      </c>
      <c r="D6" s="112"/>
      <c r="E6" s="112" t="n">
        <f aca="false">IFERROR(SUM(D$5:D6)/$D$1,0)</f>
        <v>0</v>
      </c>
      <c r="F6" s="131" t="n">
        <f aca="false">IFERROR(SUM(D$5:D6)/$D$10,0)</f>
        <v>0</v>
      </c>
      <c r="H6" s="7" t="s">
        <v>78</v>
      </c>
      <c r="I6" s="112"/>
      <c r="J6" s="112" t="n">
        <f aca="false">IFERROR(I6/$D$1,0)</f>
        <v>0</v>
      </c>
      <c r="K6" s="132" t="n">
        <f aca="false">IFERROR(I6/$I$10,0)</f>
        <v>0</v>
      </c>
    </row>
    <row r="7" customFormat="false" ht="14.25" hidden="false" customHeight="false" outlineLevel="0" collapsed="false">
      <c r="C7" s="33"/>
      <c r="D7" s="112"/>
      <c r="E7" s="112"/>
      <c r="F7" s="131"/>
      <c r="H7" s="7" t="s">
        <v>79</v>
      </c>
      <c r="I7" s="112"/>
      <c r="J7" s="112" t="n">
        <f aca="false">IFERROR(I7/$D$1,0)</f>
        <v>0</v>
      </c>
      <c r="K7" s="132" t="n">
        <f aca="false">IFERROR(I7/$I$10,0)</f>
        <v>0</v>
      </c>
    </row>
    <row r="8" customFormat="false" ht="14.25" hidden="false" customHeight="false" outlineLevel="0" collapsed="false">
      <c r="C8" s="33"/>
      <c r="D8" s="112"/>
      <c r="E8" s="112"/>
      <c r="F8" s="131"/>
      <c r="H8" s="7" t="s">
        <v>80</v>
      </c>
      <c r="I8" s="112"/>
      <c r="J8" s="112" t="n">
        <f aca="false">IFERROR(I8/$D$1,0)</f>
        <v>0</v>
      </c>
      <c r="K8" s="132" t="n">
        <f aca="false">IFERROR(I8/$I$10,0)</f>
        <v>0</v>
      </c>
    </row>
    <row r="9" customFormat="false" ht="1.5" hidden="false" customHeight="true" outlineLevel="0" collapsed="false">
      <c r="C9" s="33"/>
      <c r="D9" s="112"/>
      <c r="E9" s="112"/>
      <c r="F9" s="131"/>
      <c r="I9" s="112"/>
      <c r="J9" s="112"/>
      <c r="K9" s="132"/>
    </row>
    <row r="10" customFormat="false" ht="14.25" hidden="false" customHeight="false" outlineLevel="0" collapsed="false">
      <c r="C10" s="133" t="s">
        <v>81</v>
      </c>
      <c r="D10" s="134" t="n">
        <f aca="false">SUM(D5:D8)</f>
        <v>0</v>
      </c>
      <c r="E10" s="134" t="n">
        <f aca="false">IFERROR(D10/D1,0)</f>
        <v>0</v>
      </c>
      <c r="F10" s="135" t="n">
        <f aca="false">IFERROR(D10/D10,0)</f>
        <v>0</v>
      </c>
      <c r="G10" s="136"/>
      <c r="H10" s="136" t="s">
        <v>82</v>
      </c>
      <c r="I10" s="134" t="n">
        <f aca="false">SUM(I5:I8)</f>
        <v>0</v>
      </c>
      <c r="J10" s="134" t="n">
        <f aca="false">IFERROR(I10/$D$1,0)</f>
        <v>0</v>
      </c>
      <c r="K10" s="137" t="n">
        <f aca="false">IFERROR(I10/$I$10,0)</f>
        <v>0</v>
      </c>
      <c r="M10" s="138" t="b">
        <f aca="false">I10=D10</f>
        <v>1</v>
      </c>
    </row>
    <row r="11" customFormat="false" ht="15" hidden="false" customHeight="true" outlineLevel="0" collapsed="false">
      <c r="C11" s="139"/>
    </row>
  </sheetData>
  <printOptions headings="false" gridLines="false" gridLinesSet="true" horizontalCentered="false" verticalCentered="false"/>
  <pageMargins left="0.7" right="0.7" top="0.75" bottom="0.75" header="0.511811023622047" footer="0.511811023622047"/>
  <pageSetup paperSize="1" scale="54"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3D6"/>
    <pageSetUpPr fitToPage="false"/>
  </sheetPr>
  <dimension ref="C1:AK60"/>
  <sheetViews>
    <sheetView showFormulas="false" showGridLines="false" showRowColHeaders="true" showZeros="true" rightToLeft="false" tabSelected="false" showOutlineSymbols="true" defaultGridColor="true" view="normal" topLeftCell="A1" colorId="64" zoomScale="100" zoomScaleNormal="100" zoomScalePageLayoutView="85" workbookViewId="0">
      <pane xSplit="6" ySplit="8" topLeftCell="W9" activePane="bottomRight" state="frozen"/>
      <selection pane="topLeft" activeCell="A1" activeCellId="0" sqref="A1"/>
      <selection pane="topRight" activeCell="W1" activeCellId="0" sqref="W1"/>
      <selection pane="bottomLeft" activeCell="A9" activeCellId="0" sqref="A9"/>
      <selection pane="bottomRight" activeCell="W1" activeCellId="0" sqref="W1"/>
    </sheetView>
  </sheetViews>
  <sheetFormatPr defaultColWidth="8.73046875" defaultRowHeight="14.25" zeroHeight="false" outlineLevelRow="0" outlineLevelCol="1"/>
  <cols>
    <col collapsed="false" customWidth="true" hidden="false" outlineLevel="0" max="2" min="1" style="7" width="2.53"/>
    <col collapsed="false" customWidth="true" hidden="false" outlineLevel="0" max="3" min="3" style="140" width="4.53"/>
    <col collapsed="false" customWidth="true" hidden="false" outlineLevel="0" max="4" min="4" style="7" width="23.46"/>
    <col collapsed="false" customWidth="true" hidden="false" outlineLevel="0" max="6" min="5" style="7" width="10.53"/>
    <col collapsed="false" customWidth="false" hidden="false" outlineLevel="1" max="9" min="7" style="7" width="8.73"/>
    <col collapsed="false" customWidth="false" hidden="false" outlineLevel="0" max="12" min="10" style="7" width="8.73"/>
    <col collapsed="false" customWidth="false" hidden="false" outlineLevel="1" max="15" min="13" style="7" width="8.73"/>
    <col collapsed="false" customWidth="false" hidden="false" outlineLevel="0" max="18" min="16" style="7" width="8.73"/>
    <col collapsed="false" customWidth="true" hidden="false" outlineLevel="0" max="19" min="19" style="7" width="12.53"/>
    <col collapsed="false" customWidth="true" hidden="false" outlineLevel="0" max="20" min="20" style="7" width="14"/>
    <col collapsed="false" customWidth="true" hidden="false" outlineLevel="0" max="21" min="21" style="7" width="12.53"/>
    <col collapsed="false" customWidth="true" hidden="false" outlineLevel="0" max="23" min="22" style="7" width="14.53"/>
    <col collapsed="false" customWidth="true" hidden="false" outlineLevel="0" max="26" min="24" style="7" width="10.53"/>
    <col collapsed="false" customWidth="true" hidden="false" outlineLevel="0" max="30" min="27" style="141" width="15"/>
    <col collapsed="false" customWidth="true" hidden="false" outlineLevel="0" max="31" min="31" style="142" width="16"/>
    <col collapsed="false" customWidth="true" hidden="false" outlineLevel="0" max="32" min="32" style="142" width="10.53"/>
    <col collapsed="false" customWidth="true" hidden="false" outlineLevel="0" max="33" min="33" style="7" width="2.53"/>
    <col collapsed="false" customWidth="true" hidden="false" outlineLevel="0" max="34" min="34" style="7" width="15.53"/>
    <col collapsed="false" customWidth="true" hidden="false" outlineLevel="0" max="35" min="35" style="7" width="14.53"/>
    <col collapsed="false" customWidth="true" hidden="false" outlineLevel="0" max="36" min="36" style="7" width="12.53"/>
    <col collapsed="false" customWidth="false" hidden="false" outlineLevel="0" max="16384" min="37" style="7" width="8.73"/>
  </cols>
  <sheetData>
    <row r="1" s="34" customFormat="true" ht="14.25" hidden="false" customHeight="false" outlineLevel="0" collapsed="false">
      <c r="F1" s="143" t="s">
        <v>83</v>
      </c>
      <c r="G1" s="143" t="s">
        <v>84</v>
      </c>
      <c r="H1" s="144" t="s">
        <v>85</v>
      </c>
      <c r="I1" s="144" t="s">
        <v>86</v>
      </c>
      <c r="J1" s="143" t="s">
        <v>87</v>
      </c>
      <c r="K1" s="144" t="s">
        <v>88</v>
      </c>
      <c r="L1" s="144" t="s">
        <v>89</v>
      </c>
      <c r="M1" s="143" t="s">
        <v>90</v>
      </c>
      <c r="N1" s="144" t="s">
        <v>91</v>
      </c>
      <c r="O1" s="144" t="s">
        <v>92</v>
      </c>
      <c r="P1" s="143"/>
      <c r="Q1" s="144"/>
      <c r="R1" s="144"/>
      <c r="S1" s="144" t="s">
        <v>93</v>
      </c>
      <c r="T1" s="144" t="s">
        <v>94</v>
      </c>
      <c r="U1" s="144" t="s">
        <v>95</v>
      </c>
      <c r="V1" s="144"/>
      <c r="W1" s="144" t="s">
        <v>94</v>
      </c>
      <c r="X1" s="143"/>
      <c r="Y1" s="143"/>
      <c r="Z1" s="143"/>
      <c r="AA1" s="145"/>
      <c r="AB1" s="144"/>
      <c r="AC1" s="144"/>
      <c r="AD1" s="144"/>
      <c r="AF1" s="146"/>
    </row>
    <row r="2" customFormat="false" ht="14.25" hidden="false" customHeight="false" outlineLevel="0" collapsed="false">
      <c r="G2" s="147"/>
      <c r="H2" s="148"/>
      <c r="I2" s="148"/>
      <c r="J2" s="147"/>
      <c r="K2" s="148"/>
      <c r="L2" s="148"/>
      <c r="M2" s="147"/>
      <c r="N2" s="148"/>
      <c r="O2" s="148"/>
      <c r="P2" s="147"/>
      <c r="Q2" s="148"/>
      <c r="R2" s="148"/>
      <c r="S2" s="148"/>
      <c r="T2" s="148"/>
      <c r="U2" s="148"/>
      <c r="V2" s="148"/>
      <c r="W2" s="148"/>
      <c r="X2" s="147"/>
      <c r="Y2" s="147"/>
      <c r="Z2" s="147"/>
      <c r="AB2" s="148"/>
      <c r="AC2" s="148"/>
      <c r="AD2" s="148"/>
      <c r="AE2" s="149"/>
      <c r="AF2" s="149"/>
    </row>
    <row r="3" customFormat="false" ht="14.25" hidden="false" customHeight="false" outlineLevel="0" collapsed="false">
      <c r="D3" s="7" t="s">
        <v>96</v>
      </c>
      <c r="E3" s="150" t="n">
        <v>0.06</v>
      </c>
      <c r="G3" s="147"/>
      <c r="H3" s="148"/>
      <c r="I3" s="148"/>
      <c r="J3" s="147"/>
      <c r="K3" s="148"/>
      <c r="L3" s="148"/>
      <c r="M3" s="147"/>
      <c r="N3" s="148"/>
      <c r="O3" s="148"/>
      <c r="P3" s="147"/>
      <c r="Q3" s="148"/>
      <c r="R3" s="148"/>
      <c r="S3" s="148"/>
      <c r="T3" s="148"/>
      <c r="U3" s="148"/>
      <c r="V3" s="148"/>
      <c r="W3" s="148"/>
      <c r="X3" s="147"/>
      <c r="Y3" s="147"/>
      <c r="Z3" s="147"/>
      <c r="AB3" s="148"/>
      <c r="AC3" s="148"/>
      <c r="AD3" s="148"/>
      <c r="AE3" s="149"/>
      <c r="AF3" s="149"/>
    </row>
    <row r="4" customFormat="false" ht="14.25" hidden="false" customHeight="false" outlineLevel="0" collapsed="false">
      <c r="D4" s="7" t="s">
        <v>97</v>
      </c>
      <c r="E4" s="151" t="n">
        <v>15000</v>
      </c>
      <c r="G4" s="147"/>
      <c r="H4" s="148"/>
      <c r="I4" s="148"/>
      <c r="J4" s="147"/>
      <c r="K4" s="148"/>
      <c r="L4" s="148"/>
      <c r="M4" s="147"/>
      <c r="N4" s="148"/>
      <c r="O4" s="148"/>
      <c r="P4" s="147"/>
      <c r="Q4" s="148"/>
      <c r="R4" s="148"/>
      <c r="S4" s="148"/>
      <c r="T4" s="148"/>
      <c r="U4" s="148"/>
      <c r="V4" s="148"/>
      <c r="W4" s="148"/>
      <c r="X4" s="147"/>
      <c r="Y4" s="147"/>
      <c r="Z4" s="147"/>
      <c r="AB4" s="148"/>
      <c r="AC4" s="148"/>
      <c r="AD4" s="148"/>
      <c r="AE4" s="149"/>
      <c r="AF4" s="149"/>
    </row>
    <row r="5" customFormat="false" ht="14.25" hidden="false" customHeight="false" outlineLevel="0" collapsed="false">
      <c r="D5" s="7" t="s">
        <v>98</v>
      </c>
      <c r="E5" s="150" t="n">
        <v>0.25</v>
      </c>
      <c r="G5" s="147"/>
      <c r="H5" s="148"/>
      <c r="I5" s="148"/>
      <c r="J5" s="147"/>
      <c r="K5" s="148"/>
      <c r="L5" s="148"/>
      <c r="M5" s="147"/>
      <c r="N5" s="148"/>
      <c r="O5" s="148"/>
      <c r="P5" s="147"/>
      <c r="Q5" s="148"/>
      <c r="R5" s="148"/>
      <c r="S5" s="148"/>
      <c r="T5" s="152"/>
      <c r="U5" s="148"/>
      <c r="V5" s="148"/>
      <c r="W5" s="148"/>
      <c r="X5" s="147"/>
      <c r="Y5" s="147"/>
      <c r="Z5" s="147"/>
      <c r="AB5" s="148"/>
      <c r="AC5" s="148"/>
      <c r="AD5" s="148"/>
      <c r="AE5" s="149"/>
      <c r="AF5" s="149"/>
    </row>
    <row r="6" customFormat="false" ht="14.25" hidden="false" customHeight="false" outlineLevel="0" collapsed="false">
      <c r="G6" s="147"/>
      <c r="H6" s="148"/>
      <c r="I6" s="148"/>
      <c r="J6" s="147"/>
      <c r="K6" s="148"/>
      <c r="L6" s="148"/>
      <c r="M6" s="147"/>
      <c r="N6" s="148"/>
      <c r="O6" s="148"/>
      <c r="P6" s="147"/>
      <c r="Q6" s="148"/>
      <c r="R6" s="148"/>
      <c r="S6" s="148"/>
      <c r="T6" s="148"/>
      <c r="U6" s="148"/>
      <c r="V6" s="148"/>
      <c r="W6" s="148"/>
      <c r="X6" s="147"/>
      <c r="Y6" s="147"/>
      <c r="Z6" s="147"/>
      <c r="AB6" s="148"/>
      <c r="AC6" s="148"/>
      <c r="AD6" s="148"/>
      <c r="AE6" s="149"/>
      <c r="AF6" s="149"/>
    </row>
    <row r="7" customFormat="false" ht="16.5" hidden="false" customHeight="true" outlineLevel="0" collapsed="false">
      <c r="C7" s="153"/>
      <c r="D7" s="154"/>
      <c r="E7" s="154"/>
      <c r="F7" s="155"/>
      <c r="G7" s="156" t="n">
        <f aca="false">Tape!$Y$5</f>
        <v>2025</v>
      </c>
      <c r="H7" s="156"/>
      <c r="I7" s="156"/>
      <c r="J7" s="157" t="str">
        <f aca="false">Tape!$Z$5</f>
        <v>TTM</v>
      </c>
      <c r="K7" s="157"/>
      <c r="L7" s="157"/>
      <c r="M7" s="157" t="str">
        <f aca="false">Tape!$AA$5</f>
        <v>Reforecast</v>
      </c>
      <c r="N7" s="157"/>
      <c r="O7" s="157"/>
      <c r="P7" s="158" t="s">
        <v>99</v>
      </c>
      <c r="Q7" s="158"/>
      <c r="R7" s="158"/>
      <c r="S7" s="158"/>
      <c r="T7" s="158"/>
      <c r="U7" s="158"/>
      <c r="V7" s="158"/>
      <c r="W7" s="158"/>
      <c r="X7" s="158"/>
      <c r="Y7" s="158"/>
      <c r="Z7" s="158"/>
      <c r="AA7" s="158"/>
      <c r="AB7" s="158"/>
      <c r="AC7" s="158"/>
      <c r="AD7" s="158"/>
      <c r="AE7" s="158"/>
      <c r="AF7" s="158"/>
    </row>
    <row r="8" s="109" customFormat="true" ht="28.5" hidden="false" customHeight="true" outlineLevel="0" collapsed="false">
      <c r="C8" s="159" t="s">
        <v>100</v>
      </c>
      <c r="D8" s="160" t="s">
        <v>101</v>
      </c>
      <c r="E8" s="161" t="s">
        <v>102</v>
      </c>
      <c r="F8" s="162" t="s">
        <v>23</v>
      </c>
      <c r="G8" s="163" t="s">
        <v>103</v>
      </c>
      <c r="H8" s="164" t="s">
        <v>104</v>
      </c>
      <c r="I8" s="165" t="s">
        <v>105</v>
      </c>
      <c r="J8" s="166" t="s">
        <v>103</v>
      </c>
      <c r="K8" s="164" t="s">
        <v>104</v>
      </c>
      <c r="L8" s="165" t="s">
        <v>105</v>
      </c>
      <c r="M8" s="166" t="s">
        <v>103</v>
      </c>
      <c r="N8" s="164" t="s">
        <v>104</v>
      </c>
      <c r="O8" s="165" t="s">
        <v>105</v>
      </c>
      <c r="P8" s="167" t="s">
        <v>103</v>
      </c>
      <c r="Q8" s="168" t="s">
        <v>104</v>
      </c>
      <c r="R8" s="168" t="s">
        <v>105</v>
      </c>
      <c r="S8" s="169" t="s">
        <v>106</v>
      </c>
      <c r="T8" s="169" t="s">
        <v>107</v>
      </c>
      <c r="U8" s="169" t="s">
        <v>108</v>
      </c>
      <c r="V8" s="170" t="s">
        <v>109</v>
      </c>
      <c r="W8" s="169" t="s">
        <v>110</v>
      </c>
      <c r="X8" s="171" t="s">
        <v>111</v>
      </c>
      <c r="Y8" s="171" t="s">
        <v>112</v>
      </c>
      <c r="Z8" s="171" t="s">
        <v>113</v>
      </c>
      <c r="AA8" s="172" t="s">
        <v>114</v>
      </c>
      <c r="AB8" s="173" t="s">
        <v>115</v>
      </c>
      <c r="AC8" s="173" t="s">
        <v>116</v>
      </c>
      <c r="AD8" s="173" t="s">
        <v>117</v>
      </c>
      <c r="AE8" s="173" t="s">
        <v>118</v>
      </c>
      <c r="AF8" s="174" t="s">
        <v>39</v>
      </c>
      <c r="AH8" s="109" t="s">
        <v>119</v>
      </c>
      <c r="AJ8" s="111" t="s">
        <v>120</v>
      </c>
      <c r="AK8" s="175" t="s">
        <v>121</v>
      </c>
    </row>
    <row r="9" customFormat="false" ht="14.25" hidden="false" customHeight="true" outlineLevel="0" collapsed="false">
      <c r="C9" s="176" t="n">
        <v>1</v>
      </c>
      <c r="D9" s="7" t="str">
        <f aca="false">IF(INDEX(Tape!$C$7:$C$36,$C9)="","",INDEX(Tape!$C$7:$C$36,$C9))</f>
        <v/>
      </c>
      <c r="E9" s="34" t="n">
        <f aca="false">IFERROR(INDEX(Tape!$O$7:$O$36,MATCH('UW Drivers'!$D9,Tape!$C$7:$C$36,0)),0)</f>
        <v>0</v>
      </c>
      <c r="F9" s="177" t="n">
        <f aca="true">IFERROR(INDIRECT("'" &amp; $C9 &amp; "'!" &amp; F$1),0)</f>
        <v>0</v>
      </c>
      <c r="G9" s="178" t="n">
        <f aca="true">IFERROR(INDIRECT("'" &amp; $C9 &amp; "'!" &amp; G$1),0)</f>
        <v>0</v>
      </c>
      <c r="H9" s="179" t="n">
        <f aca="true">IFERROR(INDIRECT("'" &amp; $C9 &amp; "'!" &amp; H$1),0)</f>
        <v>0</v>
      </c>
      <c r="I9" s="180" t="n">
        <f aca="true">IFERROR(INDIRECT("'" &amp; $C9 &amp; "'!" &amp; I$1),0)</f>
        <v>0</v>
      </c>
      <c r="J9" s="181" t="n">
        <f aca="true">IFERROR(INDIRECT("'" &amp; $C9 &amp; "'!" &amp; J$1),0)</f>
        <v>0</v>
      </c>
      <c r="K9" s="179" t="n">
        <f aca="true">IFERROR(INDIRECT("'" &amp; $C9 &amp; "'!" &amp; K$1),0)</f>
        <v>0</v>
      </c>
      <c r="L9" s="180" t="n">
        <f aca="true">IFERROR(INDIRECT("'" &amp; $C9 &amp; "'!" &amp; L$1),0)</f>
        <v>0</v>
      </c>
      <c r="M9" s="181" t="n">
        <f aca="true">IFERROR(INDIRECT("'" &amp; $C9 &amp; "'!" &amp; M$1),0)</f>
        <v>0</v>
      </c>
      <c r="N9" s="179" t="n">
        <f aca="true">IFERROR(INDIRECT("'" &amp; $C9 &amp; "'!" &amp; N$1),0)</f>
        <v>0</v>
      </c>
      <c r="O9" s="180" t="n">
        <f aca="true">IFERROR(INDIRECT("'" &amp; $C9 &amp; "'!" &amp; O$1),0)</f>
        <v>0</v>
      </c>
      <c r="P9" s="182" t="n">
        <f aca="false">J9</f>
        <v>0</v>
      </c>
      <c r="Q9" s="183" t="n">
        <f aca="false">K9</f>
        <v>0</v>
      </c>
      <c r="R9" s="144" t="n">
        <f aca="false">P9*Q9</f>
        <v>0</v>
      </c>
      <c r="S9" s="144" t="n">
        <f aca="true">IFERROR(INDIRECT("'" &amp; $C9 &amp; "'!" &amp; S$1),0)</f>
        <v>0</v>
      </c>
      <c r="T9" s="144" t="n">
        <f aca="true">IFERROR(INDIRECT("'" &amp; $C9 &amp; "'!" &amp; T$1),0)</f>
        <v>0</v>
      </c>
      <c r="U9" s="143" t="n">
        <f aca="true">IFERROR(INDIRECT("'" &amp; $C9 &amp; "'!" &amp; U$1),0)</f>
        <v>0</v>
      </c>
      <c r="V9" s="184" t="s">
        <v>122</v>
      </c>
      <c r="W9" s="144" t="n">
        <f aca="true">IFERROR(IF(V9="No",INDIRECT("'"&amp;$C9&amp;"'!"&amp;W$1),S9*Y9),0)</f>
        <v>0</v>
      </c>
      <c r="X9" s="185"/>
      <c r="Y9" s="186" t="n">
        <f aca="false">IF(X9&gt;0,X9,U9)</f>
        <v>0</v>
      </c>
      <c r="Z9" s="143" t="n">
        <f aca="false">IFERROR(W9/S9,0)</f>
        <v>0</v>
      </c>
      <c r="AA9" s="187"/>
      <c r="AB9" s="188" t="n">
        <f aca="false">IFERROR(ROUND(T9/AA9,-5),0)</f>
        <v>0</v>
      </c>
      <c r="AC9" s="189"/>
      <c r="AD9" s="188" t="n">
        <f aca="false">AB9-(AC9*F9)</f>
        <v>0</v>
      </c>
      <c r="AE9" s="146" t="n">
        <f aca="false">IFERROR(ROUND(W9/AA9,-5)-(AC9*F9),0)</f>
        <v>0</v>
      </c>
      <c r="AF9" s="190" t="n">
        <f aca="false">IFERROR(AE9/F9,0)</f>
        <v>0</v>
      </c>
      <c r="AH9" s="191"/>
      <c r="AI9" s="148" t="n">
        <f aca="false">AC9*F9</f>
        <v>0</v>
      </c>
      <c r="AJ9" s="144" t="n">
        <f aca="false">IFERROR(+W9/$F9,0)</f>
        <v>0</v>
      </c>
      <c r="AK9" s="192"/>
    </row>
    <row r="10" customFormat="false" ht="14.25" hidden="false" customHeight="false" outlineLevel="0" collapsed="false">
      <c r="C10" s="176" t="n">
        <f aca="false">C9+1</f>
        <v>2</v>
      </c>
      <c r="D10" s="7" t="str">
        <f aca="false">IF(INDEX(Tape!$C$7:$C$36,$C10)="","",INDEX(Tape!$C$7:$C$36,$C10))</f>
        <v/>
      </c>
      <c r="E10" s="34" t="n">
        <f aca="false">IFERROR(INDEX(Tape!$O$7:$O$36,MATCH('UW Drivers'!$D10,Tape!$C$7:$C$36,0)),0)</f>
        <v>0</v>
      </c>
      <c r="F10" s="177" t="n">
        <f aca="true">IFERROR(INDIRECT("'" &amp; $C10 &amp; "'!" &amp; F$1),0)</f>
        <v>0</v>
      </c>
      <c r="G10" s="143" t="n">
        <f aca="true">IFERROR(INDIRECT("'" &amp; $C10 &amp; "'!" &amp; G$1),0)</f>
        <v>0</v>
      </c>
      <c r="H10" s="144" t="n">
        <f aca="true">IFERROR(INDIRECT("'" &amp; $C10 &amp; "'!" &amp; H$1),0)</f>
        <v>0</v>
      </c>
      <c r="I10" s="193" t="n">
        <f aca="true">IFERROR(INDIRECT("'" &amp; $C10 &amp; "'!" &amp; I$1),0)</f>
        <v>0</v>
      </c>
      <c r="J10" s="194" t="n">
        <f aca="true">IFERROR(INDIRECT("'" &amp; $C10 &amp; "'!" &amp; J$1),0)</f>
        <v>0</v>
      </c>
      <c r="K10" s="144" t="n">
        <f aca="true">IFERROR(INDIRECT("'" &amp; $C10 &amp; "'!" &amp; K$1),0)</f>
        <v>0</v>
      </c>
      <c r="L10" s="193" t="n">
        <f aca="true">IFERROR(INDIRECT("'" &amp; $C10 &amp; "'!" &amp; L$1),0)</f>
        <v>0</v>
      </c>
      <c r="M10" s="194" t="n">
        <f aca="true">IFERROR(INDIRECT("'" &amp; $C10 &amp; "'!" &amp; M$1),0)</f>
        <v>0</v>
      </c>
      <c r="N10" s="144" t="n">
        <f aca="true">IFERROR(INDIRECT("'" &amp; $C10 &amp; "'!" &amp; N$1),0)</f>
        <v>0</v>
      </c>
      <c r="O10" s="193" t="n">
        <f aca="true">IFERROR(INDIRECT("'" &amp; $C10 &amp; "'!" &amp; O$1),0)</f>
        <v>0</v>
      </c>
      <c r="P10" s="182" t="n">
        <f aca="false">J10</f>
        <v>0</v>
      </c>
      <c r="Q10" s="183" t="n">
        <f aca="false">K10</f>
        <v>0</v>
      </c>
      <c r="R10" s="144" t="n">
        <f aca="false">P10*Q10</f>
        <v>0</v>
      </c>
      <c r="S10" s="144" t="n">
        <f aca="true">IFERROR(INDIRECT("'" &amp; $C10 &amp; "'!" &amp; S$1),0)</f>
        <v>0</v>
      </c>
      <c r="T10" s="144" t="n">
        <f aca="true">IFERROR(INDIRECT("'" &amp; $C10 &amp; "'!" &amp; T$1),0)</f>
        <v>0</v>
      </c>
      <c r="U10" s="143" t="n">
        <f aca="true">IFERROR(INDIRECT("'" &amp; $C10 &amp; "'!" &amp; U$1),0)</f>
        <v>0</v>
      </c>
      <c r="V10" s="184" t="s">
        <v>122</v>
      </c>
      <c r="W10" s="144" t="n">
        <f aca="true">IFERROR(IF(V10="No",INDIRECT("'"&amp;$C10&amp;"'!"&amp;W$1),S10*Y10),0)</f>
        <v>0</v>
      </c>
      <c r="X10" s="185"/>
      <c r="Y10" s="186" t="n">
        <f aca="false">IF(X10&gt;0,X10,U10)</f>
        <v>0</v>
      </c>
      <c r="Z10" s="143" t="n">
        <f aca="false">IFERROR(W10/S10,0)</f>
        <v>0</v>
      </c>
      <c r="AA10" s="187"/>
      <c r="AB10" s="188" t="n">
        <f aca="false">IFERROR(ROUND(T10/AA10,-5),0)</f>
        <v>0</v>
      </c>
      <c r="AC10" s="189"/>
      <c r="AD10" s="188" t="n">
        <f aca="false">AB10-(AC10*F10)</f>
        <v>0</v>
      </c>
      <c r="AE10" s="146" t="n">
        <f aca="false">IFERROR(ROUND(W10/AA10,-5)-(AC10*F10),0)</f>
        <v>0</v>
      </c>
      <c r="AF10" s="190" t="n">
        <f aca="false">IFERROR(AE10/F10,0)</f>
        <v>0</v>
      </c>
      <c r="AH10" s="191"/>
      <c r="AI10" s="148" t="n">
        <f aca="false">AC10*F10</f>
        <v>0</v>
      </c>
      <c r="AJ10" s="144" t="n">
        <f aca="false">IFERROR(+W10/$F10,0)</f>
        <v>0</v>
      </c>
    </row>
    <row r="11" customFormat="false" ht="14.25" hidden="false" customHeight="false" outlineLevel="0" collapsed="false">
      <c r="C11" s="176" t="n">
        <f aca="false">C10+1</f>
        <v>3</v>
      </c>
      <c r="D11" s="7" t="str">
        <f aca="false">IF(INDEX(Tape!$C$7:$C$36,$C11)="","",INDEX(Tape!$C$7:$C$36,$C11))</f>
        <v/>
      </c>
      <c r="E11" s="34" t="n">
        <f aca="false">IFERROR(INDEX(Tape!$O$7:$O$36,MATCH('UW Drivers'!$D11,Tape!$C$7:$C$36,0)),0)</f>
        <v>0</v>
      </c>
      <c r="F11" s="177" t="n">
        <f aca="true">IFERROR(INDIRECT("'" &amp; $C11 &amp; "'!" &amp; F$1),0)</f>
        <v>0</v>
      </c>
      <c r="G11" s="143" t="n">
        <f aca="true">IFERROR(INDIRECT("'" &amp; $C11 &amp; "'!" &amp; G$1),0)</f>
        <v>0</v>
      </c>
      <c r="H11" s="144" t="n">
        <f aca="true">IFERROR(INDIRECT("'" &amp; $C11 &amp; "'!" &amp; H$1),0)</f>
        <v>0</v>
      </c>
      <c r="I11" s="193" t="n">
        <f aca="true">IFERROR(INDIRECT("'" &amp; $C11 &amp; "'!" &amp; I$1),0)</f>
        <v>0</v>
      </c>
      <c r="J11" s="194" t="n">
        <f aca="true">IFERROR(INDIRECT("'" &amp; $C11 &amp; "'!" &amp; J$1),0)</f>
        <v>0</v>
      </c>
      <c r="K11" s="144" t="n">
        <f aca="true">IFERROR(INDIRECT("'" &amp; $C11 &amp; "'!" &amp; K$1),0)</f>
        <v>0</v>
      </c>
      <c r="L11" s="193" t="n">
        <f aca="true">IFERROR(INDIRECT("'" &amp; $C11 &amp; "'!" &amp; L$1),0)</f>
        <v>0</v>
      </c>
      <c r="M11" s="194" t="n">
        <f aca="true">IFERROR(INDIRECT("'" &amp; $C11 &amp; "'!" &amp; M$1),0)</f>
        <v>0</v>
      </c>
      <c r="N11" s="144" t="n">
        <f aca="true">IFERROR(INDIRECT("'" &amp; $C11 &amp; "'!" &amp; N$1),0)</f>
        <v>0</v>
      </c>
      <c r="O11" s="193" t="n">
        <f aca="true">IFERROR(INDIRECT("'" &amp; $C11 &amp; "'!" &amp; O$1),0)</f>
        <v>0</v>
      </c>
      <c r="P11" s="182" t="n">
        <f aca="false">J11</f>
        <v>0</v>
      </c>
      <c r="Q11" s="183" t="n">
        <f aca="false">K11</f>
        <v>0</v>
      </c>
      <c r="R11" s="144" t="n">
        <f aca="false">P11*Q11</f>
        <v>0</v>
      </c>
      <c r="S11" s="144" t="n">
        <f aca="true">IFERROR(INDIRECT("'" &amp; $C11 &amp; "'!" &amp; S$1),0)</f>
        <v>0</v>
      </c>
      <c r="T11" s="144" t="n">
        <f aca="true">IFERROR(INDIRECT("'" &amp; $C11 &amp; "'!" &amp; T$1),0)</f>
        <v>0</v>
      </c>
      <c r="U11" s="143" t="n">
        <f aca="true">IFERROR(INDIRECT("'" &amp; $C11 &amp; "'!" &amp; U$1),0)</f>
        <v>0</v>
      </c>
      <c r="V11" s="184" t="s">
        <v>122</v>
      </c>
      <c r="W11" s="144" t="n">
        <f aca="true">IFERROR(IF(V11="No",INDIRECT("'"&amp;$C11&amp;"'!"&amp;W$1),S11*Y11),0)</f>
        <v>0</v>
      </c>
      <c r="X11" s="185"/>
      <c r="Y11" s="186" t="n">
        <f aca="false">IF(X11&gt;0,X11,U11)</f>
        <v>0</v>
      </c>
      <c r="Z11" s="143" t="n">
        <f aca="false">IFERROR(W11/S11,0)</f>
        <v>0</v>
      </c>
      <c r="AA11" s="187"/>
      <c r="AB11" s="188" t="n">
        <f aca="false">IFERROR(ROUND(T11/AA11,-5),0)</f>
        <v>0</v>
      </c>
      <c r="AC11" s="189"/>
      <c r="AD11" s="188" t="n">
        <f aca="false">AB11-(AC11*F11)</f>
        <v>0</v>
      </c>
      <c r="AE11" s="146" t="n">
        <f aca="false">IFERROR(ROUND(W11/AA11,-5)-(AC11*F11),0)</f>
        <v>0</v>
      </c>
      <c r="AF11" s="190" t="n">
        <f aca="false">IFERROR(AE11/F11,0)</f>
        <v>0</v>
      </c>
      <c r="AH11" s="195"/>
      <c r="AI11" s="148" t="n">
        <f aca="false">AC11*F11</f>
        <v>0</v>
      </c>
      <c r="AJ11" s="144" t="n">
        <f aca="false">IFERROR(+W11/$F11,0)</f>
        <v>0</v>
      </c>
    </row>
    <row r="12" customFormat="false" ht="14.25" hidden="false" customHeight="false" outlineLevel="0" collapsed="false">
      <c r="C12" s="176" t="n">
        <f aca="false">C11+1</f>
        <v>4</v>
      </c>
      <c r="D12" s="7" t="str">
        <f aca="false">IF(INDEX(Tape!$C$7:$C$36,$C12)="","",INDEX(Tape!$C$7:$C$36,$C12))</f>
        <v/>
      </c>
      <c r="E12" s="34" t="n">
        <f aca="false">IFERROR(INDEX(Tape!$O$7:$O$36,MATCH('UW Drivers'!$D12,Tape!$C$7:$C$36,0)),0)</f>
        <v>0</v>
      </c>
      <c r="F12" s="177" t="n">
        <f aca="true">IFERROR(INDIRECT("'" &amp; $C12 &amp; "'!" &amp; F$1),0)</f>
        <v>0</v>
      </c>
      <c r="G12" s="143" t="n">
        <f aca="true">IFERROR(INDIRECT("'" &amp; $C12 &amp; "'!" &amp; G$1),0)</f>
        <v>0</v>
      </c>
      <c r="H12" s="144" t="n">
        <f aca="true">IFERROR(INDIRECT("'" &amp; $C12 &amp; "'!" &amp; H$1),0)</f>
        <v>0</v>
      </c>
      <c r="I12" s="193" t="n">
        <f aca="true">IFERROR(INDIRECT("'" &amp; $C12 &amp; "'!" &amp; I$1),0)</f>
        <v>0</v>
      </c>
      <c r="J12" s="194" t="n">
        <f aca="true">IFERROR(INDIRECT("'" &amp; $C12 &amp; "'!" &amp; J$1),0)</f>
        <v>0</v>
      </c>
      <c r="K12" s="144" t="n">
        <f aca="true">IFERROR(INDIRECT("'" &amp; $C12 &amp; "'!" &amp; K$1),0)</f>
        <v>0</v>
      </c>
      <c r="L12" s="193" t="n">
        <f aca="true">IFERROR(INDIRECT("'" &amp; $C12 &amp; "'!" &amp; L$1),0)</f>
        <v>0</v>
      </c>
      <c r="M12" s="194" t="n">
        <f aca="true">IFERROR(INDIRECT("'" &amp; $C12 &amp; "'!" &amp; M$1),0)</f>
        <v>0</v>
      </c>
      <c r="N12" s="144" t="n">
        <f aca="true">IFERROR(INDIRECT("'" &amp; $C12 &amp; "'!" &amp; N$1),0)</f>
        <v>0</v>
      </c>
      <c r="O12" s="193" t="n">
        <f aca="true">IFERROR(INDIRECT("'" &amp; $C12 &amp; "'!" &amp; O$1),0)</f>
        <v>0</v>
      </c>
      <c r="P12" s="182" t="n">
        <f aca="false">J12</f>
        <v>0</v>
      </c>
      <c r="Q12" s="183" t="n">
        <f aca="false">K12</f>
        <v>0</v>
      </c>
      <c r="R12" s="144" t="n">
        <f aca="false">P12*Q12</f>
        <v>0</v>
      </c>
      <c r="S12" s="144" t="n">
        <f aca="true">IFERROR(INDIRECT("'" &amp; $C12 &amp; "'!" &amp; S$1),0)</f>
        <v>0</v>
      </c>
      <c r="T12" s="144" t="n">
        <f aca="true">IFERROR(INDIRECT("'" &amp; $C12 &amp; "'!" &amp; T$1),0)</f>
        <v>0</v>
      </c>
      <c r="U12" s="143" t="n">
        <f aca="true">IFERROR(INDIRECT("'" &amp; $C12 &amp; "'!" &amp; U$1),0)</f>
        <v>0</v>
      </c>
      <c r="V12" s="184" t="s">
        <v>122</v>
      </c>
      <c r="W12" s="144" t="n">
        <f aca="true">IFERROR(IF(V12="No",INDIRECT("'"&amp;$C12&amp;"'!"&amp;W$1),S12*Y12),0)</f>
        <v>0</v>
      </c>
      <c r="X12" s="185"/>
      <c r="Y12" s="186" t="n">
        <f aca="false">IF(X12&gt;0,X12,U12)</f>
        <v>0</v>
      </c>
      <c r="Z12" s="143" t="n">
        <f aca="false">IFERROR(W12/S12,0)</f>
        <v>0</v>
      </c>
      <c r="AA12" s="187"/>
      <c r="AB12" s="188" t="n">
        <f aca="false">IFERROR(ROUND(T12/AA12,-5),0)</f>
        <v>0</v>
      </c>
      <c r="AC12" s="189"/>
      <c r="AD12" s="188" t="n">
        <f aca="false">AB12-(AC12*F12)</f>
        <v>0</v>
      </c>
      <c r="AE12" s="146" t="n">
        <f aca="false">IFERROR(ROUND(W12/AA12,-5)-(AC12*F12),0)</f>
        <v>0</v>
      </c>
      <c r="AF12" s="190" t="n">
        <f aca="false">IFERROR(AE12/F12,0)</f>
        <v>0</v>
      </c>
      <c r="AH12" s="191"/>
      <c r="AI12" s="148" t="n">
        <f aca="false">AC12*F12</f>
        <v>0</v>
      </c>
      <c r="AJ12" s="144" t="n">
        <f aca="false">IFERROR(+W12/$F12,0)</f>
        <v>0</v>
      </c>
    </row>
    <row r="13" customFormat="false" ht="14.25" hidden="false" customHeight="false" outlineLevel="0" collapsed="false">
      <c r="C13" s="176" t="n">
        <f aca="false">C12+1</f>
        <v>5</v>
      </c>
      <c r="D13" s="7" t="str">
        <f aca="false">IF(INDEX(Tape!$C$7:$C$36,$C13)="","",INDEX(Tape!$C$7:$C$36,$C13))</f>
        <v/>
      </c>
      <c r="E13" s="34" t="n">
        <f aca="false">IFERROR(INDEX(Tape!$O$7:$O$36,MATCH('UW Drivers'!$D13,Tape!$C$7:$C$36,0)),0)</f>
        <v>0</v>
      </c>
      <c r="F13" s="177" t="n">
        <f aca="true">IFERROR(INDIRECT("'" &amp; $C13 &amp; "'!" &amp; F$1),0)</f>
        <v>0</v>
      </c>
      <c r="G13" s="143" t="n">
        <f aca="true">IFERROR(INDIRECT("'" &amp; $C13 &amp; "'!" &amp; G$1),0)</f>
        <v>0</v>
      </c>
      <c r="H13" s="144" t="n">
        <f aca="true">IFERROR(INDIRECT("'" &amp; $C13 &amp; "'!" &amp; H$1),0)</f>
        <v>0</v>
      </c>
      <c r="I13" s="193" t="n">
        <f aca="true">IFERROR(INDIRECT("'" &amp; $C13 &amp; "'!" &amp; I$1),0)</f>
        <v>0</v>
      </c>
      <c r="J13" s="194" t="n">
        <f aca="true">IFERROR(INDIRECT("'" &amp; $C13 &amp; "'!" &amp; J$1),0)</f>
        <v>0</v>
      </c>
      <c r="K13" s="144" t="n">
        <f aca="true">IFERROR(INDIRECT("'" &amp; $C13 &amp; "'!" &amp; K$1),0)</f>
        <v>0</v>
      </c>
      <c r="L13" s="193" t="n">
        <f aca="true">IFERROR(INDIRECT("'" &amp; $C13 &amp; "'!" &amp; L$1),0)</f>
        <v>0</v>
      </c>
      <c r="M13" s="194" t="n">
        <f aca="true">IFERROR(INDIRECT("'" &amp; $C13 &amp; "'!" &amp; M$1),0)</f>
        <v>0</v>
      </c>
      <c r="N13" s="144" t="n">
        <f aca="true">IFERROR(INDIRECT("'" &amp; $C13 &amp; "'!" &amp; N$1),0)</f>
        <v>0</v>
      </c>
      <c r="O13" s="193" t="n">
        <f aca="true">IFERROR(INDIRECT("'" &amp; $C13 &amp; "'!" &amp; O$1),0)</f>
        <v>0</v>
      </c>
      <c r="P13" s="182" t="n">
        <f aca="false">J13</f>
        <v>0</v>
      </c>
      <c r="Q13" s="183" t="n">
        <f aca="false">K13</f>
        <v>0</v>
      </c>
      <c r="R13" s="144" t="n">
        <f aca="false">P13*Q13</f>
        <v>0</v>
      </c>
      <c r="S13" s="144" t="n">
        <f aca="true">IFERROR(INDIRECT("'" &amp; $C13 &amp; "'!" &amp; S$1),0)</f>
        <v>0</v>
      </c>
      <c r="T13" s="144" t="n">
        <f aca="true">IFERROR(INDIRECT("'" &amp; $C13 &amp; "'!" &amp; T$1),0)</f>
        <v>0</v>
      </c>
      <c r="U13" s="143" t="n">
        <f aca="true">IFERROR(INDIRECT("'" &amp; $C13 &amp; "'!" &amp; U$1),0)</f>
        <v>0</v>
      </c>
      <c r="V13" s="184" t="s">
        <v>122</v>
      </c>
      <c r="W13" s="144" t="n">
        <f aca="true">IFERROR(IF(V13="No",INDIRECT("'"&amp;$C13&amp;"'!"&amp;W$1),S13*Y13),0)</f>
        <v>0</v>
      </c>
      <c r="X13" s="185"/>
      <c r="Y13" s="186" t="n">
        <f aca="false">IF(X13&gt;0,X13,U13)</f>
        <v>0</v>
      </c>
      <c r="Z13" s="143" t="n">
        <f aca="false">IFERROR(W13/S13,0)</f>
        <v>0</v>
      </c>
      <c r="AA13" s="187"/>
      <c r="AB13" s="188" t="n">
        <f aca="false">IFERROR(ROUND(T13/AA13,-5),0)</f>
        <v>0</v>
      </c>
      <c r="AC13" s="189"/>
      <c r="AD13" s="188" t="n">
        <f aca="false">AB13-(AC13*F13)</f>
        <v>0</v>
      </c>
      <c r="AE13" s="146" t="n">
        <f aca="false">IFERROR(ROUND(W13/AA13,-5)-(AC13*F13),0)</f>
        <v>0</v>
      </c>
      <c r="AF13" s="190" t="n">
        <f aca="false">IFERROR(AE13/F13,0)</f>
        <v>0</v>
      </c>
      <c r="AH13" s="191"/>
      <c r="AI13" s="148" t="n">
        <f aca="false">AC13*F13</f>
        <v>0</v>
      </c>
      <c r="AJ13" s="144" t="n">
        <f aca="false">IFERROR(+W13/$F13,0)</f>
        <v>0</v>
      </c>
      <c r="AK13" s="196"/>
    </row>
    <row r="14" customFormat="false" ht="14.25" hidden="false" customHeight="true" outlineLevel="0" collapsed="false">
      <c r="C14" s="176" t="n">
        <f aca="false">C13+1</f>
        <v>6</v>
      </c>
      <c r="D14" s="7" t="str">
        <f aca="false">IF(INDEX(Tape!$C$7:$C$36,$C14)="","",INDEX(Tape!$C$7:$C$36,$C14))</f>
        <v/>
      </c>
      <c r="E14" s="34" t="n">
        <f aca="false">IFERROR(INDEX(Tape!$O$7:$O$36,MATCH('UW Drivers'!$D14,Tape!$C$7:$C$36,0)),0)</f>
        <v>0</v>
      </c>
      <c r="F14" s="177" t="n">
        <f aca="true">IFERROR(INDIRECT("'" &amp; $C14 &amp; "'!" &amp; F$1),0)</f>
        <v>0</v>
      </c>
      <c r="G14" s="143" t="n">
        <f aca="true">IFERROR(INDIRECT("'" &amp; $C14 &amp; "'!" &amp; G$1),0)</f>
        <v>0</v>
      </c>
      <c r="H14" s="144" t="n">
        <f aca="true">IFERROR(INDIRECT("'" &amp; $C14 &amp; "'!" &amp; H$1),0)</f>
        <v>0</v>
      </c>
      <c r="I14" s="193" t="n">
        <f aca="true">IFERROR(INDIRECT("'" &amp; $C14 &amp; "'!" &amp; I$1),0)</f>
        <v>0</v>
      </c>
      <c r="J14" s="194" t="n">
        <f aca="true">IFERROR(INDIRECT("'" &amp; $C14 &amp; "'!" &amp; J$1),0)</f>
        <v>0</v>
      </c>
      <c r="K14" s="144" t="n">
        <f aca="true">IFERROR(INDIRECT("'" &amp; $C14 &amp; "'!" &amp; K$1),0)</f>
        <v>0</v>
      </c>
      <c r="L14" s="193" t="n">
        <f aca="true">IFERROR(INDIRECT("'" &amp; $C14 &amp; "'!" &amp; L$1),0)</f>
        <v>0</v>
      </c>
      <c r="M14" s="194" t="n">
        <f aca="true">IFERROR(INDIRECT("'" &amp; $C14 &amp; "'!" &amp; M$1),0)</f>
        <v>0</v>
      </c>
      <c r="N14" s="144" t="n">
        <f aca="true">IFERROR(INDIRECT("'" &amp; $C14 &amp; "'!" &amp; N$1),0)</f>
        <v>0</v>
      </c>
      <c r="O14" s="193" t="n">
        <f aca="true">IFERROR(INDIRECT("'" &amp; $C14 &amp; "'!" &amp; O$1),0)</f>
        <v>0</v>
      </c>
      <c r="P14" s="182" t="n">
        <f aca="false">J14</f>
        <v>0</v>
      </c>
      <c r="Q14" s="183" t="n">
        <f aca="false">K14</f>
        <v>0</v>
      </c>
      <c r="R14" s="144" t="n">
        <f aca="false">P14*Q14</f>
        <v>0</v>
      </c>
      <c r="S14" s="144" t="n">
        <f aca="true">IFERROR(INDIRECT("'" &amp; $C14 &amp; "'!" &amp; S$1),0)</f>
        <v>0</v>
      </c>
      <c r="T14" s="144" t="n">
        <f aca="true">IFERROR(INDIRECT("'" &amp; $C14 &amp; "'!" &amp; T$1),0)</f>
        <v>0</v>
      </c>
      <c r="U14" s="143" t="n">
        <f aca="true">IFERROR(INDIRECT("'" &amp; $C14 &amp; "'!" &amp; U$1),0)</f>
        <v>0</v>
      </c>
      <c r="V14" s="184" t="s">
        <v>122</v>
      </c>
      <c r="W14" s="144" t="n">
        <f aca="true">IFERROR(IF(V14="No",INDIRECT("'"&amp;$C14&amp;"'!"&amp;W$1),S14*Y14),0)</f>
        <v>0</v>
      </c>
      <c r="X14" s="185"/>
      <c r="Y14" s="186" t="n">
        <f aca="false">IF(X14&gt;0,X14,U14)</f>
        <v>0</v>
      </c>
      <c r="Z14" s="143" t="n">
        <f aca="false">IFERROR(W14/S14,0)</f>
        <v>0</v>
      </c>
      <c r="AA14" s="187"/>
      <c r="AB14" s="188" t="n">
        <f aca="false">IFERROR(ROUND(T14/AA14,-5),0)</f>
        <v>0</v>
      </c>
      <c r="AC14" s="189"/>
      <c r="AD14" s="188" t="n">
        <f aca="false">AB14-(AC14*F14)</f>
        <v>0</v>
      </c>
      <c r="AE14" s="146" t="n">
        <f aca="false">IFERROR(ROUND(W14/AA14,-5)-(AC14*F14),0)</f>
        <v>0</v>
      </c>
      <c r="AF14" s="190" t="n">
        <f aca="false">IFERROR(AE14/F14,0)</f>
        <v>0</v>
      </c>
      <c r="AH14" s="191"/>
      <c r="AI14" s="148" t="n">
        <f aca="false">AC14*F14</f>
        <v>0</v>
      </c>
      <c r="AJ14" s="144" t="n">
        <f aca="false">IFERROR(+W14/$F14,0)</f>
        <v>0</v>
      </c>
    </row>
    <row r="15" customFormat="false" ht="14.25" hidden="false" customHeight="false" outlineLevel="0" collapsed="false">
      <c r="C15" s="176" t="n">
        <f aca="false">C14+1</f>
        <v>7</v>
      </c>
      <c r="D15" s="7" t="str">
        <f aca="false">IF(INDEX(Tape!$C$7:$C$36,$C15)="","",INDEX(Tape!$C$7:$C$36,$C15))</f>
        <v/>
      </c>
      <c r="E15" s="34" t="n">
        <f aca="false">IFERROR(INDEX(Tape!$O$7:$O$36,MATCH('UW Drivers'!$D15,Tape!$C$7:$C$36,0)),0)</f>
        <v>0</v>
      </c>
      <c r="F15" s="177" t="n">
        <f aca="true">IFERROR(INDIRECT("'" &amp; $C15 &amp; "'!" &amp; F$1),0)</f>
        <v>0</v>
      </c>
      <c r="G15" s="143" t="n">
        <f aca="true">IFERROR(INDIRECT("'" &amp; $C15 &amp; "'!" &amp; G$1),0)</f>
        <v>0</v>
      </c>
      <c r="H15" s="144" t="n">
        <f aca="true">IFERROR(INDIRECT("'" &amp; $C15 &amp; "'!" &amp; H$1),0)</f>
        <v>0</v>
      </c>
      <c r="I15" s="193" t="n">
        <f aca="true">IFERROR(INDIRECT("'" &amp; $C15 &amp; "'!" &amp; I$1),0)</f>
        <v>0</v>
      </c>
      <c r="J15" s="194" t="n">
        <f aca="true">IFERROR(INDIRECT("'" &amp; $C15 &amp; "'!" &amp; J$1),0)</f>
        <v>0</v>
      </c>
      <c r="K15" s="144" t="n">
        <f aca="true">IFERROR(INDIRECT("'" &amp; $C15 &amp; "'!" &amp; K$1),0)</f>
        <v>0</v>
      </c>
      <c r="L15" s="193" t="n">
        <f aca="true">IFERROR(INDIRECT("'" &amp; $C15 &amp; "'!" &amp; L$1),0)</f>
        <v>0</v>
      </c>
      <c r="M15" s="194" t="n">
        <f aca="true">IFERROR(INDIRECT("'" &amp; $C15 &amp; "'!" &amp; M$1),0)</f>
        <v>0</v>
      </c>
      <c r="N15" s="144" t="n">
        <f aca="true">IFERROR(INDIRECT("'" &amp; $C15 &amp; "'!" &amp; N$1),0)</f>
        <v>0</v>
      </c>
      <c r="O15" s="193" t="n">
        <f aca="true">IFERROR(INDIRECT("'" &amp; $C15 &amp; "'!" &amp; O$1),0)</f>
        <v>0</v>
      </c>
      <c r="P15" s="182" t="n">
        <f aca="false">J15</f>
        <v>0</v>
      </c>
      <c r="Q15" s="183" t="n">
        <f aca="false">K15</f>
        <v>0</v>
      </c>
      <c r="R15" s="144" t="n">
        <f aca="false">P15*Q15</f>
        <v>0</v>
      </c>
      <c r="S15" s="144" t="n">
        <f aca="true">IFERROR(INDIRECT("'" &amp; $C15 &amp; "'!" &amp; S$1),0)</f>
        <v>0</v>
      </c>
      <c r="T15" s="144" t="n">
        <f aca="true">IFERROR(INDIRECT("'" &amp; $C15 &amp; "'!" &amp; T$1),0)</f>
        <v>0</v>
      </c>
      <c r="U15" s="143" t="n">
        <f aca="true">IFERROR(INDIRECT("'" &amp; $C15 &amp; "'!" &amp; U$1),0)</f>
        <v>0</v>
      </c>
      <c r="V15" s="184" t="s">
        <v>122</v>
      </c>
      <c r="W15" s="144" t="n">
        <f aca="true">IFERROR(IF(V15="No",INDIRECT("'"&amp;$C15&amp;"'!"&amp;W$1),S15*Y15),0)</f>
        <v>0</v>
      </c>
      <c r="X15" s="185"/>
      <c r="Y15" s="186" t="n">
        <f aca="false">IF(X15&gt;0,X15,U15)</f>
        <v>0</v>
      </c>
      <c r="Z15" s="143" t="n">
        <f aca="false">IFERROR(W15/S15,0)</f>
        <v>0</v>
      </c>
      <c r="AA15" s="187"/>
      <c r="AB15" s="188" t="n">
        <f aca="false">IFERROR(ROUND(T15/AA15,-5),0)</f>
        <v>0</v>
      </c>
      <c r="AC15" s="189"/>
      <c r="AD15" s="188" t="n">
        <f aca="false">AB15-(AC15*F15)</f>
        <v>0</v>
      </c>
      <c r="AE15" s="146" t="n">
        <f aca="false">IFERROR(ROUND(W15/AA15,-5)-(AC15*F15),0)</f>
        <v>0</v>
      </c>
      <c r="AF15" s="190" t="n">
        <f aca="false">IFERROR(AE15/F15,0)</f>
        <v>0</v>
      </c>
      <c r="AH15" s="195"/>
      <c r="AI15" s="148" t="n">
        <f aca="false">AC15*F15</f>
        <v>0</v>
      </c>
      <c r="AJ15" s="144" t="n">
        <f aca="false">IFERROR(+W15/$F15,0)</f>
        <v>0</v>
      </c>
    </row>
    <row r="16" customFormat="false" ht="14.25" hidden="false" customHeight="false" outlineLevel="0" collapsed="false">
      <c r="C16" s="176" t="n">
        <f aca="false">C15+1</f>
        <v>8</v>
      </c>
      <c r="D16" s="7" t="str">
        <f aca="false">IF(INDEX(Tape!$C$7:$C$36,$C16)="","",INDEX(Tape!$C$7:$C$36,$C16))</f>
        <v/>
      </c>
      <c r="E16" s="34" t="n">
        <f aca="false">IFERROR(INDEX(Tape!$O$7:$O$36,MATCH('UW Drivers'!$D16,Tape!$C$7:$C$36,0)),0)</f>
        <v>0</v>
      </c>
      <c r="F16" s="177" t="n">
        <f aca="true">IFERROR(INDIRECT("'" &amp; $C16 &amp; "'!" &amp; F$1),0)</f>
        <v>0</v>
      </c>
      <c r="G16" s="143" t="n">
        <f aca="true">IFERROR(INDIRECT("'" &amp; $C16 &amp; "'!" &amp; G$1),0)</f>
        <v>0</v>
      </c>
      <c r="H16" s="144" t="n">
        <f aca="true">IFERROR(INDIRECT("'" &amp; $C16 &amp; "'!" &amp; H$1),0)</f>
        <v>0</v>
      </c>
      <c r="I16" s="193" t="n">
        <f aca="true">IFERROR(INDIRECT("'" &amp; $C16 &amp; "'!" &amp; I$1),0)</f>
        <v>0</v>
      </c>
      <c r="J16" s="194" t="n">
        <f aca="true">IFERROR(INDIRECT("'" &amp; $C16 &amp; "'!" &amp; J$1),0)</f>
        <v>0</v>
      </c>
      <c r="K16" s="144" t="n">
        <f aca="true">IFERROR(INDIRECT("'" &amp; $C16 &amp; "'!" &amp; K$1),0)</f>
        <v>0</v>
      </c>
      <c r="L16" s="193" t="n">
        <f aca="true">IFERROR(INDIRECT("'" &amp; $C16 &amp; "'!" &amp; L$1),0)</f>
        <v>0</v>
      </c>
      <c r="M16" s="194" t="n">
        <f aca="true">IFERROR(INDIRECT("'" &amp; $C16 &amp; "'!" &amp; M$1),0)</f>
        <v>0</v>
      </c>
      <c r="N16" s="144" t="n">
        <f aca="true">IFERROR(INDIRECT("'" &amp; $C16 &amp; "'!" &amp; N$1),0)</f>
        <v>0</v>
      </c>
      <c r="O16" s="193" t="n">
        <f aca="true">IFERROR(INDIRECT("'" &amp; $C16 &amp; "'!" &amp; O$1),0)</f>
        <v>0</v>
      </c>
      <c r="P16" s="182" t="n">
        <f aca="false">J16</f>
        <v>0</v>
      </c>
      <c r="Q16" s="183" t="n">
        <f aca="false">K16</f>
        <v>0</v>
      </c>
      <c r="R16" s="144" t="n">
        <f aca="false">P16*Q16</f>
        <v>0</v>
      </c>
      <c r="S16" s="144" t="n">
        <f aca="true">IFERROR(INDIRECT("'" &amp; $C16 &amp; "'!" &amp; S$1),0)</f>
        <v>0</v>
      </c>
      <c r="T16" s="144" t="n">
        <f aca="true">IFERROR(INDIRECT("'" &amp; $C16 &amp; "'!" &amp; T$1),0)</f>
        <v>0</v>
      </c>
      <c r="U16" s="143" t="n">
        <f aca="true">IFERROR(INDIRECT("'" &amp; $C16 &amp; "'!" &amp; U$1),0)</f>
        <v>0</v>
      </c>
      <c r="V16" s="184" t="s">
        <v>122</v>
      </c>
      <c r="W16" s="144" t="n">
        <f aca="true">IFERROR(IF(V16="No",INDIRECT("'"&amp;$C16&amp;"'!"&amp;W$1),S16*Y16),0)</f>
        <v>0</v>
      </c>
      <c r="X16" s="185"/>
      <c r="Y16" s="186" t="n">
        <f aca="false">IF(X16&gt;0,X16,U16)</f>
        <v>0</v>
      </c>
      <c r="Z16" s="143" t="n">
        <f aca="false">IFERROR(W16/S16,0)</f>
        <v>0</v>
      </c>
      <c r="AA16" s="187"/>
      <c r="AB16" s="188" t="n">
        <f aca="false">IFERROR(ROUND(T16/AA16,-5),0)</f>
        <v>0</v>
      </c>
      <c r="AC16" s="189"/>
      <c r="AD16" s="188" t="n">
        <f aca="false">AB16-(AC16*F16)</f>
        <v>0</v>
      </c>
      <c r="AE16" s="146" t="n">
        <f aca="false">IFERROR(ROUND(W16/AA16,-5)-(AC16*F16),0)</f>
        <v>0</v>
      </c>
      <c r="AF16" s="190" t="n">
        <f aca="false">IFERROR(AE16/F16,0)</f>
        <v>0</v>
      </c>
      <c r="AH16" s="191"/>
      <c r="AI16" s="148" t="n">
        <f aca="false">AC16*F16</f>
        <v>0</v>
      </c>
      <c r="AJ16" s="144" t="n">
        <f aca="false">IFERROR(+W16/$F16,0)</f>
        <v>0</v>
      </c>
    </row>
    <row r="17" customFormat="false" ht="14.25" hidden="false" customHeight="false" outlineLevel="0" collapsed="false">
      <c r="C17" s="176" t="n">
        <f aca="false">C16+1</f>
        <v>9</v>
      </c>
      <c r="D17" s="7" t="str">
        <f aca="false">IF(INDEX(Tape!$C$7:$C$36,$C17)="","",INDEX(Tape!$C$7:$C$36,$C17))</f>
        <v/>
      </c>
      <c r="E17" s="34" t="n">
        <f aca="false">IFERROR(INDEX(Tape!$O$7:$O$36,MATCH('UW Drivers'!$D17,Tape!$C$7:$C$36,0)),0)</f>
        <v>0</v>
      </c>
      <c r="F17" s="177" t="n">
        <f aca="true">IFERROR(INDIRECT("'" &amp; $C17 &amp; "'!" &amp; F$1),0)</f>
        <v>0</v>
      </c>
      <c r="G17" s="143" t="n">
        <f aca="true">IFERROR(INDIRECT("'" &amp; $C17 &amp; "'!" &amp; G$1),0)</f>
        <v>0</v>
      </c>
      <c r="H17" s="144" t="n">
        <f aca="true">IFERROR(INDIRECT("'" &amp; $C17 &amp; "'!" &amp; H$1),0)</f>
        <v>0</v>
      </c>
      <c r="I17" s="193" t="n">
        <f aca="true">IFERROR(INDIRECT("'" &amp; $C17 &amp; "'!" &amp; I$1),0)</f>
        <v>0</v>
      </c>
      <c r="J17" s="194" t="n">
        <f aca="true">IFERROR(INDIRECT("'" &amp; $C17 &amp; "'!" &amp; J$1),0)</f>
        <v>0</v>
      </c>
      <c r="K17" s="144" t="n">
        <f aca="true">IFERROR(INDIRECT("'" &amp; $C17 &amp; "'!" &amp; K$1),0)</f>
        <v>0</v>
      </c>
      <c r="L17" s="193" t="n">
        <f aca="true">IFERROR(INDIRECT("'" &amp; $C17 &amp; "'!" &amp; L$1),0)</f>
        <v>0</v>
      </c>
      <c r="M17" s="194" t="n">
        <f aca="true">IFERROR(INDIRECT("'" &amp; $C17 &amp; "'!" &amp; M$1),0)</f>
        <v>0</v>
      </c>
      <c r="N17" s="144" t="n">
        <f aca="true">IFERROR(INDIRECT("'" &amp; $C17 &amp; "'!" &amp; N$1),0)</f>
        <v>0</v>
      </c>
      <c r="O17" s="193" t="n">
        <f aca="true">IFERROR(INDIRECT("'" &amp; $C17 &amp; "'!" &amp; O$1),0)</f>
        <v>0</v>
      </c>
      <c r="P17" s="182" t="n">
        <f aca="false">J17</f>
        <v>0</v>
      </c>
      <c r="Q17" s="183" t="n">
        <f aca="false">K17</f>
        <v>0</v>
      </c>
      <c r="R17" s="144" t="n">
        <f aca="false">P17*Q17</f>
        <v>0</v>
      </c>
      <c r="S17" s="144" t="n">
        <f aca="true">IFERROR(INDIRECT("'" &amp; $C17 &amp; "'!" &amp; S$1),0)</f>
        <v>0</v>
      </c>
      <c r="T17" s="144" t="n">
        <f aca="true">IFERROR(INDIRECT("'" &amp; $C17 &amp; "'!" &amp; T$1),0)</f>
        <v>0</v>
      </c>
      <c r="U17" s="143" t="n">
        <f aca="true">IFERROR(INDIRECT("'" &amp; $C17 &amp; "'!" &amp; U$1),0)</f>
        <v>0</v>
      </c>
      <c r="V17" s="184" t="s">
        <v>122</v>
      </c>
      <c r="W17" s="144" t="n">
        <f aca="true">IFERROR(IF(V17="No",INDIRECT("'"&amp;$C17&amp;"'!"&amp;W$1),S17*Y17),0)</f>
        <v>0</v>
      </c>
      <c r="X17" s="185"/>
      <c r="Y17" s="186" t="n">
        <f aca="false">IF(X17&gt;0,X17,U17)</f>
        <v>0</v>
      </c>
      <c r="Z17" s="143" t="n">
        <f aca="false">IFERROR(W17/S17,0)</f>
        <v>0</v>
      </c>
      <c r="AA17" s="187"/>
      <c r="AB17" s="188" t="n">
        <f aca="false">IFERROR(ROUND(T17/AA17,-5),0)</f>
        <v>0</v>
      </c>
      <c r="AC17" s="189"/>
      <c r="AD17" s="188" t="n">
        <f aca="false">AB17-(AC17*F17)</f>
        <v>0</v>
      </c>
      <c r="AE17" s="146" t="n">
        <f aca="false">IFERROR(ROUND(W17/AA17,-5)-(AC17*F17),0)</f>
        <v>0</v>
      </c>
      <c r="AF17" s="190" t="n">
        <f aca="false">IFERROR(AE17/F17,0)</f>
        <v>0</v>
      </c>
      <c r="AH17" s="195"/>
      <c r="AI17" s="148" t="n">
        <f aca="false">AC17*F17</f>
        <v>0</v>
      </c>
      <c r="AJ17" s="144" t="n">
        <f aca="false">IFERROR(+W17/$F17,0)</f>
        <v>0</v>
      </c>
    </row>
    <row r="18" customFormat="false" ht="14.25" hidden="false" customHeight="false" outlineLevel="0" collapsed="false">
      <c r="C18" s="176" t="n">
        <f aca="false">C17+1</f>
        <v>10</v>
      </c>
      <c r="D18" s="7" t="str">
        <f aca="false">IF(INDEX(Tape!$C$7:$C$36,$C18)="","",INDEX(Tape!$C$7:$C$36,$C18))</f>
        <v/>
      </c>
      <c r="E18" s="34" t="n">
        <f aca="false">IFERROR(INDEX(Tape!$O$7:$O$36,MATCH('UW Drivers'!$D18,Tape!$C$7:$C$36,0)),0)</f>
        <v>0</v>
      </c>
      <c r="F18" s="177" t="n">
        <f aca="true">IFERROR(INDIRECT("'" &amp; $C18 &amp; "'!" &amp; F$1),0)</f>
        <v>0</v>
      </c>
      <c r="G18" s="143" t="n">
        <f aca="true">IFERROR(INDIRECT("'" &amp; $C18 &amp; "'!" &amp; G$1),0)</f>
        <v>0</v>
      </c>
      <c r="H18" s="144" t="n">
        <f aca="true">IFERROR(INDIRECT("'" &amp; $C18 &amp; "'!" &amp; H$1),0)</f>
        <v>0</v>
      </c>
      <c r="I18" s="193" t="n">
        <f aca="true">IFERROR(INDIRECT("'" &amp; $C18 &amp; "'!" &amp; I$1),0)</f>
        <v>0</v>
      </c>
      <c r="J18" s="194" t="n">
        <f aca="true">IFERROR(INDIRECT("'" &amp; $C18 &amp; "'!" &amp; J$1),0)</f>
        <v>0</v>
      </c>
      <c r="K18" s="144" t="n">
        <f aca="true">IFERROR(INDIRECT("'" &amp; $C18 &amp; "'!" &amp; K$1),0)</f>
        <v>0</v>
      </c>
      <c r="L18" s="193" t="n">
        <f aca="true">IFERROR(INDIRECT("'" &amp; $C18 &amp; "'!" &amp; L$1),0)</f>
        <v>0</v>
      </c>
      <c r="M18" s="194" t="n">
        <f aca="true">IFERROR(INDIRECT("'" &amp; $C18 &amp; "'!" &amp; M$1),0)</f>
        <v>0</v>
      </c>
      <c r="N18" s="144" t="n">
        <f aca="true">IFERROR(INDIRECT("'" &amp; $C18 &amp; "'!" &amp; N$1),0)</f>
        <v>0</v>
      </c>
      <c r="O18" s="193" t="n">
        <f aca="true">IFERROR(INDIRECT("'" &amp; $C18 &amp; "'!" &amp; O$1),0)</f>
        <v>0</v>
      </c>
      <c r="P18" s="182" t="n">
        <f aca="false">J18</f>
        <v>0</v>
      </c>
      <c r="Q18" s="183" t="n">
        <f aca="false">K18</f>
        <v>0</v>
      </c>
      <c r="R18" s="144" t="n">
        <f aca="false">P18*Q18</f>
        <v>0</v>
      </c>
      <c r="S18" s="144" t="n">
        <f aca="true">IFERROR(INDIRECT("'" &amp; $C18 &amp; "'!" &amp; S$1),0)</f>
        <v>0</v>
      </c>
      <c r="T18" s="144" t="n">
        <f aca="true">IFERROR(INDIRECT("'" &amp; $C18 &amp; "'!" &amp; T$1),0)</f>
        <v>0</v>
      </c>
      <c r="U18" s="143" t="n">
        <f aca="true">IFERROR(INDIRECT("'" &amp; $C18 &amp; "'!" &amp; U$1),0)</f>
        <v>0</v>
      </c>
      <c r="V18" s="184" t="s">
        <v>122</v>
      </c>
      <c r="W18" s="144" t="n">
        <f aca="true">IFERROR(IF(V18="No",INDIRECT("'"&amp;$C18&amp;"'!"&amp;W$1),S18*Y18),0)</f>
        <v>0</v>
      </c>
      <c r="X18" s="185"/>
      <c r="Y18" s="186" t="n">
        <f aca="false">IF(X18&gt;0,X18,U18)</f>
        <v>0</v>
      </c>
      <c r="Z18" s="143" t="n">
        <f aca="false">IFERROR(W18/S18,0)</f>
        <v>0</v>
      </c>
      <c r="AA18" s="187"/>
      <c r="AB18" s="188" t="n">
        <f aca="false">IFERROR(ROUND(T18/AA18,-5),0)</f>
        <v>0</v>
      </c>
      <c r="AC18" s="197"/>
      <c r="AD18" s="188" t="n">
        <f aca="false">AB18-(AC18*F18)</f>
        <v>0</v>
      </c>
      <c r="AE18" s="146" t="n">
        <f aca="false">IFERROR(ROUND(W18/AA18,-5)-(AC18*F18),0)</f>
        <v>0</v>
      </c>
      <c r="AF18" s="190" t="n">
        <f aca="false">IFERROR(AE18/F18,0)</f>
        <v>0</v>
      </c>
      <c r="AH18" s="195"/>
      <c r="AI18" s="148" t="n">
        <f aca="false">AC18*F18</f>
        <v>0</v>
      </c>
      <c r="AJ18" s="144" t="n">
        <f aca="false">IFERROR(+W18/$F18,0)</f>
        <v>0</v>
      </c>
    </row>
    <row r="19" customFormat="false" ht="14.25" hidden="false" customHeight="true" outlineLevel="0" collapsed="false">
      <c r="C19" s="176" t="n">
        <f aca="false">C18+1</f>
        <v>11</v>
      </c>
      <c r="D19" s="7" t="str">
        <f aca="false">IF(INDEX(Tape!$C$7:$C$36,$C19)="","",INDEX(Tape!$C$7:$C$36,$C19))</f>
        <v/>
      </c>
      <c r="E19" s="34" t="n">
        <f aca="false">IFERROR(INDEX(Tape!$O$7:$O$36,MATCH('UW Drivers'!$D19,Tape!$C$7:$C$36,0)),0)</f>
        <v>0</v>
      </c>
      <c r="F19" s="177" t="n">
        <f aca="true">IFERROR(INDIRECT("'" &amp; $C19 &amp; "'!" &amp; F$1),0)</f>
        <v>0</v>
      </c>
      <c r="G19" s="143" t="n">
        <f aca="true">IFERROR(INDIRECT("'" &amp; $C19 &amp; "'!" &amp; G$1),0)</f>
        <v>0</v>
      </c>
      <c r="H19" s="144" t="n">
        <f aca="true">IFERROR(INDIRECT("'" &amp; $C19 &amp; "'!" &amp; H$1),0)</f>
        <v>0</v>
      </c>
      <c r="I19" s="193" t="n">
        <f aca="true">IFERROR(INDIRECT("'" &amp; $C19 &amp; "'!" &amp; I$1),0)</f>
        <v>0</v>
      </c>
      <c r="J19" s="194" t="n">
        <f aca="true">IFERROR(INDIRECT("'" &amp; $C19 &amp; "'!" &amp; J$1),0)</f>
        <v>0</v>
      </c>
      <c r="K19" s="144" t="n">
        <f aca="true">IFERROR(INDIRECT("'" &amp; $C19 &amp; "'!" &amp; K$1),0)</f>
        <v>0</v>
      </c>
      <c r="L19" s="193" t="n">
        <f aca="true">IFERROR(INDIRECT("'" &amp; $C19 &amp; "'!" &amp; L$1),0)</f>
        <v>0</v>
      </c>
      <c r="M19" s="194" t="n">
        <f aca="true">IFERROR(INDIRECT("'" &amp; $C19 &amp; "'!" &amp; M$1),0)</f>
        <v>0</v>
      </c>
      <c r="N19" s="144" t="n">
        <f aca="true">IFERROR(INDIRECT("'" &amp; $C19 &amp; "'!" &amp; N$1),0)</f>
        <v>0</v>
      </c>
      <c r="O19" s="193" t="n">
        <f aca="true">IFERROR(INDIRECT("'" &amp; $C19 &amp; "'!" &amp; O$1),0)</f>
        <v>0</v>
      </c>
      <c r="P19" s="182" t="n">
        <f aca="false">J19</f>
        <v>0</v>
      </c>
      <c r="Q19" s="183" t="n">
        <f aca="false">K19</f>
        <v>0</v>
      </c>
      <c r="R19" s="144" t="n">
        <f aca="false">P19*Q19</f>
        <v>0</v>
      </c>
      <c r="S19" s="144" t="n">
        <f aca="true">IFERROR(INDIRECT("'" &amp; $C19 &amp; "'!" &amp; S$1),0)</f>
        <v>0</v>
      </c>
      <c r="T19" s="144" t="n">
        <f aca="true">IFERROR(INDIRECT("'" &amp; $C19 &amp; "'!" &amp; T$1),0)</f>
        <v>0</v>
      </c>
      <c r="U19" s="143" t="n">
        <f aca="true">IFERROR(INDIRECT("'" &amp; $C19 &amp; "'!" &amp; U$1),0)</f>
        <v>0</v>
      </c>
      <c r="V19" s="184" t="s">
        <v>122</v>
      </c>
      <c r="W19" s="144" t="n">
        <f aca="true">IFERROR(IF(V19="No",INDIRECT("'"&amp;$C19&amp;"'!"&amp;W$1),S19*Y19),0)</f>
        <v>0</v>
      </c>
      <c r="X19" s="185"/>
      <c r="Y19" s="186" t="n">
        <f aca="false">IF(X19&gt;0,X19,U19)</f>
        <v>0</v>
      </c>
      <c r="Z19" s="143" t="n">
        <f aca="false">IFERROR(W19/S19,0)</f>
        <v>0</v>
      </c>
      <c r="AA19" s="187"/>
      <c r="AB19" s="188" t="n">
        <f aca="false">IFERROR(ROUND(T19/AA19,-5),0)</f>
        <v>0</v>
      </c>
      <c r="AC19" s="189"/>
      <c r="AD19" s="188" t="n">
        <f aca="false">AB19-(AC19*F19)</f>
        <v>0</v>
      </c>
      <c r="AE19" s="146" t="n">
        <f aca="false">IFERROR(ROUND(W19/AA19,-5)-(AC19*F19),0)</f>
        <v>0</v>
      </c>
      <c r="AF19" s="190" t="n">
        <f aca="false">IFERROR(AE19/F19,0)</f>
        <v>0</v>
      </c>
      <c r="AH19" s="191"/>
      <c r="AI19" s="148" t="n">
        <f aca="false">AC19*F19</f>
        <v>0</v>
      </c>
      <c r="AJ19" s="144" t="n">
        <f aca="false">IFERROR(+W19/$F19,0)</f>
        <v>0</v>
      </c>
    </row>
    <row r="20" customFormat="false" ht="14.25" hidden="false" customHeight="true" outlineLevel="0" collapsed="false">
      <c r="C20" s="176" t="n">
        <f aca="false">C19+1</f>
        <v>12</v>
      </c>
      <c r="D20" s="7" t="str">
        <f aca="false">IF(INDEX(Tape!$C$7:$C$36,$C20)="","",INDEX(Tape!$C$7:$C$36,$C20))</f>
        <v/>
      </c>
      <c r="E20" s="34" t="n">
        <f aca="false">IFERROR(INDEX(Tape!$O$7:$O$36,MATCH('UW Drivers'!$D20,Tape!$C$7:$C$36,0)),0)</f>
        <v>0</v>
      </c>
      <c r="F20" s="177" t="n">
        <f aca="true">IFERROR(INDIRECT("'" &amp; $C20 &amp; "'!" &amp; F$1),0)</f>
        <v>0</v>
      </c>
      <c r="G20" s="143" t="n">
        <f aca="true">IFERROR(INDIRECT("'" &amp; $C20 &amp; "'!" &amp; G$1),0)</f>
        <v>0</v>
      </c>
      <c r="H20" s="144" t="n">
        <f aca="true">IFERROR(INDIRECT("'" &amp; $C20 &amp; "'!" &amp; H$1),0)</f>
        <v>0</v>
      </c>
      <c r="I20" s="193" t="n">
        <f aca="true">IFERROR(INDIRECT("'" &amp; $C20 &amp; "'!" &amp; I$1),0)</f>
        <v>0</v>
      </c>
      <c r="J20" s="194" t="n">
        <f aca="true">IFERROR(INDIRECT("'" &amp; $C20 &amp; "'!" &amp; J$1),0)</f>
        <v>0</v>
      </c>
      <c r="K20" s="144" t="n">
        <f aca="true">IFERROR(INDIRECT("'" &amp; $C20 &amp; "'!" &amp; K$1),0)</f>
        <v>0</v>
      </c>
      <c r="L20" s="193" t="n">
        <f aca="true">IFERROR(INDIRECT("'" &amp; $C20 &amp; "'!" &amp; L$1),0)</f>
        <v>0</v>
      </c>
      <c r="M20" s="194" t="n">
        <f aca="true">IFERROR(INDIRECT("'" &amp; $C20 &amp; "'!" &amp; M$1),0)</f>
        <v>0</v>
      </c>
      <c r="N20" s="144" t="n">
        <f aca="true">IFERROR(INDIRECT("'" &amp; $C20 &amp; "'!" &amp; N$1),0)</f>
        <v>0</v>
      </c>
      <c r="O20" s="193" t="n">
        <f aca="true">IFERROR(INDIRECT("'" &amp; $C20 &amp; "'!" &amp; O$1),0)</f>
        <v>0</v>
      </c>
      <c r="P20" s="182" t="n">
        <f aca="false">J20</f>
        <v>0</v>
      </c>
      <c r="Q20" s="183" t="n">
        <f aca="false">K20</f>
        <v>0</v>
      </c>
      <c r="R20" s="144" t="n">
        <f aca="false">P20*Q20</f>
        <v>0</v>
      </c>
      <c r="S20" s="144" t="n">
        <f aca="true">IFERROR(INDIRECT("'" &amp; $C20 &amp; "'!" &amp; S$1),0)</f>
        <v>0</v>
      </c>
      <c r="T20" s="144" t="n">
        <f aca="true">IFERROR(INDIRECT("'" &amp; $C20 &amp; "'!" &amp; T$1),0)</f>
        <v>0</v>
      </c>
      <c r="U20" s="143" t="n">
        <f aca="true">IFERROR(INDIRECT("'" &amp; $C20 &amp; "'!" &amp; U$1),0)</f>
        <v>0</v>
      </c>
      <c r="V20" s="184" t="s">
        <v>122</v>
      </c>
      <c r="W20" s="144" t="n">
        <f aca="true">IFERROR(IF(V20="No",INDIRECT("'"&amp;$C20&amp;"'!"&amp;W$1),S20*Y20),0)</f>
        <v>0</v>
      </c>
      <c r="X20" s="185"/>
      <c r="Y20" s="186" t="n">
        <f aca="false">IF(X20&gt;0,X20,U20)</f>
        <v>0</v>
      </c>
      <c r="Z20" s="143" t="n">
        <f aca="false">IFERROR(W20/S20,0)</f>
        <v>0</v>
      </c>
      <c r="AA20" s="187"/>
      <c r="AB20" s="188" t="n">
        <f aca="false">IFERROR(ROUND(T20/AA20,-5),0)</f>
        <v>0</v>
      </c>
      <c r="AC20" s="198"/>
      <c r="AD20" s="188" t="n">
        <f aca="false">AB20-(AC20*F20)</f>
        <v>0</v>
      </c>
      <c r="AE20" s="146" t="n">
        <f aca="false">IFERROR(ROUND(W20/AA20,-5)-(AC20*F20),0)</f>
        <v>0</v>
      </c>
      <c r="AF20" s="190" t="n">
        <f aca="false">IFERROR(AE20/F20,0)</f>
        <v>0</v>
      </c>
      <c r="AH20" s="195"/>
      <c r="AI20" s="148" t="n">
        <f aca="false">AC20*F20</f>
        <v>0</v>
      </c>
      <c r="AJ20" s="144" t="n">
        <f aca="false">IFERROR(+W20/$F20,0)</f>
        <v>0</v>
      </c>
    </row>
    <row r="21" customFormat="false" ht="14.25" hidden="false" customHeight="false" outlineLevel="0" collapsed="false">
      <c r="C21" s="176" t="n">
        <f aca="false">C20+1</f>
        <v>13</v>
      </c>
      <c r="D21" s="7" t="str">
        <f aca="false">IF(INDEX(Tape!$C$7:$C$36,$C21)="","",INDEX(Tape!$C$7:$C$36,$C21))</f>
        <v/>
      </c>
      <c r="E21" s="34" t="n">
        <f aca="false">IFERROR(INDEX(Tape!$O$7:$O$36,MATCH('UW Drivers'!$D21,Tape!$C$7:$C$36,0)),0)</f>
        <v>0</v>
      </c>
      <c r="F21" s="177" t="n">
        <f aca="true">IFERROR(INDIRECT("'" &amp; $C21 &amp; "'!" &amp; F$1),0)</f>
        <v>0</v>
      </c>
      <c r="G21" s="143" t="n">
        <f aca="true">IFERROR(INDIRECT("'" &amp; $C21 &amp; "'!" &amp; G$1),0)</f>
        <v>0</v>
      </c>
      <c r="H21" s="144" t="n">
        <f aca="true">IFERROR(INDIRECT("'" &amp; $C21 &amp; "'!" &amp; H$1),0)</f>
        <v>0</v>
      </c>
      <c r="I21" s="193" t="n">
        <f aca="true">IFERROR(INDIRECT("'" &amp; $C21 &amp; "'!" &amp; I$1),0)</f>
        <v>0</v>
      </c>
      <c r="J21" s="194" t="n">
        <f aca="true">IFERROR(INDIRECT("'" &amp; $C21 &amp; "'!" &amp; J$1),0)</f>
        <v>0</v>
      </c>
      <c r="K21" s="144" t="n">
        <f aca="true">IFERROR(INDIRECT("'" &amp; $C21 &amp; "'!" &amp; K$1),0)</f>
        <v>0</v>
      </c>
      <c r="L21" s="193" t="n">
        <f aca="true">IFERROR(INDIRECT("'" &amp; $C21 &amp; "'!" &amp; L$1),0)</f>
        <v>0</v>
      </c>
      <c r="M21" s="194" t="n">
        <f aca="true">IFERROR(INDIRECT("'" &amp; $C21 &amp; "'!" &amp; M$1),0)</f>
        <v>0</v>
      </c>
      <c r="N21" s="144" t="n">
        <f aca="true">IFERROR(INDIRECT("'" &amp; $C21 &amp; "'!" &amp; N$1),0)</f>
        <v>0</v>
      </c>
      <c r="O21" s="193" t="n">
        <f aca="true">IFERROR(INDIRECT("'" &amp; $C21 &amp; "'!" &amp; O$1),0)</f>
        <v>0</v>
      </c>
      <c r="P21" s="182" t="n">
        <f aca="false">J21</f>
        <v>0</v>
      </c>
      <c r="Q21" s="183" t="n">
        <f aca="false">K21</f>
        <v>0</v>
      </c>
      <c r="R21" s="144" t="n">
        <f aca="false">P21*Q21</f>
        <v>0</v>
      </c>
      <c r="S21" s="144" t="n">
        <f aca="true">IFERROR(INDIRECT("'" &amp; $C21 &amp; "'!" &amp; S$1),0)</f>
        <v>0</v>
      </c>
      <c r="T21" s="144" t="n">
        <f aca="true">IFERROR(INDIRECT("'" &amp; $C21 &amp; "'!" &amp; T$1),0)</f>
        <v>0</v>
      </c>
      <c r="U21" s="143" t="n">
        <f aca="true">IFERROR(INDIRECT("'" &amp; $C21 &amp; "'!" &amp; U$1),0)</f>
        <v>0</v>
      </c>
      <c r="V21" s="184" t="s">
        <v>122</v>
      </c>
      <c r="W21" s="144" t="n">
        <f aca="true">IFERROR(IF(V21="No",INDIRECT("'"&amp;$C21&amp;"'!"&amp;W$1),S21*Y21),0)</f>
        <v>0</v>
      </c>
      <c r="X21" s="185"/>
      <c r="Y21" s="186" t="n">
        <f aca="false">IF(X21&gt;0,X21,U21)</f>
        <v>0</v>
      </c>
      <c r="Z21" s="143" t="n">
        <f aca="false">IFERROR(W21/S21,0)</f>
        <v>0</v>
      </c>
      <c r="AA21" s="187"/>
      <c r="AB21" s="188" t="n">
        <f aca="false">IFERROR(ROUND(T21/AA21,-5),0)</f>
        <v>0</v>
      </c>
      <c r="AC21" s="198"/>
      <c r="AD21" s="188" t="n">
        <f aca="false">AB21-(AC21*F21)</f>
        <v>0</v>
      </c>
      <c r="AE21" s="146" t="n">
        <f aca="false">IFERROR(ROUND(W21/AA21,-5)-(AC21*F21),0)</f>
        <v>0</v>
      </c>
      <c r="AF21" s="190" t="n">
        <f aca="false">IFERROR(AE21/F21,0)</f>
        <v>0</v>
      </c>
      <c r="AH21" s="191"/>
      <c r="AI21" s="148" t="n">
        <f aca="false">AC21*F21</f>
        <v>0</v>
      </c>
      <c r="AJ21" s="144" t="n">
        <f aca="false">IFERROR(+W21/$F21,0)</f>
        <v>0</v>
      </c>
    </row>
    <row r="22" customFormat="false" ht="14.25" hidden="false" customHeight="false" outlineLevel="0" collapsed="false">
      <c r="C22" s="176" t="n">
        <f aca="false">C21+1</f>
        <v>14</v>
      </c>
      <c r="D22" s="7" t="str">
        <f aca="false">IF(INDEX(Tape!$C$7:$C$36,$C22)="","",INDEX(Tape!$C$7:$C$36,$C22))</f>
        <v/>
      </c>
      <c r="E22" s="34" t="n">
        <f aca="false">IFERROR(INDEX(Tape!$O$7:$O$36,MATCH('UW Drivers'!$D22,Tape!$C$7:$C$36,0)),0)</f>
        <v>0</v>
      </c>
      <c r="F22" s="177" t="n">
        <f aca="true">IFERROR(INDIRECT("'" &amp; $C22 &amp; "'!" &amp; F$1),0)</f>
        <v>0</v>
      </c>
      <c r="G22" s="143" t="n">
        <f aca="true">IFERROR(INDIRECT("'" &amp; $C22 &amp; "'!" &amp; G$1),0)</f>
        <v>0</v>
      </c>
      <c r="H22" s="144" t="n">
        <f aca="true">IFERROR(INDIRECT("'" &amp; $C22 &amp; "'!" &amp; H$1),0)</f>
        <v>0</v>
      </c>
      <c r="I22" s="193" t="n">
        <f aca="true">IFERROR(INDIRECT("'" &amp; $C22 &amp; "'!" &amp; I$1),0)</f>
        <v>0</v>
      </c>
      <c r="J22" s="194" t="n">
        <f aca="true">IFERROR(INDIRECT("'" &amp; $C22 &amp; "'!" &amp; J$1),0)</f>
        <v>0</v>
      </c>
      <c r="K22" s="144" t="n">
        <f aca="true">IFERROR(INDIRECT("'" &amp; $C22 &amp; "'!" &amp; K$1),0)</f>
        <v>0</v>
      </c>
      <c r="L22" s="193" t="n">
        <f aca="true">IFERROR(INDIRECT("'" &amp; $C22 &amp; "'!" &amp; L$1),0)</f>
        <v>0</v>
      </c>
      <c r="M22" s="194" t="n">
        <f aca="true">IFERROR(INDIRECT("'" &amp; $C22 &amp; "'!" &amp; M$1),0)</f>
        <v>0</v>
      </c>
      <c r="N22" s="144" t="n">
        <f aca="true">IFERROR(INDIRECT("'" &amp; $C22 &amp; "'!" &amp; N$1),0)</f>
        <v>0</v>
      </c>
      <c r="O22" s="193" t="n">
        <f aca="true">IFERROR(INDIRECT("'" &amp; $C22 &amp; "'!" &amp; O$1),0)</f>
        <v>0</v>
      </c>
      <c r="P22" s="182" t="n">
        <f aca="false">J22</f>
        <v>0</v>
      </c>
      <c r="Q22" s="183" t="n">
        <f aca="false">K22</f>
        <v>0</v>
      </c>
      <c r="R22" s="144" t="n">
        <f aca="false">P22*Q22</f>
        <v>0</v>
      </c>
      <c r="S22" s="144" t="n">
        <f aca="true">IFERROR(INDIRECT("'" &amp; $C22 &amp; "'!" &amp; S$1),0)</f>
        <v>0</v>
      </c>
      <c r="T22" s="144" t="n">
        <f aca="true">IFERROR(INDIRECT("'" &amp; $C22 &amp; "'!" &amp; T$1),0)</f>
        <v>0</v>
      </c>
      <c r="U22" s="143" t="n">
        <f aca="true">IFERROR(INDIRECT("'" &amp; $C22 &amp; "'!" &amp; U$1),0)</f>
        <v>0</v>
      </c>
      <c r="V22" s="184" t="s">
        <v>122</v>
      </c>
      <c r="W22" s="144" t="n">
        <f aca="true">IFERROR(IF(V22="No",INDIRECT("'"&amp;$C22&amp;"'!"&amp;W$1),S22*Y22),0)</f>
        <v>0</v>
      </c>
      <c r="X22" s="185"/>
      <c r="Y22" s="186" t="n">
        <f aca="false">IF(X22&gt;0,X22,U22)</f>
        <v>0</v>
      </c>
      <c r="Z22" s="143" t="n">
        <f aca="false">IFERROR(W22/S22,0)</f>
        <v>0</v>
      </c>
      <c r="AA22" s="187"/>
      <c r="AB22" s="188" t="n">
        <f aca="false">IFERROR(ROUND(T22/AA22,-5),0)</f>
        <v>0</v>
      </c>
      <c r="AC22" s="189"/>
      <c r="AD22" s="188" t="n">
        <f aca="false">AB22-(AC22*F22)</f>
        <v>0</v>
      </c>
      <c r="AE22" s="146" t="n">
        <f aca="false">IFERROR(ROUND(W22/AA22,-5)-(AC22*F22),0)</f>
        <v>0</v>
      </c>
      <c r="AF22" s="190" t="n">
        <f aca="false">IFERROR(AE22/F22,0)</f>
        <v>0</v>
      </c>
      <c r="AH22" s="191"/>
      <c r="AI22" s="148" t="n">
        <f aca="false">AC22*F22</f>
        <v>0</v>
      </c>
      <c r="AJ22" s="144" t="n">
        <f aca="false">IFERROR(+W22/$F22,0)</f>
        <v>0</v>
      </c>
    </row>
    <row r="23" customFormat="false" ht="14.25" hidden="false" customHeight="false" outlineLevel="0" collapsed="false">
      <c r="C23" s="176" t="n">
        <f aca="false">C22+1</f>
        <v>15</v>
      </c>
      <c r="D23" s="7" t="str">
        <f aca="false">IF(INDEX(Tape!$C$7:$C$36,$C23)="","",INDEX(Tape!$C$7:$C$36,$C23))</f>
        <v/>
      </c>
      <c r="E23" s="34" t="n">
        <f aca="false">IFERROR(INDEX(Tape!$O$7:$O$36,MATCH('UW Drivers'!$D23,Tape!$C$7:$C$36,0)),0)</f>
        <v>0</v>
      </c>
      <c r="F23" s="177" t="n">
        <f aca="true">IFERROR(INDIRECT("'" &amp; $C23 &amp; "'!" &amp; F$1),0)</f>
        <v>0</v>
      </c>
      <c r="G23" s="143" t="n">
        <f aca="true">IFERROR(INDIRECT("'" &amp; $C23 &amp; "'!" &amp; G$1),0)</f>
        <v>0</v>
      </c>
      <c r="H23" s="144" t="n">
        <f aca="true">IFERROR(INDIRECT("'" &amp; $C23 &amp; "'!" &amp; H$1),0)</f>
        <v>0</v>
      </c>
      <c r="I23" s="193" t="n">
        <f aca="true">IFERROR(INDIRECT("'" &amp; $C23 &amp; "'!" &amp; I$1),0)</f>
        <v>0</v>
      </c>
      <c r="J23" s="194" t="n">
        <f aca="true">IFERROR(INDIRECT("'" &amp; $C23 &amp; "'!" &amp; J$1),0)</f>
        <v>0</v>
      </c>
      <c r="K23" s="144" t="n">
        <f aca="true">IFERROR(INDIRECT("'" &amp; $C23 &amp; "'!" &amp; K$1),0)</f>
        <v>0</v>
      </c>
      <c r="L23" s="193" t="n">
        <f aca="true">IFERROR(INDIRECT("'" &amp; $C23 &amp; "'!" &amp; L$1),0)</f>
        <v>0</v>
      </c>
      <c r="M23" s="194" t="n">
        <f aca="true">IFERROR(INDIRECT("'" &amp; $C23 &amp; "'!" &amp; M$1),0)</f>
        <v>0</v>
      </c>
      <c r="N23" s="144" t="n">
        <f aca="true">IFERROR(INDIRECT("'" &amp; $C23 &amp; "'!" &amp; N$1),0)</f>
        <v>0</v>
      </c>
      <c r="O23" s="193" t="n">
        <f aca="true">IFERROR(INDIRECT("'" &amp; $C23 &amp; "'!" &amp; O$1),0)</f>
        <v>0</v>
      </c>
      <c r="P23" s="182" t="n">
        <f aca="false">J23</f>
        <v>0</v>
      </c>
      <c r="Q23" s="183" t="n">
        <f aca="false">K23</f>
        <v>0</v>
      </c>
      <c r="R23" s="144" t="n">
        <f aca="false">P23*Q23</f>
        <v>0</v>
      </c>
      <c r="S23" s="144" t="n">
        <f aca="true">IFERROR(INDIRECT("'" &amp; $C23 &amp; "'!" &amp; S$1),0)</f>
        <v>0</v>
      </c>
      <c r="T23" s="144" t="n">
        <f aca="true">IFERROR(INDIRECT("'" &amp; $C23 &amp; "'!" &amp; T$1),0)</f>
        <v>0</v>
      </c>
      <c r="U23" s="186" t="n">
        <f aca="true">IFERROR(INDIRECT("'" &amp; $C23 &amp; "'!" &amp; U$1),0)</f>
        <v>0</v>
      </c>
      <c r="V23" s="184" t="s">
        <v>122</v>
      </c>
      <c r="W23" s="144" t="n">
        <f aca="true">IFERROR(IF(V23="No",INDIRECT("'"&amp;$C23&amp;"'!"&amp;W$1),S23*Y23),0)</f>
        <v>0</v>
      </c>
      <c r="X23" s="185"/>
      <c r="Y23" s="186" t="n">
        <f aca="false">IF(X23&gt;0,X23,U23)</f>
        <v>0</v>
      </c>
      <c r="Z23" s="143" t="n">
        <f aca="false">IFERROR(W23/S23,0)</f>
        <v>0</v>
      </c>
      <c r="AA23" s="187"/>
      <c r="AB23" s="188" t="n">
        <f aca="false">IFERROR(ROUND(T23/AA23,-5),0)</f>
        <v>0</v>
      </c>
      <c r="AC23" s="189"/>
      <c r="AD23" s="188" t="n">
        <f aca="false">AB23-(AC23*F23)</f>
        <v>0</v>
      </c>
      <c r="AE23" s="146" t="n">
        <f aca="false">IFERROR(ROUND(W23/AA23,-5)-(AC23*F23),0)</f>
        <v>0</v>
      </c>
      <c r="AF23" s="190" t="n">
        <f aca="false">IFERROR(AE23/F23,0)</f>
        <v>0</v>
      </c>
      <c r="AH23" s="191"/>
      <c r="AI23" s="148" t="n">
        <f aca="false">AC23*F23</f>
        <v>0</v>
      </c>
      <c r="AJ23" s="144" t="n">
        <f aca="false">IFERROR(+W23/$F23,0)</f>
        <v>0</v>
      </c>
    </row>
    <row r="24" customFormat="false" ht="14.25" hidden="false" customHeight="false" outlineLevel="0" collapsed="false">
      <c r="C24" s="176" t="n">
        <f aca="false">C23+1</f>
        <v>16</v>
      </c>
      <c r="D24" s="7" t="str">
        <f aca="false">IF(INDEX(Tape!$C$7:$C$36,$C24)="","",INDEX(Tape!$C$7:$C$36,$C24))</f>
        <v/>
      </c>
      <c r="E24" s="34" t="n">
        <f aca="false">IFERROR(INDEX(Tape!$O$7:$O$36,MATCH('UW Drivers'!$D24,Tape!$C$7:$C$36,0)),0)</f>
        <v>0</v>
      </c>
      <c r="F24" s="177" t="n">
        <f aca="true">IFERROR(INDIRECT("'" &amp; $C24 &amp; "'!" &amp; F$1),0)</f>
        <v>0</v>
      </c>
      <c r="G24" s="143" t="n">
        <f aca="true">IFERROR(INDIRECT("'" &amp; $C24 &amp; "'!" &amp; G$1),0)</f>
        <v>0</v>
      </c>
      <c r="H24" s="144" t="n">
        <f aca="true">IFERROR(INDIRECT("'" &amp; $C24 &amp; "'!" &amp; H$1),0)</f>
        <v>0</v>
      </c>
      <c r="I24" s="193" t="n">
        <f aca="true">IFERROR(INDIRECT("'" &amp; $C24 &amp; "'!" &amp; I$1),0)</f>
        <v>0</v>
      </c>
      <c r="J24" s="194" t="n">
        <f aca="true">IFERROR(INDIRECT("'" &amp; $C24 &amp; "'!" &amp; J$1),0)</f>
        <v>0</v>
      </c>
      <c r="K24" s="144" t="n">
        <f aca="true">IFERROR(INDIRECT("'" &amp; $C24 &amp; "'!" &amp; K$1),0)</f>
        <v>0</v>
      </c>
      <c r="L24" s="193" t="n">
        <f aca="true">IFERROR(INDIRECT("'" &amp; $C24 &amp; "'!" &amp; L$1),0)</f>
        <v>0</v>
      </c>
      <c r="M24" s="194" t="n">
        <f aca="true">IFERROR(INDIRECT("'" &amp; $C24 &amp; "'!" &amp; M$1),0)</f>
        <v>0</v>
      </c>
      <c r="N24" s="144" t="n">
        <f aca="true">IFERROR(INDIRECT("'" &amp; $C24 &amp; "'!" &amp; N$1),0)</f>
        <v>0</v>
      </c>
      <c r="O24" s="193" t="n">
        <f aca="true">IFERROR(INDIRECT("'" &amp; $C24 &amp; "'!" &amp; O$1),0)</f>
        <v>0</v>
      </c>
      <c r="P24" s="182" t="n">
        <f aca="false">J24</f>
        <v>0</v>
      </c>
      <c r="Q24" s="183" t="n">
        <f aca="false">K24</f>
        <v>0</v>
      </c>
      <c r="R24" s="144" t="n">
        <f aca="false">P24*Q24</f>
        <v>0</v>
      </c>
      <c r="S24" s="144" t="n">
        <f aca="true">IFERROR(INDIRECT("'" &amp; $C24 &amp; "'!" &amp; S$1),0)</f>
        <v>0</v>
      </c>
      <c r="T24" s="144" t="n">
        <f aca="true">IFERROR(INDIRECT("'" &amp; $C24 &amp; "'!" &amp; T$1),0)</f>
        <v>0</v>
      </c>
      <c r="U24" s="143" t="n">
        <f aca="true">IFERROR(INDIRECT("'" &amp; $C24 &amp; "'!" &amp; U$1),0)</f>
        <v>0</v>
      </c>
      <c r="V24" s="184" t="s">
        <v>122</v>
      </c>
      <c r="W24" s="144" t="n">
        <f aca="true">IFERROR(IF(V24="No",INDIRECT("'"&amp;$C24&amp;"'!"&amp;W$1),S24*Y24),0)</f>
        <v>0</v>
      </c>
      <c r="X24" s="185"/>
      <c r="Y24" s="186" t="n">
        <f aca="false">IF(X24&gt;0,X24,U24)</f>
        <v>0</v>
      </c>
      <c r="Z24" s="143" t="n">
        <f aca="false">IFERROR(W24/S24,0)</f>
        <v>0</v>
      </c>
      <c r="AA24" s="187"/>
      <c r="AB24" s="188" t="n">
        <f aca="false">IFERROR(ROUND(T24/AA24,-5),0)</f>
        <v>0</v>
      </c>
      <c r="AC24" s="189"/>
      <c r="AD24" s="188" t="n">
        <f aca="false">AB24-(AC24*F24)</f>
        <v>0</v>
      </c>
      <c r="AE24" s="146" t="n">
        <f aca="false">IFERROR(ROUND(W24/AA24,-5)-(AC24*F24),0)</f>
        <v>0</v>
      </c>
      <c r="AF24" s="190" t="n">
        <f aca="false">IFERROR(AE24/F24,0)</f>
        <v>0</v>
      </c>
      <c r="AH24" s="195"/>
      <c r="AI24" s="148" t="n">
        <f aca="false">AC24*F24</f>
        <v>0</v>
      </c>
      <c r="AJ24" s="144" t="n">
        <f aca="false">IFERROR(+W24/$F24,0)</f>
        <v>0</v>
      </c>
    </row>
    <row r="25" customFormat="false" ht="14.25" hidden="false" customHeight="false" outlineLevel="0" collapsed="false">
      <c r="C25" s="176" t="n">
        <f aca="false">C24+1</f>
        <v>17</v>
      </c>
      <c r="D25" s="7" t="str">
        <f aca="false">IF(INDEX(Tape!$C$7:$C$36,$C25)="","",INDEX(Tape!$C$7:$C$36,$C25))</f>
        <v/>
      </c>
      <c r="E25" s="34" t="n">
        <f aca="false">IFERROR(INDEX(Tape!$O$7:$O$36,MATCH('UW Drivers'!$D25,Tape!$C$7:$C$36,0)),0)</f>
        <v>0</v>
      </c>
      <c r="F25" s="177" t="n">
        <f aca="true">IFERROR(INDIRECT("'" &amp; $C25 &amp; "'!" &amp; F$1),0)</f>
        <v>0</v>
      </c>
      <c r="G25" s="143" t="n">
        <f aca="true">IFERROR(INDIRECT("'" &amp; $C25 &amp; "'!" &amp; G$1),0)</f>
        <v>0</v>
      </c>
      <c r="H25" s="144" t="n">
        <f aca="true">IFERROR(INDIRECT("'" &amp; $C25 &amp; "'!" &amp; H$1),0)</f>
        <v>0</v>
      </c>
      <c r="I25" s="193" t="n">
        <f aca="true">IFERROR(INDIRECT("'" &amp; $C25 &amp; "'!" &amp; I$1),0)</f>
        <v>0</v>
      </c>
      <c r="J25" s="194" t="n">
        <f aca="true">IFERROR(INDIRECT("'" &amp; $C25 &amp; "'!" &amp; J$1),0)</f>
        <v>0</v>
      </c>
      <c r="K25" s="144" t="n">
        <f aca="true">IFERROR(INDIRECT("'" &amp; $C25 &amp; "'!" &amp; K$1),0)</f>
        <v>0</v>
      </c>
      <c r="L25" s="193" t="n">
        <f aca="true">IFERROR(INDIRECT("'" &amp; $C25 &amp; "'!" &amp; L$1),0)</f>
        <v>0</v>
      </c>
      <c r="M25" s="194" t="n">
        <f aca="true">IFERROR(INDIRECT("'" &amp; $C25 &amp; "'!" &amp; M$1),0)</f>
        <v>0</v>
      </c>
      <c r="N25" s="144" t="n">
        <f aca="true">IFERROR(INDIRECT("'" &amp; $C25 &amp; "'!" &amp; N$1),0)</f>
        <v>0</v>
      </c>
      <c r="O25" s="193" t="n">
        <f aca="true">IFERROR(INDIRECT("'" &amp; $C25 &amp; "'!" &amp; O$1),0)</f>
        <v>0</v>
      </c>
      <c r="P25" s="182" t="n">
        <f aca="false">J25</f>
        <v>0</v>
      </c>
      <c r="Q25" s="183" t="n">
        <f aca="false">K25</f>
        <v>0</v>
      </c>
      <c r="R25" s="144" t="n">
        <f aca="false">P25*Q25</f>
        <v>0</v>
      </c>
      <c r="S25" s="144" t="n">
        <f aca="true">IFERROR(INDIRECT("'" &amp; $C25 &amp; "'!" &amp; S$1),0)</f>
        <v>0</v>
      </c>
      <c r="T25" s="144" t="n">
        <f aca="true">IFERROR(INDIRECT("'" &amp; $C25 &amp; "'!" &amp; T$1),0)</f>
        <v>0</v>
      </c>
      <c r="U25" s="143" t="n">
        <f aca="true">IFERROR(INDIRECT("'" &amp; $C25 &amp; "'!" &amp; U$1),0)</f>
        <v>0</v>
      </c>
      <c r="V25" s="184" t="s">
        <v>122</v>
      </c>
      <c r="W25" s="144" t="n">
        <f aca="true">IFERROR(IF(V25="No",INDIRECT("'"&amp;$C25&amp;"'!"&amp;W$1),S25*Y25),0)</f>
        <v>0</v>
      </c>
      <c r="X25" s="185"/>
      <c r="Y25" s="186" t="n">
        <f aca="false">IF(X25&gt;0,X25,U25)</f>
        <v>0</v>
      </c>
      <c r="Z25" s="143" t="n">
        <f aca="false">IFERROR(W25/S25,0)</f>
        <v>0</v>
      </c>
      <c r="AA25" s="187"/>
      <c r="AB25" s="188" t="n">
        <f aca="false">IFERROR(ROUND(T25/AA25,-5),0)</f>
        <v>0</v>
      </c>
      <c r="AC25" s="189"/>
      <c r="AD25" s="188" t="n">
        <f aca="false">AB25-(AC25*F25)</f>
        <v>0</v>
      </c>
      <c r="AE25" s="146" t="n">
        <f aca="false">IFERROR(ROUND(W25/AA25,-5)-(AC25*F25),0)</f>
        <v>0</v>
      </c>
      <c r="AF25" s="190" t="n">
        <f aca="false">IFERROR(AE25/F25,0)</f>
        <v>0</v>
      </c>
      <c r="AH25" s="191"/>
      <c r="AI25" s="148" t="n">
        <f aca="false">AC25*F25</f>
        <v>0</v>
      </c>
      <c r="AJ25" s="144" t="n">
        <f aca="false">IFERROR(+W25/$F25,0)</f>
        <v>0</v>
      </c>
    </row>
    <row r="26" customFormat="false" ht="14.25" hidden="false" customHeight="false" outlineLevel="0" collapsed="false">
      <c r="C26" s="176" t="n">
        <f aca="false">C25+1</f>
        <v>18</v>
      </c>
      <c r="D26" s="7" t="str">
        <f aca="false">IF(INDEX(Tape!$C$7:$C$36,$C26)="","",INDEX(Tape!$C$7:$C$36,$C26))</f>
        <v/>
      </c>
      <c r="E26" s="34" t="n">
        <f aca="false">IFERROR(INDEX(Tape!$O$7:$O$36,MATCH('UW Drivers'!$D26,Tape!$C$7:$C$36,0)),0)</f>
        <v>0</v>
      </c>
      <c r="F26" s="177" t="n">
        <f aca="true">IFERROR(INDIRECT("'" &amp; $C26 &amp; "'!" &amp; F$1),0)</f>
        <v>0</v>
      </c>
      <c r="G26" s="143" t="n">
        <f aca="true">IFERROR(INDIRECT("'" &amp; $C26 &amp; "'!" &amp; G$1),0)</f>
        <v>0</v>
      </c>
      <c r="H26" s="144" t="n">
        <f aca="true">IFERROR(INDIRECT("'" &amp; $C26 &amp; "'!" &amp; H$1),0)</f>
        <v>0</v>
      </c>
      <c r="I26" s="193" t="n">
        <f aca="true">IFERROR(INDIRECT("'" &amp; $C26 &amp; "'!" &amp; I$1),0)</f>
        <v>0</v>
      </c>
      <c r="J26" s="194" t="n">
        <f aca="true">IFERROR(INDIRECT("'" &amp; $C26 &amp; "'!" &amp; J$1),0)</f>
        <v>0</v>
      </c>
      <c r="K26" s="144" t="n">
        <f aca="true">IFERROR(INDIRECT("'" &amp; $C26 &amp; "'!" &amp; K$1),0)</f>
        <v>0</v>
      </c>
      <c r="L26" s="193" t="n">
        <f aca="true">IFERROR(INDIRECT("'" &amp; $C26 &amp; "'!" &amp; L$1),0)</f>
        <v>0</v>
      </c>
      <c r="M26" s="194" t="n">
        <f aca="true">IFERROR(INDIRECT("'" &amp; $C26 &amp; "'!" &amp; M$1),0)</f>
        <v>0</v>
      </c>
      <c r="N26" s="144" t="n">
        <f aca="true">IFERROR(INDIRECT("'" &amp; $C26 &amp; "'!" &amp; N$1),0)</f>
        <v>0</v>
      </c>
      <c r="O26" s="193" t="n">
        <f aca="true">IFERROR(INDIRECT("'" &amp; $C26 &amp; "'!" &amp; O$1),0)</f>
        <v>0</v>
      </c>
      <c r="P26" s="182" t="n">
        <f aca="false">J26</f>
        <v>0</v>
      </c>
      <c r="Q26" s="183" t="n">
        <f aca="false">K26</f>
        <v>0</v>
      </c>
      <c r="R26" s="144" t="n">
        <f aca="false">P26*Q26</f>
        <v>0</v>
      </c>
      <c r="S26" s="144" t="n">
        <f aca="true">IFERROR(INDIRECT("'" &amp; $C26 &amp; "'!" &amp; S$1),0)</f>
        <v>0</v>
      </c>
      <c r="T26" s="144" t="n">
        <f aca="true">IFERROR(INDIRECT("'" &amp; $C26 &amp; "'!" &amp; T$1),0)</f>
        <v>0</v>
      </c>
      <c r="U26" s="143" t="n">
        <f aca="true">IFERROR(INDIRECT("'" &amp; $C26 &amp; "'!" &amp; U$1),0)</f>
        <v>0</v>
      </c>
      <c r="V26" s="184" t="s">
        <v>122</v>
      </c>
      <c r="W26" s="144" t="n">
        <f aca="true">IFERROR(IF(V26="No",INDIRECT("'"&amp;$C26&amp;"'!"&amp;W$1),S26*Y26),0)</f>
        <v>0</v>
      </c>
      <c r="X26" s="185"/>
      <c r="Y26" s="186" t="n">
        <f aca="false">IF(X26&gt;0,X26,U26)</f>
        <v>0</v>
      </c>
      <c r="Z26" s="143" t="n">
        <f aca="false">IFERROR(W26/S26,0)</f>
        <v>0</v>
      </c>
      <c r="AA26" s="187"/>
      <c r="AB26" s="188" t="n">
        <f aca="false">IFERROR(ROUND(T26/AA26,-5),0)</f>
        <v>0</v>
      </c>
      <c r="AC26" s="189"/>
      <c r="AD26" s="188" t="n">
        <f aca="false">AB26-(AC26*F26)</f>
        <v>0</v>
      </c>
      <c r="AE26" s="146" t="n">
        <f aca="false">IFERROR(ROUND(W26/AA26,-5)-(AC26*F26),0)</f>
        <v>0</v>
      </c>
      <c r="AF26" s="190" t="n">
        <f aca="false">IFERROR(AE26/F26,0)</f>
        <v>0</v>
      </c>
      <c r="AH26" s="191"/>
      <c r="AI26" s="148" t="n">
        <f aca="false">AC26*F26</f>
        <v>0</v>
      </c>
      <c r="AJ26" s="144" t="n">
        <f aca="false">IFERROR(+W26/$F26,0)</f>
        <v>0</v>
      </c>
    </row>
    <row r="27" customFormat="false" ht="14.25" hidden="false" customHeight="false" outlineLevel="0" collapsed="false">
      <c r="C27" s="176" t="n">
        <f aca="false">C26+1</f>
        <v>19</v>
      </c>
      <c r="D27" s="7" t="str">
        <f aca="false">IF(INDEX(Tape!$C$7:$C$36,$C27)="","",INDEX(Tape!$C$7:$C$36,$C27))</f>
        <v/>
      </c>
      <c r="E27" s="34" t="n">
        <f aca="false">IFERROR(INDEX(Tape!$O$7:$O$36,MATCH('UW Drivers'!$D27,Tape!$C$7:$C$36,0)),0)</f>
        <v>0</v>
      </c>
      <c r="F27" s="177" t="n">
        <f aca="true">IFERROR(INDIRECT("'" &amp; $C27 &amp; "'!" &amp; F$1),0)</f>
        <v>0</v>
      </c>
      <c r="G27" s="143" t="n">
        <f aca="true">IFERROR(INDIRECT("'" &amp; $C27 &amp; "'!" &amp; G$1),0)</f>
        <v>0</v>
      </c>
      <c r="H27" s="144" t="n">
        <f aca="true">IFERROR(INDIRECT("'" &amp; $C27 &amp; "'!" &amp; H$1),0)</f>
        <v>0</v>
      </c>
      <c r="I27" s="193" t="n">
        <f aca="true">IFERROR(INDIRECT("'" &amp; $C27 &amp; "'!" &amp; I$1),0)</f>
        <v>0</v>
      </c>
      <c r="J27" s="194" t="n">
        <f aca="true">IFERROR(INDIRECT("'" &amp; $C27 &amp; "'!" &amp; J$1),0)</f>
        <v>0</v>
      </c>
      <c r="K27" s="144" t="n">
        <f aca="true">IFERROR(INDIRECT("'" &amp; $C27 &amp; "'!" &amp; K$1),0)</f>
        <v>0</v>
      </c>
      <c r="L27" s="193" t="n">
        <f aca="true">IFERROR(INDIRECT("'" &amp; $C27 &amp; "'!" &amp; L$1),0)</f>
        <v>0</v>
      </c>
      <c r="M27" s="194" t="n">
        <f aca="true">IFERROR(INDIRECT("'" &amp; $C27 &amp; "'!" &amp; M$1),0)</f>
        <v>0</v>
      </c>
      <c r="N27" s="144" t="n">
        <f aca="true">IFERROR(INDIRECT("'" &amp; $C27 &amp; "'!" &amp; N$1),0)</f>
        <v>0</v>
      </c>
      <c r="O27" s="193" t="n">
        <f aca="true">IFERROR(INDIRECT("'" &amp; $C27 &amp; "'!" &amp; O$1),0)</f>
        <v>0</v>
      </c>
      <c r="P27" s="182" t="n">
        <f aca="false">J27</f>
        <v>0</v>
      </c>
      <c r="Q27" s="183" t="n">
        <f aca="false">K27</f>
        <v>0</v>
      </c>
      <c r="R27" s="144" t="n">
        <f aca="false">P27*Q27</f>
        <v>0</v>
      </c>
      <c r="S27" s="144" t="n">
        <f aca="true">IFERROR(INDIRECT("'" &amp; $C27 &amp; "'!" &amp; S$1),0)</f>
        <v>0</v>
      </c>
      <c r="T27" s="144" t="n">
        <f aca="true">IFERROR(INDIRECT("'" &amp; $C27 &amp; "'!" &amp; T$1),0)</f>
        <v>0</v>
      </c>
      <c r="U27" s="143" t="n">
        <f aca="true">IFERROR(INDIRECT("'" &amp; $C27 &amp; "'!" &amp; U$1),0)</f>
        <v>0</v>
      </c>
      <c r="V27" s="184" t="s">
        <v>122</v>
      </c>
      <c r="W27" s="144" t="n">
        <f aca="true">IFERROR(IF(V27="No",INDIRECT("'"&amp;$C27&amp;"'!"&amp;W$1),S27*Y27),0)</f>
        <v>0</v>
      </c>
      <c r="X27" s="185"/>
      <c r="Y27" s="186" t="n">
        <f aca="false">IF(X27&gt;0,X27,U27)</f>
        <v>0</v>
      </c>
      <c r="Z27" s="143" t="n">
        <f aca="false">IFERROR(W27/S27,0)</f>
        <v>0</v>
      </c>
      <c r="AA27" s="187"/>
      <c r="AB27" s="188" t="n">
        <f aca="false">IFERROR(ROUND(T27/AA27,-5),0)</f>
        <v>0</v>
      </c>
      <c r="AC27" s="189"/>
      <c r="AD27" s="188" t="n">
        <f aca="false">AB27-(AC27*F27)</f>
        <v>0</v>
      </c>
      <c r="AE27" s="146" t="n">
        <f aca="false">IFERROR(ROUND(W27/AA27,-5)-(AC27*F27),0)</f>
        <v>0</v>
      </c>
      <c r="AF27" s="190" t="n">
        <f aca="false">IFERROR(AE27/F27,0)</f>
        <v>0</v>
      </c>
      <c r="AH27" s="191"/>
      <c r="AI27" s="148" t="n">
        <f aca="false">AC27*F27</f>
        <v>0</v>
      </c>
      <c r="AJ27" s="144" t="n">
        <f aca="false">IFERROR(+W27/$F27,0)</f>
        <v>0</v>
      </c>
    </row>
    <row r="28" customFormat="false" ht="14.25" hidden="false" customHeight="false" outlineLevel="0" collapsed="false">
      <c r="C28" s="176" t="n">
        <f aca="false">C27+1</f>
        <v>20</v>
      </c>
      <c r="D28" s="7" t="str">
        <f aca="false">IF(INDEX(Tape!$C$7:$C$36,$C28)="","",INDEX(Tape!$C$7:$C$36,$C28))</f>
        <v/>
      </c>
      <c r="E28" s="34" t="n">
        <f aca="false">IFERROR(INDEX(Tape!$O$7:$O$36,MATCH('UW Drivers'!$D28,Tape!$C$7:$C$36,0)),0)</f>
        <v>0</v>
      </c>
      <c r="F28" s="177" t="n">
        <f aca="true">IFERROR(INDIRECT("'" &amp; $C28 &amp; "'!" &amp; F$1),0)</f>
        <v>0</v>
      </c>
      <c r="G28" s="143" t="n">
        <f aca="true">IFERROR(INDIRECT("'" &amp; $C28 &amp; "'!" &amp; G$1),0)</f>
        <v>0</v>
      </c>
      <c r="H28" s="144" t="n">
        <f aca="true">IFERROR(INDIRECT("'" &amp; $C28 &amp; "'!" &amp; H$1),0)</f>
        <v>0</v>
      </c>
      <c r="I28" s="193" t="n">
        <f aca="true">IFERROR(INDIRECT("'" &amp; $C28 &amp; "'!" &amp; I$1),0)</f>
        <v>0</v>
      </c>
      <c r="J28" s="194" t="n">
        <f aca="true">IFERROR(INDIRECT("'" &amp; $C28 &amp; "'!" &amp; J$1),0)</f>
        <v>0</v>
      </c>
      <c r="K28" s="144" t="n">
        <f aca="true">IFERROR(INDIRECT("'" &amp; $C28 &amp; "'!" &amp; K$1),0)</f>
        <v>0</v>
      </c>
      <c r="L28" s="193" t="n">
        <f aca="true">IFERROR(INDIRECT("'" &amp; $C28 &amp; "'!" &amp; L$1),0)</f>
        <v>0</v>
      </c>
      <c r="M28" s="194" t="n">
        <f aca="true">IFERROR(INDIRECT("'" &amp; $C28 &amp; "'!" &amp; M$1),0)</f>
        <v>0</v>
      </c>
      <c r="N28" s="144" t="n">
        <f aca="true">IFERROR(INDIRECT("'" &amp; $C28 &amp; "'!" &amp; N$1),0)</f>
        <v>0</v>
      </c>
      <c r="O28" s="193" t="n">
        <f aca="true">IFERROR(INDIRECT("'" &amp; $C28 &amp; "'!" &amp; O$1),0)</f>
        <v>0</v>
      </c>
      <c r="P28" s="182" t="n">
        <f aca="false">J28</f>
        <v>0</v>
      </c>
      <c r="Q28" s="183" t="n">
        <f aca="false">K28</f>
        <v>0</v>
      </c>
      <c r="R28" s="144" t="n">
        <f aca="false">P28*Q28</f>
        <v>0</v>
      </c>
      <c r="S28" s="144" t="n">
        <f aca="true">IFERROR(INDIRECT("'" &amp; $C28 &amp; "'!" &amp; S$1),0)</f>
        <v>0</v>
      </c>
      <c r="T28" s="144" t="n">
        <f aca="true">IFERROR(INDIRECT("'" &amp; $C28 &amp; "'!" &amp; T$1),0)</f>
        <v>0</v>
      </c>
      <c r="U28" s="143" t="n">
        <f aca="true">IFERROR(INDIRECT("'" &amp; $C28 &amp; "'!" &amp; U$1),0)</f>
        <v>0</v>
      </c>
      <c r="V28" s="184" t="s">
        <v>122</v>
      </c>
      <c r="W28" s="144" t="n">
        <f aca="true">IFERROR(IF(V28="No",INDIRECT("'"&amp;$C28&amp;"'!"&amp;W$1),S28*Y28),0)</f>
        <v>0</v>
      </c>
      <c r="X28" s="185"/>
      <c r="Y28" s="186" t="n">
        <f aca="false">IF(X28&gt;0,X28,U28)</f>
        <v>0</v>
      </c>
      <c r="Z28" s="143" t="n">
        <f aca="false">IFERROR(W28/S28,0)</f>
        <v>0</v>
      </c>
      <c r="AA28" s="187"/>
      <c r="AB28" s="188" t="n">
        <f aca="false">IFERROR(ROUND(T28/AA28,-5),0)</f>
        <v>0</v>
      </c>
      <c r="AC28" s="189"/>
      <c r="AD28" s="188" t="n">
        <f aca="false">AB28-(AC28*F28)</f>
        <v>0</v>
      </c>
      <c r="AE28" s="146" t="n">
        <f aca="false">IFERROR(ROUND(W28/AA28,-5)-(AC28*F28),0)</f>
        <v>0</v>
      </c>
      <c r="AF28" s="190" t="n">
        <f aca="false">IFERROR(AE28/F28,0)</f>
        <v>0</v>
      </c>
      <c r="AH28" s="191"/>
      <c r="AI28" s="148" t="n">
        <f aca="false">AC28*F28</f>
        <v>0</v>
      </c>
      <c r="AJ28" s="144" t="n">
        <f aca="false">IFERROR(+W28/$F28,0)</f>
        <v>0</v>
      </c>
    </row>
    <row r="29" customFormat="false" ht="14.25" hidden="false" customHeight="false" outlineLevel="0" collapsed="false">
      <c r="C29" s="176" t="n">
        <f aca="false">C28+1</f>
        <v>21</v>
      </c>
      <c r="D29" s="7" t="str">
        <f aca="false">IF(INDEX(Tape!$C$7:$C$36,$C29)="","",INDEX(Tape!$C$7:$C$36,$C29))</f>
        <v/>
      </c>
      <c r="E29" s="34" t="n">
        <f aca="false">IFERROR(INDEX(Tape!$O$7:$O$36,MATCH('UW Drivers'!$D29,Tape!$C$7:$C$36,0)),0)</f>
        <v>0</v>
      </c>
      <c r="F29" s="177" t="n">
        <f aca="true">IFERROR(INDIRECT("'" &amp; $C29 &amp; "'!" &amp; F$1),0)</f>
        <v>0</v>
      </c>
      <c r="G29" s="143" t="n">
        <f aca="true">IFERROR(INDIRECT("'" &amp; $C29 &amp; "'!" &amp; G$1),0)</f>
        <v>0</v>
      </c>
      <c r="H29" s="144" t="n">
        <f aca="true">IFERROR(INDIRECT("'" &amp; $C29 &amp; "'!" &amp; H$1),0)</f>
        <v>0</v>
      </c>
      <c r="I29" s="193" t="n">
        <f aca="true">IFERROR(INDIRECT("'" &amp; $C29 &amp; "'!" &amp; I$1),0)</f>
        <v>0</v>
      </c>
      <c r="J29" s="194" t="n">
        <f aca="true">IFERROR(INDIRECT("'" &amp; $C29 &amp; "'!" &amp; J$1),0)</f>
        <v>0</v>
      </c>
      <c r="K29" s="144" t="n">
        <f aca="true">IFERROR(INDIRECT("'" &amp; $C29 &amp; "'!" &amp; K$1),0)</f>
        <v>0</v>
      </c>
      <c r="L29" s="193" t="n">
        <f aca="true">IFERROR(INDIRECT("'" &amp; $C29 &amp; "'!" &amp; L$1),0)</f>
        <v>0</v>
      </c>
      <c r="M29" s="194" t="n">
        <f aca="true">IFERROR(INDIRECT("'" &amp; $C29 &amp; "'!" &amp; M$1),0)</f>
        <v>0</v>
      </c>
      <c r="N29" s="144" t="n">
        <f aca="true">IFERROR(INDIRECT("'" &amp; $C29 &amp; "'!" &amp; N$1),0)</f>
        <v>0</v>
      </c>
      <c r="O29" s="193" t="n">
        <f aca="true">IFERROR(INDIRECT("'" &amp; $C29 &amp; "'!" &amp; O$1),0)</f>
        <v>0</v>
      </c>
      <c r="P29" s="182" t="n">
        <f aca="false">J29</f>
        <v>0</v>
      </c>
      <c r="Q29" s="183" t="n">
        <f aca="false">K29</f>
        <v>0</v>
      </c>
      <c r="R29" s="144" t="n">
        <f aca="false">P29*Q29</f>
        <v>0</v>
      </c>
      <c r="S29" s="144" t="n">
        <f aca="true">IFERROR(INDIRECT("'" &amp; $C29 &amp; "'!" &amp; S$1),0)</f>
        <v>0</v>
      </c>
      <c r="T29" s="144" t="n">
        <f aca="true">IFERROR(INDIRECT("'" &amp; $C29 &amp; "'!" &amp; T$1),0)</f>
        <v>0</v>
      </c>
      <c r="U29" s="143" t="n">
        <f aca="true">IFERROR(INDIRECT("'" &amp; $C29 &amp; "'!" &amp; U$1),0)</f>
        <v>0</v>
      </c>
      <c r="V29" s="184" t="s">
        <v>122</v>
      </c>
      <c r="W29" s="144" t="n">
        <f aca="true">IFERROR(IF(V29="No",INDIRECT("'"&amp;$C29&amp;"'!"&amp;W$1),S29*Y29),0)</f>
        <v>0</v>
      </c>
      <c r="X29" s="185"/>
      <c r="Y29" s="186" t="n">
        <f aca="false">IF(X29&gt;0,X29,U29)</f>
        <v>0</v>
      </c>
      <c r="Z29" s="143" t="n">
        <f aca="false">IFERROR(W29/S29,0)</f>
        <v>0</v>
      </c>
      <c r="AA29" s="187"/>
      <c r="AB29" s="188" t="n">
        <f aca="false">IFERROR(ROUND(T29/AA29,-5),0)</f>
        <v>0</v>
      </c>
      <c r="AC29" s="189"/>
      <c r="AD29" s="188" t="n">
        <f aca="false">AB29-(AC29*F29)</f>
        <v>0</v>
      </c>
      <c r="AE29" s="146" t="n">
        <f aca="false">IFERROR(ROUND(W29/AA29,-5)-(AC29*F29),0)</f>
        <v>0</v>
      </c>
      <c r="AF29" s="190" t="n">
        <f aca="false">IFERROR(AE29/F29,0)</f>
        <v>0</v>
      </c>
      <c r="AH29" s="191"/>
      <c r="AI29" s="148" t="n">
        <f aca="false">AC29*F29</f>
        <v>0</v>
      </c>
      <c r="AJ29" s="144" t="n">
        <f aca="false">IFERROR(+W29/$F29,0)</f>
        <v>0</v>
      </c>
    </row>
    <row r="30" customFormat="false" ht="14.25" hidden="false" customHeight="false" outlineLevel="0" collapsed="false">
      <c r="C30" s="176" t="n">
        <f aca="false">C29+1</f>
        <v>22</v>
      </c>
      <c r="D30" s="7" t="str">
        <f aca="false">IF(INDEX(Tape!$C$7:$C$36,$C30)="","",INDEX(Tape!$C$7:$C$36,$C30))</f>
        <v/>
      </c>
      <c r="E30" s="34" t="n">
        <f aca="false">IFERROR(INDEX(Tape!$O$7:$O$36,MATCH('UW Drivers'!$D30,Tape!$C$7:$C$36,0)),0)</f>
        <v>0</v>
      </c>
      <c r="F30" s="177" t="n">
        <f aca="true">IFERROR(INDIRECT("'" &amp; $C30 &amp; "'!" &amp; F$1),0)</f>
        <v>0</v>
      </c>
      <c r="G30" s="143" t="n">
        <f aca="true">IFERROR(INDIRECT("'" &amp; $C30 &amp; "'!" &amp; G$1),0)</f>
        <v>0</v>
      </c>
      <c r="H30" s="144" t="n">
        <f aca="true">IFERROR(INDIRECT("'" &amp; $C30 &amp; "'!" &amp; H$1),0)</f>
        <v>0</v>
      </c>
      <c r="I30" s="193" t="n">
        <f aca="true">IFERROR(INDIRECT("'" &amp; $C30 &amp; "'!" &amp; I$1),0)</f>
        <v>0</v>
      </c>
      <c r="J30" s="194" t="n">
        <f aca="true">IFERROR(INDIRECT("'" &amp; $C30 &amp; "'!" &amp; J$1),0)</f>
        <v>0</v>
      </c>
      <c r="K30" s="144" t="n">
        <f aca="true">IFERROR(INDIRECT("'" &amp; $C30 &amp; "'!" &amp; K$1),0)</f>
        <v>0</v>
      </c>
      <c r="L30" s="193" t="n">
        <f aca="true">IFERROR(INDIRECT("'" &amp; $C30 &amp; "'!" &amp; L$1),0)</f>
        <v>0</v>
      </c>
      <c r="M30" s="194" t="n">
        <f aca="true">IFERROR(INDIRECT("'" &amp; $C30 &amp; "'!" &amp; M$1),0)</f>
        <v>0</v>
      </c>
      <c r="N30" s="144" t="n">
        <f aca="true">IFERROR(INDIRECT("'" &amp; $C30 &amp; "'!" &amp; N$1),0)</f>
        <v>0</v>
      </c>
      <c r="O30" s="193" t="n">
        <f aca="true">IFERROR(INDIRECT("'" &amp; $C30 &amp; "'!" &amp; O$1),0)</f>
        <v>0</v>
      </c>
      <c r="P30" s="182" t="n">
        <f aca="false">J30</f>
        <v>0</v>
      </c>
      <c r="Q30" s="183" t="n">
        <f aca="false">K30</f>
        <v>0</v>
      </c>
      <c r="R30" s="144" t="n">
        <f aca="false">P30*Q30</f>
        <v>0</v>
      </c>
      <c r="S30" s="144" t="n">
        <f aca="true">IFERROR(INDIRECT("'" &amp; $C30 &amp; "'!" &amp; S$1),0)</f>
        <v>0</v>
      </c>
      <c r="T30" s="144" t="n">
        <f aca="true">IFERROR(INDIRECT("'" &amp; $C30 &amp; "'!" &amp; T$1),0)</f>
        <v>0</v>
      </c>
      <c r="U30" s="143" t="n">
        <f aca="true">IFERROR(INDIRECT("'" &amp; $C30 &amp; "'!" &amp; U$1),0)</f>
        <v>0</v>
      </c>
      <c r="V30" s="184" t="s">
        <v>122</v>
      </c>
      <c r="W30" s="144" t="n">
        <f aca="true">IFERROR(IF(V30="No",INDIRECT("'"&amp;$C30&amp;"'!"&amp;W$1),S30*Y30),0)</f>
        <v>0</v>
      </c>
      <c r="X30" s="185"/>
      <c r="Y30" s="186" t="n">
        <f aca="false">IF(X30&gt;0,X30,U30)</f>
        <v>0</v>
      </c>
      <c r="Z30" s="143" t="n">
        <f aca="false">IFERROR(W30/S30,0)</f>
        <v>0</v>
      </c>
      <c r="AA30" s="187"/>
      <c r="AB30" s="188" t="n">
        <f aca="false">IFERROR(ROUND(T30/AA30,-5),0)</f>
        <v>0</v>
      </c>
      <c r="AC30" s="189"/>
      <c r="AD30" s="188" t="n">
        <f aca="false">AB30-(AC30*F30)</f>
        <v>0</v>
      </c>
      <c r="AE30" s="146" t="n">
        <f aca="false">IFERROR(ROUND(W30/AA30,-5)-(AC30*F30),0)</f>
        <v>0</v>
      </c>
      <c r="AF30" s="190" t="n">
        <f aca="false">IFERROR(AE30/F30,0)</f>
        <v>0</v>
      </c>
      <c r="AH30" s="191"/>
      <c r="AI30" s="148" t="n">
        <f aca="false">AC30*F30</f>
        <v>0</v>
      </c>
      <c r="AJ30" s="144" t="n">
        <f aca="false">IFERROR(+W30/$F30,0)</f>
        <v>0</v>
      </c>
    </row>
    <row r="31" customFormat="false" ht="14.25" hidden="false" customHeight="false" outlineLevel="0" collapsed="false">
      <c r="C31" s="176" t="n">
        <f aca="false">C30+1</f>
        <v>23</v>
      </c>
      <c r="D31" s="7" t="str">
        <f aca="false">IF(INDEX(Tape!$C$7:$C$36,$C31)="","",INDEX(Tape!$C$7:$C$36,$C31))</f>
        <v/>
      </c>
      <c r="E31" s="34" t="n">
        <f aca="false">IFERROR(INDEX(Tape!$O$7:$O$36,MATCH('UW Drivers'!$D31,Tape!$C$7:$C$36,0)),0)</f>
        <v>0</v>
      </c>
      <c r="F31" s="177" t="n">
        <f aca="true">IFERROR(INDIRECT("'" &amp; $C31 &amp; "'!" &amp; F$1),0)</f>
        <v>0</v>
      </c>
      <c r="G31" s="143" t="n">
        <f aca="true">IFERROR(INDIRECT("'" &amp; $C31 &amp; "'!" &amp; G$1),0)</f>
        <v>0</v>
      </c>
      <c r="H31" s="144" t="n">
        <f aca="true">IFERROR(INDIRECT("'" &amp; $C31 &amp; "'!" &amp; H$1),0)</f>
        <v>0</v>
      </c>
      <c r="I31" s="193" t="n">
        <f aca="true">IFERROR(INDIRECT("'" &amp; $C31 &amp; "'!" &amp; I$1),0)</f>
        <v>0</v>
      </c>
      <c r="J31" s="194" t="n">
        <f aca="true">IFERROR(INDIRECT("'" &amp; $C31 &amp; "'!" &amp; J$1),0)</f>
        <v>0</v>
      </c>
      <c r="K31" s="144" t="n">
        <f aca="true">IFERROR(INDIRECT("'" &amp; $C31 &amp; "'!" &amp; K$1),0)</f>
        <v>0</v>
      </c>
      <c r="L31" s="193" t="n">
        <f aca="true">IFERROR(INDIRECT("'" &amp; $C31 &amp; "'!" &amp; L$1),0)</f>
        <v>0</v>
      </c>
      <c r="M31" s="194" t="n">
        <f aca="true">IFERROR(INDIRECT("'" &amp; $C31 &amp; "'!" &amp; M$1),0)</f>
        <v>0</v>
      </c>
      <c r="N31" s="144" t="n">
        <f aca="true">IFERROR(INDIRECT("'" &amp; $C31 &amp; "'!" &amp; N$1),0)</f>
        <v>0</v>
      </c>
      <c r="O31" s="193" t="n">
        <f aca="true">IFERROR(INDIRECT("'" &amp; $C31 &amp; "'!" &amp; O$1),0)</f>
        <v>0</v>
      </c>
      <c r="P31" s="182" t="n">
        <f aca="false">J31</f>
        <v>0</v>
      </c>
      <c r="Q31" s="183" t="n">
        <f aca="false">K31</f>
        <v>0</v>
      </c>
      <c r="R31" s="144" t="n">
        <f aca="false">P31*Q31</f>
        <v>0</v>
      </c>
      <c r="S31" s="144" t="n">
        <f aca="true">IFERROR(INDIRECT("'" &amp; $C31 &amp; "'!" &amp; S$1),0)</f>
        <v>0</v>
      </c>
      <c r="T31" s="144" t="n">
        <f aca="true">IFERROR(INDIRECT("'" &amp; $C31 &amp; "'!" &amp; T$1),0)</f>
        <v>0</v>
      </c>
      <c r="U31" s="143" t="n">
        <f aca="true">IFERROR(INDIRECT("'" &amp; $C31 &amp; "'!" &amp; U$1),0)</f>
        <v>0</v>
      </c>
      <c r="V31" s="184" t="s">
        <v>122</v>
      </c>
      <c r="W31" s="144" t="n">
        <f aca="true">IFERROR(IF(V31="No",INDIRECT("'"&amp;$C31&amp;"'!"&amp;W$1),S31*Y31),0)</f>
        <v>0</v>
      </c>
      <c r="X31" s="185"/>
      <c r="Y31" s="186" t="n">
        <f aca="false">IF(X31&gt;0,X31,U31)</f>
        <v>0</v>
      </c>
      <c r="Z31" s="143" t="n">
        <f aca="false">IFERROR(W31/S31,0)</f>
        <v>0</v>
      </c>
      <c r="AA31" s="187"/>
      <c r="AB31" s="188" t="n">
        <f aca="false">IFERROR(ROUND(T31/AA31,-5),0)</f>
        <v>0</v>
      </c>
      <c r="AC31" s="189"/>
      <c r="AD31" s="188" t="n">
        <f aca="false">AB31-(AC31*F31)</f>
        <v>0</v>
      </c>
      <c r="AE31" s="146" t="n">
        <f aca="false">IFERROR(ROUND(W31/AA31,-5)-(AC31*F31),0)</f>
        <v>0</v>
      </c>
      <c r="AF31" s="190" t="n">
        <f aca="false">IFERROR(AE31/F31,0)</f>
        <v>0</v>
      </c>
      <c r="AH31" s="191"/>
      <c r="AI31" s="148" t="n">
        <f aca="false">AC31*F31</f>
        <v>0</v>
      </c>
      <c r="AJ31" s="144" t="n">
        <f aca="false">IFERROR(+W31/$F31,0)</f>
        <v>0</v>
      </c>
    </row>
    <row r="32" customFormat="false" ht="14.25" hidden="false" customHeight="false" outlineLevel="0" collapsed="false">
      <c r="C32" s="176" t="n">
        <f aca="false">C31+1</f>
        <v>24</v>
      </c>
      <c r="D32" s="7" t="str">
        <f aca="false">IF(INDEX(Tape!$C$7:$C$36,$C32)="","",INDEX(Tape!$C$7:$C$36,$C32))</f>
        <v/>
      </c>
      <c r="E32" s="34" t="n">
        <f aca="false">IFERROR(INDEX(Tape!$O$7:$O$36,MATCH('UW Drivers'!$D32,Tape!$C$7:$C$36,0)),0)</f>
        <v>0</v>
      </c>
      <c r="F32" s="177" t="n">
        <f aca="true">IFERROR(INDIRECT("'" &amp; $C32 &amp; "'!" &amp; F$1),0)</f>
        <v>0</v>
      </c>
      <c r="G32" s="143" t="n">
        <f aca="true">IFERROR(INDIRECT("'" &amp; $C32 &amp; "'!" &amp; G$1),0)</f>
        <v>0</v>
      </c>
      <c r="H32" s="144" t="n">
        <f aca="true">IFERROR(INDIRECT("'" &amp; $C32 &amp; "'!" &amp; H$1),0)</f>
        <v>0</v>
      </c>
      <c r="I32" s="193" t="n">
        <f aca="true">IFERROR(INDIRECT("'" &amp; $C32 &amp; "'!" &amp; I$1),0)</f>
        <v>0</v>
      </c>
      <c r="J32" s="194" t="n">
        <f aca="true">IFERROR(INDIRECT("'" &amp; $C32 &amp; "'!" &amp; J$1),0)</f>
        <v>0</v>
      </c>
      <c r="K32" s="144" t="n">
        <f aca="true">IFERROR(INDIRECT("'" &amp; $C32 &amp; "'!" &amp; K$1),0)</f>
        <v>0</v>
      </c>
      <c r="L32" s="193" t="n">
        <f aca="true">IFERROR(INDIRECT("'" &amp; $C32 &amp; "'!" &amp; L$1),0)</f>
        <v>0</v>
      </c>
      <c r="M32" s="194" t="n">
        <f aca="true">IFERROR(INDIRECT("'" &amp; $C32 &amp; "'!" &amp; M$1),0)</f>
        <v>0</v>
      </c>
      <c r="N32" s="144" t="n">
        <f aca="true">IFERROR(INDIRECT("'" &amp; $C32 &amp; "'!" &amp; N$1),0)</f>
        <v>0</v>
      </c>
      <c r="O32" s="193" t="n">
        <f aca="true">IFERROR(INDIRECT("'" &amp; $C32 &amp; "'!" &amp; O$1),0)</f>
        <v>0</v>
      </c>
      <c r="P32" s="182" t="n">
        <f aca="false">J32</f>
        <v>0</v>
      </c>
      <c r="Q32" s="183" t="n">
        <f aca="false">K32</f>
        <v>0</v>
      </c>
      <c r="R32" s="144" t="n">
        <f aca="false">P32*Q32</f>
        <v>0</v>
      </c>
      <c r="S32" s="144" t="n">
        <f aca="true">IFERROR(INDIRECT("'" &amp; $C32 &amp; "'!" &amp; S$1),0)</f>
        <v>0</v>
      </c>
      <c r="T32" s="144" t="n">
        <f aca="true">IFERROR(INDIRECT("'" &amp; $C32 &amp; "'!" &amp; T$1),0)</f>
        <v>0</v>
      </c>
      <c r="U32" s="143" t="n">
        <f aca="true">IFERROR(INDIRECT("'" &amp; $C32 &amp; "'!" &amp; U$1),0)</f>
        <v>0</v>
      </c>
      <c r="V32" s="184" t="s">
        <v>122</v>
      </c>
      <c r="W32" s="144" t="n">
        <f aca="true">IFERROR(IF(V32="No",INDIRECT("'"&amp;$C32&amp;"'!"&amp;W$1),S32*Y32),0)</f>
        <v>0</v>
      </c>
      <c r="X32" s="185"/>
      <c r="Y32" s="186" t="n">
        <f aca="false">IF(X32&gt;0,X32,U32)</f>
        <v>0</v>
      </c>
      <c r="Z32" s="143" t="n">
        <f aca="false">IFERROR(W32/S32,0)</f>
        <v>0</v>
      </c>
      <c r="AA32" s="187"/>
      <c r="AB32" s="188" t="n">
        <f aca="false">IFERROR(ROUND(T32/AA32,-5),0)</f>
        <v>0</v>
      </c>
      <c r="AC32" s="189"/>
      <c r="AD32" s="188" t="n">
        <f aca="false">AB32-(AC32*F32)</f>
        <v>0</v>
      </c>
      <c r="AE32" s="146" t="n">
        <f aca="false">IFERROR(ROUND(W32/AA32,-5)-(AC32*F32),0)</f>
        <v>0</v>
      </c>
      <c r="AF32" s="190" t="n">
        <f aca="false">IFERROR(AE32/F32,0)</f>
        <v>0</v>
      </c>
      <c r="AH32" s="191"/>
      <c r="AI32" s="148" t="n">
        <f aca="false">AC32*F32</f>
        <v>0</v>
      </c>
      <c r="AJ32" s="144" t="n">
        <f aca="false">IFERROR(+W32/$F32,0)</f>
        <v>0</v>
      </c>
    </row>
    <row r="33" customFormat="false" ht="14.25" hidden="false" customHeight="false" outlineLevel="0" collapsed="false">
      <c r="C33" s="176" t="n">
        <f aca="false">C32+1</f>
        <v>25</v>
      </c>
      <c r="D33" s="7" t="str">
        <f aca="false">IF(INDEX(Tape!$C$7:$C$36,$C33)="","",INDEX(Tape!$C$7:$C$36,$C33))</f>
        <v/>
      </c>
      <c r="E33" s="34" t="n">
        <f aca="false">IFERROR(INDEX(Tape!$O$7:$O$36,MATCH('UW Drivers'!$D33,Tape!$C$7:$C$36,0)),0)</f>
        <v>0</v>
      </c>
      <c r="F33" s="177" t="n">
        <f aca="true">IFERROR(INDIRECT("'" &amp; $C33 &amp; "'!" &amp; F$1),0)</f>
        <v>0</v>
      </c>
      <c r="G33" s="143" t="n">
        <f aca="true">IFERROR(INDIRECT("'" &amp; $C33 &amp; "'!" &amp; G$1),0)</f>
        <v>0</v>
      </c>
      <c r="H33" s="144" t="n">
        <f aca="true">IFERROR(INDIRECT("'" &amp; $C33 &amp; "'!" &amp; H$1),0)</f>
        <v>0</v>
      </c>
      <c r="I33" s="193" t="n">
        <f aca="true">IFERROR(INDIRECT("'" &amp; $C33 &amp; "'!" &amp; I$1),0)</f>
        <v>0</v>
      </c>
      <c r="J33" s="194" t="n">
        <f aca="true">IFERROR(INDIRECT("'" &amp; $C33 &amp; "'!" &amp; J$1),0)</f>
        <v>0</v>
      </c>
      <c r="K33" s="144" t="n">
        <f aca="true">IFERROR(INDIRECT("'" &amp; $C33 &amp; "'!" &amp; K$1),0)</f>
        <v>0</v>
      </c>
      <c r="L33" s="193" t="n">
        <f aca="true">IFERROR(INDIRECT("'" &amp; $C33 &amp; "'!" &amp; L$1),0)</f>
        <v>0</v>
      </c>
      <c r="M33" s="194" t="n">
        <f aca="true">IFERROR(INDIRECT("'" &amp; $C33 &amp; "'!" &amp; M$1),0)</f>
        <v>0</v>
      </c>
      <c r="N33" s="144" t="n">
        <f aca="true">IFERROR(INDIRECT("'" &amp; $C33 &amp; "'!" &amp; N$1),0)</f>
        <v>0</v>
      </c>
      <c r="O33" s="193" t="n">
        <f aca="true">IFERROR(INDIRECT("'" &amp; $C33 &amp; "'!" &amp; O$1),0)</f>
        <v>0</v>
      </c>
      <c r="P33" s="182" t="n">
        <f aca="false">J33</f>
        <v>0</v>
      </c>
      <c r="Q33" s="183" t="n">
        <f aca="false">K33</f>
        <v>0</v>
      </c>
      <c r="R33" s="144" t="n">
        <f aca="false">P33*Q33</f>
        <v>0</v>
      </c>
      <c r="S33" s="144" t="n">
        <f aca="true">IFERROR(INDIRECT("'" &amp; $C33 &amp; "'!" &amp; S$1),0)</f>
        <v>0</v>
      </c>
      <c r="T33" s="144" t="n">
        <f aca="true">IFERROR(INDIRECT("'" &amp; $C33 &amp; "'!" &amp; T$1),0)</f>
        <v>0</v>
      </c>
      <c r="U33" s="143" t="n">
        <f aca="true">IFERROR(INDIRECT("'" &amp; $C33 &amp; "'!" &amp; U$1),0)</f>
        <v>0</v>
      </c>
      <c r="V33" s="184" t="s">
        <v>122</v>
      </c>
      <c r="W33" s="144" t="n">
        <f aca="true">IFERROR(IF(V33="No",INDIRECT("'"&amp;$C33&amp;"'!"&amp;W$1),S33*Y33),0)</f>
        <v>0</v>
      </c>
      <c r="X33" s="185"/>
      <c r="Y33" s="186" t="n">
        <f aca="false">IF(X33&gt;0,X33,U33)</f>
        <v>0</v>
      </c>
      <c r="Z33" s="143" t="n">
        <f aca="false">IFERROR(W33/S33,0)</f>
        <v>0</v>
      </c>
      <c r="AA33" s="187"/>
      <c r="AB33" s="188" t="n">
        <f aca="false">IFERROR(ROUND(T33/AA33,-5),0)</f>
        <v>0</v>
      </c>
      <c r="AC33" s="189"/>
      <c r="AD33" s="188" t="n">
        <f aca="false">AB33-(AC33*F33)</f>
        <v>0</v>
      </c>
      <c r="AE33" s="146" t="n">
        <f aca="false">IFERROR(ROUND(W33/AA33,-5)-(AC33*F33),0)</f>
        <v>0</v>
      </c>
      <c r="AF33" s="190" t="n">
        <f aca="false">IFERROR(AE33/F33,0)</f>
        <v>0</v>
      </c>
      <c r="AH33" s="191"/>
      <c r="AI33" s="148" t="n">
        <f aca="false">AC33*F33</f>
        <v>0</v>
      </c>
      <c r="AJ33" s="144" t="n">
        <f aca="false">IFERROR(+W33/$F33,0)</f>
        <v>0</v>
      </c>
    </row>
    <row r="34" customFormat="false" ht="14.25" hidden="false" customHeight="false" outlineLevel="0" collapsed="false">
      <c r="C34" s="176" t="n">
        <f aca="false">C33+1</f>
        <v>26</v>
      </c>
      <c r="D34" s="7" t="str">
        <f aca="false">IF(INDEX(Tape!$C$7:$C$36,$C34)="","",INDEX(Tape!$C$7:$C$36,$C34))</f>
        <v/>
      </c>
      <c r="E34" s="34" t="n">
        <f aca="false">IFERROR(INDEX(Tape!$O$7:$O$36,MATCH('UW Drivers'!$D34,Tape!$C$7:$C$36,0)),0)</f>
        <v>0</v>
      </c>
      <c r="F34" s="177" t="n">
        <f aca="true">IFERROR(INDIRECT("'" &amp; $C34 &amp; "'!" &amp; F$1),0)</f>
        <v>0</v>
      </c>
      <c r="G34" s="143" t="n">
        <f aca="true">IFERROR(INDIRECT("'" &amp; $C34 &amp; "'!" &amp; G$1),0)</f>
        <v>0</v>
      </c>
      <c r="H34" s="144" t="n">
        <f aca="true">IFERROR(INDIRECT("'" &amp; $C34 &amp; "'!" &amp; H$1),0)</f>
        <v>0</v>
      </c>
      <c r="I34" s="193" t="n">
        <f aca="true">IFERROR(INDIRECT("'" &amp; $C34 &amp; "'!" &amp; I$1),0)</f>
        <v>0</v>
      </c>
      <c r="J34" s="194" t="n">
        <f aca="true">IFERROR(INDIRECT("'" &amp; $C34 &amp; "'!" &amp; J$1),0)</f>
        <v>0</v>
      </c>
      <c r="K34" s="144" t="n">
        <f aca="true">IFERROR(INDIRECT("'" &amp; $C34 &amp; "'!" &amp; K$1),0)</f>
        <v>0</v>
      </c>
      <c r="L34" s="193" t="n">
        <f aca="true">IFERROR(INDIRECT("'" &amp; $C34 &amp; "'!" &amp; L$1),0)</f>
        <v>0</v>
      </c>
      <c r="M34" s="194" t="n">
        <f aca="true">IFERROR(INDIRECT("'" &amp; $C34 &amp; "'!" &amp; M$1),0)</f>
        <v>0</v>
      </c>
      <c r="N34" s="144" t="n">
        <f aca="true">IFERROR(INDIRECT("'" &amp; $C34 &amp; "'!" &amp; N$1),0)</f>
        <v>0</v>
      </c>
      <c r="O34" s="193" t="n">
        <f aca="true">IFERROR(INDIRECT("'" &amp; $C34 &amp; "'!" &amp; O$1),0)</f>
        <v>0</v>
      </c>
      <c r="P34" s="182" t="n">
        <f aca="false">J34</f>
        <v>0</v>
      </c>
      <c r="Q34" s="183" t="n">
        <f aca="false">K34</f>
        <v>0</v>
      </c>
      <c r="R34" s="144" t="n">
        <f aca="false">P34*Q34</f>
        <v>0</v>
      </c>
      <c r="S34" s="144" t="n">
        <f aca="true">IFERROR(INDIRECT("'" &amp; $C34 &amp; "'!" &amp; S$1),0)</f>
        <v>0</v>
      </c>
      <c r="T34" s="144" t="n">
        <f aca="true">IFERROR(INDIRECT("'" &amp; $C34 &amp; "'!" &amp; T$1),0)</f>
        <v>0</v>
      </c>
      <c r="U34" s="143" t="n">
        <f aca="true">IFERROR(INDIRECT("'" &amp; $C34 &amp; "'!" &amp; U$1),0)</f>
        <v>0</v>
      </c>
      <c r="V34" s="184" t="s">
        <v>122</v>
      </c>
      <c r="W34" s="144" t="n">
        <f aca="true">IFERROR(IF(V34="No",INDIRECT("'"&amp;$C34&amp;"'!"&amp;W$1),S34*Y34),0)</f>
        <v>0</v>
      </c>
      <c r="X34" s="185"/>
      <c r="Y34" s="186" t="n">
        <f aca="false">IF(X34&gt;0,X34,U34)</f>
        <v>0</v>
      </c>
      <c r="Z34" s="143" t="n">
        <f aca="false">IFERROR(W34/S34,0)</f>
        <v>0</v>
      </c>
      <c r="AA34" s="187"/>
      <c r="AB34" s="188" t="n">
        <f aca="false">IFERROR(ROUND(T34/AA34,-5),0)</f>
        <v>0</v>
      </c>
      <c r="AC34" s="189"/>
      <c r="AD34" s="188" t="n">
        <f aca="false">AB34-(AC34*F34)</f>
        <v>0</v>
      </c>
      <c r="AE34" s="146" t="n">
        <f aca="false">IFERROR(ROUND(W34/AA34,-5)-(AC34*F34),0)</f>
        <v>0</v>
      </c>
      <c r="AF34" s="190" t="n">
        <f aca="false">IFERROR(AE34/F34,0)</f>
        <v>0</v>
      </c>
      <c r="AH34" s="191"/>
      <c r="AI34" s="148" t="n">
        <f aca="false">AC34*F34</f>
        <v>0</v>
      </c>
      <c r="AJ34" s="144" t="n">
        <f aca="false">IFERROR(+W34/$F34,0)</f>
        <v>0</v>
      </c>
    </row>
    <row r="35" customFormat="false" ht="14.25" hidden="false" customHeight="false" outlineLevel="0" collapsed="false">
      <c r="C35" s="176" t="n">
        <f aca="false">C34+1</f>
        <v>27</v>
      </c>
      <c r="D35" s="7" t="str">
        <f aca="false">IF(INDEX(Tape!$C$7:$C$36,$C35)="","",INDEX(Tape!$C$7:$C$36,$C35))</f>
        <v/>
      </c>
      <c r="E35" s="34" t="n">
        <f aca="false">IFERROR(INDEX(Tape!$O$7:$O$36,MATCH('UW Drivers'!$D35,Tape!$C$7:$C$36,0)),0)</f>
        <v>0</v>
      </c>
      <c r="F35" s="177" t="n">
        <f aca="true">IFERROR(INDIRECT("'" &amp; $C35 &amp; "'!" &amp; F$1),0)</f>
        <v>0</v>
      </c>
      <c r="G35" s="143" t="n">
        <f aca="true">IFERROR(INDIRECT("'" &amp; $C35 &amp; "'!" &amp; G$1),0)</f>
        <v>0</v>
      </c>
      <c r="H35" s="144" t="n">
        <f aca="true">IFERROR(INDIRECT("'" &amp; $C35 &amp; "'!" &amp; H$1),0)</f>
        <v>0</v>
      </c>
      <c r="I35" s="193" t="n">
        <f aca="true">IFERROR(INDIRECT("'" &amp; $C35 &amp; "'!" &amp; I$1),0)</f>
        <v>0</v>
      </c>
      <c r="J35" s="194" t="n">
        <f aca="true">IFERROR(INDIRECT("'" &amp; $C35 &amp; "'!" &amp; J$1),0)</f>
        <v>0</v>
      </c>
      <c r="K35" s="144" t="n">
        <f aca="true">IFERROR(INDIRECT("'" &amp; $C35 &amp; "'!" &amp; K$1),0)</f>
        <v>0</v>
      </c>
      <c r="L35" s="193" t="n">
        <f aca="true">IFERROR(INDIRECT("'" &amp; $C35 &amp; "'!" &amp; L$1),0)</f>
        <v>0</v>
      </c>
      <c r="M35" s="194" t="n">
        <f aca="true">IFERROR(INDIRECT("'" &amp; $C35 &amp; "'!" &amp; M$1),0)</f>
        <v>0</v>
      </c>
      <c r="N35" s="144" t="n">
        <f aca="true">IFERROR(INDIRECT("'" &amp; $C35 &amp; "'!" &amp; N$1),0)</f>
        <v>0</v>
      </c>
      <c r="O35" s="193" t="n">
        <f aca="true">IFERROR(INDIRECT("'" &amp; $C35 &amp; "'!" &amp; O$1),0)</f>
        <v>0</v>
      </c>
      <c r="P35" s="182" t="n">
        <f aca="false">J35</f>
        <v>0</v>
      </c>
      <c r="Q35" s="183" t="n">
        <f aca="false">K35</f>
        <v>0</v>
      </c>
      <c r="R35" s="144" t="n">
        <f aca="false">P35*Q35</f>
        <v>0</v>
      </c>
      <c r="S35" s="144" t="n">
        <f aca="true">IFERROR(INDIRECT("'" &amp; $C35 &amp; "'!" &amp; S$1),0)</f>
        <v>0</v>
      </c>
      <c r="T35" s="144" t="n">
        <f aca="true">IFERROR(INDIRECT("'" &amp; $C35 &amp; "'!" &amp; T$1),0)</f>
        <v>0</v>
      </c>
      <c r="U35" s="143" t="n">
        <f aca="true">IFERROR(INDIRECT("'" &amp; $C35 &amp; "'!" &amp; U$1),0)</f>
        <v>0</v>
      </c>
      <c r="V35" s="184" t="s">
        <v>122</v>
      </c>
      <c r="W35" s="144" t="n">
        <f aca="true">IFERROR(IF(V35="No",INDIRECT("'"&amp;$C35&amp;"'!"&amp;W$1),S35*Y35),0)</f>
        <v>0</v>
      </c>
      <c r="X35" s="185"/>
      <c r="Y35" s="186" t="n">
        <f aca="false">IF(X35&gt;0,X35,U35)</f>
        <v>0</v>
      </c>
      <c r="Z35" s="143" t="n">
        <f aca="false">IFERROR(W35/S35,0)</f>
        <v>0</v>
      </c>
      <c r="AA35" s="187"/>
      <c r="AB35" s="188" t="n">
        <f aca="false">IFERROR(ROUND(T35/AA35,-5),0)</f>
        <v>0</v>
      </c>
      <c r="AC35" s="189"/>
      <c r="AD35" s="188" t="n">
        <f aca="false">AB35-(AC35*F35)</f>
        <v>0</v>
      </c>
      <c r="AE35" s="146" t="n">
        <f aca="false">IFERROR(ROUND(W35/AA35,-5)-(AC35*F35),0)</f>
        <v>0</v>
      </c>
      <c r="AF35" s="190" t="n">
        <f aca="false">IFERROR(AE35/F35,0)</f>
        <v>0</v>
      </c>
      <c r="AH35" s="191"/>
      <c r="AI35" s="148" t="n">
        <f aca="false">AC35*F35</f>
        <v>0</v>
      </c>
      <c r="AJ35" s="144" t="n">
        <f aca="false">IFERROR(+W35/$F35,0)</f>
        <v>0</v>
      </c>
    </row>
    <row r="36" customFormat="false" ht="14.25" hidden="false" customHeight="false" outlineLevel="0" collapsed="false">
      <c r="C36" s="176" t="n">
        <f aca="false">C35+1</f>
        <v>28</v>
      </c>
      <c r="D36" s="7" t="str">
        <f aca="false">IF(INDEX(Tape!$C$7:$C$36,$C36)="","",INDEX(Tape!$C$7:$C$36,$C36))</f>
        <v/>
      </c>
      <c r="E36" s="34" t="n">
        <f aca="false">IFERROR(INDEX(Tape!$O$7:$O$36,MATCH('UW Drivers'!$D36,Tape!$C$7:$C$36,0)),0)</f>
        <v>0</v>
      </c>
      <c r="F36" s="177" t="n">
        <f aca="true">IFERROR(INDIRECT("'" &amp; $C36 &amp; "'!" &amp; F$1),0)</f>
        <v>0</v>
      </c>
      <c r="G36" s="143" t="n">
        <f aca="true">IFERROR(INDIRECT("'" &amp; $C36 &amp; "'!" &amp; G$1),0)</f>
        <v>0</v>
      </c>
      <c r="H36" s="144" t="n">
        <f aca="true">IFERROR(INDIRECT("'" &amp; $C36 &amp; "'!" &amp; H$1),0)</f>
        <v>0</v>
      </c>
      <c r="I36" s="193" t="n">
        <f aca="true">IFERROR(INDIRECT("'" &amp; $C36 &amp; "'!" &amp; I$1),0)</f>
        <v>0</v>
      </c>
      <c r="J36" s="194" t="n">
        <f aca="true">IFERROR(INDIRECT("'" &amp; $C36 &amp; "'!" &amp; J$1),0)</f>
        <v>0</v>
      </c>
      <c r="K36" s="144" t="n">
        <f aca="true">IFERROR(INDIRECT("'" &amp; $C36 &amp; "'!" &amp; K$1),0)</f>
        <v>0</v>
      </c>
      <c r="L36" s="193" t="n">
        <f aca="true">IFERROR(INDIRECT("'" &amp; $C36 &amp; "'!" &amp; L$1),0)</f>
        <v>0</v>
      </c>
      <c r="M36" s="194" t="n">
        <f aca="true">IFERROR(INDIRECT("'" &amp; $C36 &amp; "'!" &amp; M$1),0)</f>
        <v>0</v>
      </c>
      <c r="N36" s="144" t="n">
        <f aca="true">IFERROR(INDIRECT("'" &amp; $C36 &amp; "'!" &amp; N$1),0)</f>
        <v>0</v>
      </c>
      <c r="O36" s="193" t="n">
        <f aca="true">IFERROR(INDIRECT("'" &amp; $C36 &amp; "'!" &amp; O$1),0)</f>
        <v>0</v>
      </c>
      <c r="P36" s="182" t="n">
        <f aca="false">J36</f>
        <v>0</v>
      </c>
      <c r="Q36" s="183" t="n">
        <f aca="false">K36</f>
        <v>0</v>
      </c>
      <c r="R36" s="144" t="n">
        <f aca="false">P36*Q36</f>
        <v>0</v>
      </c>
      <c r="S36" s="144" t="n">
        <f aca="true">IFERROR(INDIRECT("'" &amp; $C36 &amp; "'!" &amp; S$1),0)</f>
        <v>0</v>
      </c>
      <c r="T36" s="144" t="n">
        <f aca="true">IFERROR(INDIRECT("'" &amp; $C36 &amp; "'!" &amp; T$1),0)</f>
        <v>0</v>
      </c>
      <c r="U36" s="143" t="n">
        <f aca="true">IFERROR(INDIRECT("'" &amp; $C36 &amp; "'!" &amp; U$1),0)</f>
        <v>0</v>
      </c>
      <c r="V36" s="184" t="s">
        <v>122</v>
      </c>
      <c r="W36" s="144" t="n">
        <f aca="true">IFERROR(IF(V36="No",INDIRECT("'"&amp;$C36&amp;"'!"&amp;W$1),S36*Y36),0)</f>
        <v>0</v>
      </c>
      <c r="X36" s="185"/>
      <c r="Y36" s="186" t="n">
        <f aca="false">IF(X36&gt;0,X36,U36)</f>
        <v>0</v>
      </c>
      <c r="Z36" s="143" t="n">
        <f aca="false">IFERROR(W36/S36,0)</f>
        <v>0</v>
      </c>
      <c r="AA36" s="187"/>
      <c r="AB36" s="188" t="n">
        <f aca="false">IFERROR(ROUND(T36/AA36,-5),0)</f>
        <v>0</v>
      </c>
      <c r="AC36" s="189"/>
      <c r="AD36" s="188" t="n">
        <f aca="false">AB36-(AC36*F36)</f>
        <v>0</v>
      </c>
      <c r="AE36" s="146" t="n">
        <f aca="false">IFERROR(ROUND(W36/AA36,-5)-(AC36*F36),0)</f>
        <v>0</v>
      </c>
      <c r="AF36" s="190" t="n">
        <f aca="false">IFERROR(AE36/F36,0)</f>
        <v>0</v>
      </c>
      <c r="AH36" s="191"/>
      <c r="AI36" s="148" t="n">
        <f aca="false">AC36*F36</f>
        <v>0</v>
      </c>
      <c r="AJ36" s="144" t="n">
        <f aca="false">IFERROR(+W36/$F36,0)</f>
        <v>0</v>
      </c>
    </row>
    <row r="37" customFormat="false" ht="14.25" hidden="false" customHeight="false" outlineLevel="0" collapsed="false">
      <c r="C37" s="176" t="n">
        <f aca="false">C36+1</f>
        <v>29</v>
      </c>
      <c r="D37" s="7" t="str">
        <f aca="false">IF(INDEX(Tape!$C$7:$C$36,$C37)="","",INDEX(Tape!$C$7:$C$36,$C37))</f>
        <v/>
      </c>
      <c r="E37" s="34" t="n">
        <f aca="false">IFERROR(INDEX(Tape!$O$7:$O$36,MATCH('UW Drivers'!$D37,Tape!$C$7:$C$36,0)),0)</f>
        <v>0</v>
      </c>
      <c r="F37" s="177" t="n">
        <f aca="true">IFERROR(INDIRECT("'" &amp; $C37 &amp; "'!" &amp; F$1),0)</f>
        <v>0</v>
      </c>
      <c r="G37" s="143" t="n">
        <f aca="true">IFERROR(INDIRECT("'" &amp; $C37 &amp; "'!" &amp; G$1),0)</f>
        <v>0</v>
      </c>
      <c r="H37" s="144" t="n">
        <f aca="true">IFERROR(INDIRECT("'" &amp; $C37 &amp; "'!" &amp; H$1),0)</f>
        <v>0</v>
      </c>
      <c r="I37" s="193" t="n">
        <f aca="true">IFERROR(INDIRECT("'" &amp; $C37 &amp; "'!" &amp; I$1),0)</f>
        <v>0</v>
      </c>
      <c r="J37" s="194" t="n">
        <f aca="true">IFERROR(INDIRECT("'" &amp; $C37 &amp; "'!" &amp; J$1),0)</f>
        <v>0</v>
      </c>
      <c r="K37" s="144" t="n">
        <f aca="true">IFERROR(INDIRECT("'" &amp; $C37 &amp; "'!" &amp; K$1),0)</f>
        <v>0</v>
      </c>
      <c r="L37" s="193" t="n">
        <f aca="true">IFERROR(INDIRECT("'" &amp; $C37 &amp; "'!" &amp; L$1),0)</f>
        <v>0</v>
      </c>
      <c r="M37" s="194" t="n">
        <f aca="true">IFERROR(INDIRECT("'" &amp; $C37 &amp; "'!" &amp; M$1),0)</f>
        <v>0</v>
      </c>
      <c r="N37" s="144" t="n">
        <f aca="true">IFERROR(INDIRECT("'" &amp; $C37 &amp; "'!" &amp; N$1),0)</f>
        <v>0</v>
      </c>
      <c r="O37" s="193" t="n">
        <f aca="true">IFERROR(INDIRECT("'" &amp; $C37 &amp; "'!" &amp; O$1),0)</f>
        <v>0</v>
      </c>
      <c r="P37" s="182" t="n">
        <f aca="false">J37</f>
        <v>0</v>
      </c>
      <c r="Q37" s="183" t="n">
        <f aca="false">K37</f>
        <v>0</v>
      </c>
      <c r="R37" s="144" t="n">
        <f aca="false">P37*Q37</f>
        <v>0</v>
      </c>
      <c r="S37" s="144" t="n">
        <f aca="true">IFERROR(INDIRECT("'" &amp; $C37 &amp; "'!" &amp; S$1),0)</f>
        <v>0</v>
      </c>
      <c r="T37" s="144" t="n">
        <f aca="true">IFERROR(INDIRECT("'" &amp; $C37 &amp; "'!" &amp; T$1),0)</f>
        <v>0</v>
      </c>
      <c r="U37" s="143" t="n">
        <f aca="true">IFERROR(INDIRECT("'" &amp; $C37 &amp; "'!" &amp; U$1),0)</f>
        <v>0</v>
      </c>
      <c r="V37" s="184" t="s">
        <v>122</v>
      </c>
      <c r="W37" s="144" t="n">
        <f aca="true">IFERROR(IF(V37="No",INDIRECT("'"&amp;$C37&amp;"'!"&amp;W$1),S37*Y37),0)</f>
        <v>0</v>
      </c>
      <c r="X37" s="185"/>
      <c r="Y37" s="186" t="n">
        <f aca="false">IF(X37&gt;0,X37,U37)</f>
        <v>0</v>
      </c>
      <c r="Z37" s="143" t="n">
        <f aca="false">IFERROR(W37/S37,0)</f>
        <v>0</v>
      </c>
      <c r="AA37" s="187"/>
      <c r="AB37" s="188" t="n">
        <f aca="false">IFERROR(ROUND(T37/AA37,-5),0)</f>
        <v>0</v>
      </c>
      <c r="AC37" s="189"/>
      <c r="AD37" s="188" t="n">
        <f aca="false">AB37-(AC37*F37)</f>
        <v>0</v>
      </c>
      <c r="AE37" s="146" t="n">
        <f aca="false">IFERROR(ROUND(W37/AA37,-5)-(AC37*F37),0)</f>
        <v>0</v>
      </c>
      <c r="AF37" s="190" t="n">
        <f aca="false">IFERROR(AE37/F37,0)</f>
        <v>0</v>
      </c>
      <c r="AH37" s="191"/>
      <c r="AI37" s="148" t="n">
        <f aca="false">AC37*F37</f>
        <v>0</v>
      </c>
      <c r="AJ37" s="144" t="n">
        <f aca="false">IFERROR(+W37/$F37,0)</f>
        <v>0</v>
      </c>
    </row>
    <row r="38" customFormat="false" ht="14.25" hidden="false" customHeight="false" outlineLevel="0" collapsed="false">
      <c r="C38" s="199" t="n">
        <f aca="false">C37+1</f>
        <v>30</v>
      </c>
      <c r="D38" s="116" t="str">
        <f aca="false">IF(INDEX(Tape!$C$7:$C$36,$C38)="","",INDEX(Tape!$C$7:$C$36,$C38))</f>
        <v/>
      </c>
      <c r="E38" s="200" t="n">
        <f aca="false">IFERROR(INDEX(Tape!$O$7:$O$36,MATCH('UW Drivers'!$D38,Tape!$C$7:$C$36,0)),0)</f>
        <v>0</v>
      </c>
      <c r="F38" s="201" t="n">
        <f aca="true">IFERROR(INDIRECT("'" &amp; $C38 &amp; "'!" &amp; F$1),0)</f>
        <v>0</v>
      </c>
      <c r="G38" s="202" t="n">
        <f aca="true">IFERROR(INDIRECT("'" &amp; $C38 &amp; "'!" &amp; G$1),0)</f>
        <v>0</v>
      </c>
      <c r="H38" s="203" t="n">
        <f aca="true">IFERROR(INDIRECT("'" &amp; $C38 &amp; "'!" &amp; H$1),0)</f>
        <v>0</v>
      </c>
      <c r="I38" s="204" t="n">
        <f aca="true">IFERROR(INDIRECT("'" &amp; $C38 &amp; "'!" &amp; I$1),0)</f>
        <v>0</v>
      </c>
      <c r="J38" s="205" t="n">
        <f aca="true">IFERROR(INDIRECT("'" &amp; $C38 &amp; "'!" &amp; J$1),0)</f>
        <v>0</v>
      </c>
      <c r="K38" s="203" t="n">
        <f aca="true">IFERROR(INDIRECT("'" &amp; $C38 &amp; "'!" &amp; K$1),0)</f>
        <v>0</v>
      </c>
      <c r="L38" s="204" t="n">
        <f aca="true">IFERROR(INDIRECT("'" &amp; $C38 &amp; "'!" &amp; L$1),0)</f>
        <v>0</v>
      </c>
      <c r="M38" s="205" t="n">
        <f aca="true">IFERROR(INDIRECT("'" &amp; $C38 &amp; "'!" &amp; M$1),0)</f>
        <v>0</v>
      </c>
      <c r="N38" s="203" t="n">
        <f aca="true">IFERROR(INDIRECT("'" &amp; $C38 &amp; "'!" &amp; N$1),0)</f>
        <v>0</v>
      </c>
      <c r="O38" s="204" t="n">
        <f aca="true">IFERROR(INDIRECT("'" &amp; $C38 &amp; "'!" &amp; O$1),0)</f>
        <v>0</v>
      </c>
      <c r="P38" s="206" t="n">
        <f aca="false">J38</f>
        <v>0</v>
      </c>
      <c r="Q38" s="207" t="n">
        <f aca="false">K38</f>
        <v>0</v>
      </c>
      <c r="R38" s="203" t="n">
        <f aca="false">P38*Q38</f>
        <v>0</v>
      </c>
      <c r="S38" s="203" t="n">
        <f aca="true">IFERROR(INDIRECT("'" &amp; $C38 &amp; "'!" &amp; S$1),0)</f>
        <v>0</v>
      </c>
      <c r="T38" s="144" t="n">
        <f aca="true">IFERROR(INDIRECT("'" &amp; $C38 &amp; "'!" &amp; T$1),0)</f>
        <v>0</v>
      </c>
      <c r="U38" s="202" t="n">
        <f aca="true">IFERROR(INDIRECT("'" &amp; $C38 &amp; "'!" &amp; U$1),0)</f>
        <v>0</v>
      </c>
      <c r="V38" s="184" t="s">
        <v>122</v>
      </c>
      <c r="W38" s="203" t="n">
        <f aca="true">IFERROR(IF(V38="No",INDIRECT("'"&amp;$C38&amp;"'!"&amp;W$1),S38*Y38),0)</f>
        <v>0</v>
      </c>
      <c r="X38" s="185"/>
      <c r="Y38" s="186" t="n">
        <f aca="false">IF(X38&gt;0,X38,U38)</f>
        <v>0</v>
      </c>
      <c r="Z38" s="202" t="n">
        <f aca="false">IFERROR(W38/S38,0)</f>
        <v>0</v>
      </c>
      <c r="AA38" s="208"/>
      <c r="AB38" s="188" t="n">
        <f aca="false">IFERROR(ROUND(T38/AA38,-5),0)</f>
        <v>0</v>
      </c>
      <c r="AC38" s="189"/>
      <c r="AD38" s="188" t="n">
        <f aca="false">AB38-(AC38*F38)</f>
        <v>0</v>
      </c>
      <c r="AE38" s="146" t="n">
        <f aca="false">IFERROR(ROUND(W38/AA38,-5)-(AC38*F38),0)</f>
        <v>0</v>
      </c>
      <c r="AF38" s="209" t="n">
        <f aca="false">IFERROR(AE38/F38,0)</f>
        <v>0</v>
      </c>
      <c r="AH38" s="195"/>
      <c r="AI38" s="148" t="n">
        <f aca="false">AC38*F38</f>
        <v>0</v>
      </c>
      <c r="AJ38" s="144" t="n">
        <f aca="false">IFERROR(+W38/$F38,0)</f>
        <v>0</v>
      </c>
    </row>
    <row r="39" customFormat="false" ht="14.25" hidden="false" customHeight="false" outlineLevel="0" collapsed="false">
      <c r="C39" s="10"/>
      <c r="D39" s="10"/>
      <c r="E39" s="10"/>
      <c r="F39" s="10"/>
      <c r="G39" s="10"/>
      <c r="H39" s="10"/>
      <c r="I39" s="10"/>
      <c r="J39" s="10"/>
      <c r="K39" s="10"/>
      <c r="T39" s="210"/>
      <c r="X39" s="147"/>
      <c r="Y39" s="211"/>
      <c r="Z39" s="147"/>
      <c r="AB39" s="148"/>
      <c r="AC39" s="148"/>
      <c r="AD39" s="148"/>
      <c r="AE39" s="149"/>
      <c r="AF39" s="149"/>
    </row>
    <row r="40" customFormat="false" ht="14.25" hidden="false" customHeight="false" outlineLevel="0" collapsed="false">
      <c r="C40" s="10"/>
      <c r="D40" s="10"/>
      <c r="E40" s="10"/>
      <c r="F40" s="212" t="n">
        <f aca="false">SUM(F9:F38)</f>
        <v>0</v>
      </c>
      <c r="G40" s="10"/>
      <c r="H40" s="10"/>
      <c r="I40" s="10"/>
      <c r="J40" s="94" t="n">
        <f aca="false">IFERROR(SUMPRODUCT(J9:J38,$F$9:$F$38)/SUM($F$9:$F$38),0)</f>
        <v>0</v>
      </c>
      <c r="K40" s="213" t="n">
        <f aca="false">IFERROR(SUMPRODUCT(K9:K38,$F$9:$F$38)/SUM($F$9:$F$38),0)</f>
        <v>0</v>
      </c>
      <c r="L40" s="213" t="n">
        <f aca="false">IFERROR(SUMPRODUCT(L9:L38,$F$9:$F$38)/SUM($F$9:$F$38),0)</f>
        <v>0</v>
      </c>
      <c r="T40" s="148" t="n">
        <f aca="false">SUM(T9:T38)</f>
        <v>0</v>
      </c>
      <c r="U40" s="7" t="n">
        <f aca="false">SUMPRODUCT(U9:U38,S9:S38)</f>
        <v>0</v>
      </c>
      <c r="W40" s="146" t="n">
        <f aca="false">SUM(W9:W38)</f>
        <v>0</v>
      </c>
      <c r="X40" s="147" t="s">
        <v>123</v>
      </c>
      <c r="Y40" s="147" t="s">
        <v>123</v>
      </c>
      <c r="Z40" s="147" t="s">
        <v>123</v>
      </c>
      <c r="AA40" s="145" t="n">
        <f aca="false">MIN(AA9:AA38)</f>
        <v>0</v>
      </c>
      <c r="AB40" s="146" t="n">
        <f aca="false">SUM(AB9:AB38)</f>
        <v>0</v>
      </c>
      <c r="AC40" s="146"/>
      <c r="AD40" s="146" t="n">
        <f aca="false">SUM(AD9:AD38)</f>
        <v>0</v>
      </c>
      <c r="AE40" s="146" t="n">
        <f aca="false">SUM(AE9:AE38)</f>
        <v>0</v>
      </c>
      <c r="AF40" s="149"/>
      <c r="AI40" s="148" t="n">
        <f aca="false">SUM(AI9:AI38)</f>
        <v>0</v>
      </c>
    </row>
    <row r="41" customFormat="false" ht="14.25" hidden="false" customHeight="false" outlineLevel="0" collapsed="false">
      <c r="C41" s="10"/>
      <c r="D41" s="10"/>
      <c r="E41" s="10"/>
      <c r="F41" s="10"/>
      <c r="G41" s="10"/>
      <c r="H41" s="10"/>
      <c r="I41" s="10"/>
      <c r="J41" s="10"/>
      <c r="K41" s="10"/>
      <c r="U41" s="148" t="n">
        <f aca="false">U40-W40</f>
        <v>0</v>
      </c>
      <c r="W41" s="186" t="n">
        <f aca="false">IFERROR('UW Drivers'!W40/'Cap Stack Control'!$D$17,0)</f>
        <v>0</v>
      </c>
      <c r="X41" s="7" t="s">
        <v>124</v>
      </c>
      <c r="Y41" s="7" t="s">
        <v>124</v>
      </c>
      <c r="Z41" s="7" t="s">
        <v>124</v>
      </c>
      <c r="AA41" s="145" t="n">
        <f aca="false">MAX(AA9:AA38)</f>
        <v>0</v>
      </c>
      <c r="AB41" s="186" t="n">
        <f aca="false">IFERROR('Cap Stack Control'!$D$17/'UW Drivers'!AB40,0)</f>
        <v>0</v>
      </c>
      <c r="AC41" s="186"/>
      <c r="AD41" s="186" t="n">
        <f aca="false">AD40+'Cap Stack Control'!$D$12</f>
        <v>0</v>
      </c>
      <c r="AE41" s="186" t="n">
        <f aca="false">IFERROR('Cap Stack Control'!$D$17/'UW Drivers'!AE40,0)</f>
        <v>0</v>
      </c>
    </row>
    <row r="42" customFormat="false" ht="14.25" hidden="false" customHeight="false" outlineLevel="0" collapsed="false">
      <c r="C42" s="10"/>
      <c r="D42" s="10"/>
      <c r="E42" s="10"/>
      <c r="F42" s="10"/>
      <c r="G42" s="10"/>
      <c r="H42" s="10"/>
      <c r="I42" s="10"/>
      <c r="J42" s="10"/>
      <c r="K42" s="10"/>
      <c r="X42" s="7" t="s">
        <v>125</v>
      </c>
      <c r="Y42" s="7" t="s">
        <v>125</v>
      </c>
      <c r="Z42" s="7" t="s">
        <v>125</v>
      </c>
      <c r="AA42" s="145" t="n">
        <f aca="false">IFERROR(SUMPRODUCT(AA9:AA38,AB9:AB38)/AB40,0)</f>
        <v>0</v>
      </c>
      <c r="AD42" s="186" t="n">
        <f aca="false">IFERROR('Cap Stack Control'!$D$17/'UW Drivers'!AD41,0)</f>
        <v>0</v>
      </c>
    </row>
    <row r="43" customFormat="false" ht="14.25" hidden="false" customHeight="false" outlineLevel="0" collapsed="false">
      <c r="C43" s="10"/>
      <c r="D43" s="10"/>
      <c r="E43" s="10"/>
      <c r="F43" s="10"/>
      <c r="G43" s="10"/>
      <c r="H43" s="10"/>
      <c r="I43" s="10"/>
      <c r="J43" s="10"/>
      <c r="K43" s="10"/>
      <c r="AE43" s="214" t="n">
        <f aca="false">AE40+'Cap Stack Control'!$D$12</f>
        <v>0</v>
      </c>
    </row>
    <row r="44" customFormat="false" ht="14.25" hidden="false" customHeight="false" outlineLevel="0" collapsed="false">
      <c r="C44" s="10"/>
      <c r="D44" s="10"/>
      <c r="E44" s="10"/>
      <c r="F44" s="10"/>
      <c r="G44" s="10"/>
      <c r="H44" s="10"/>
      <c r="I44" s="10"/>
      <c r="J44" s="10"/>
      <c r="K44" s="10"/>
      <c r="AE44" s="142" t="n">
        <f aca="false">IFERROR('Cap Stack Control'!$D$17/AE43,0)</f>
        <v>0</v>
      </c>
    </row>
    <row r="45" customFormat="false" ht="14.25" hidden="false" customHeight="false" outlineLevel="0" collapsed="false">
      <c r="C45" s="10"/>
      <c r="D45" s="10"/>
      <c r="E45" s="10"/>
      <c r="F45" s="10"/>
      <c r="G45" s="10"/>
      <c r="H45" s="10"/>
      <c r="I45" s="10"/>
      <c r="J45" s="10"/>
      <c r="K45" s="10"/>
      <c r="AA45" s="215"/>
    </row>
    <row r="46" customFormat="false" ht="14.25" hidden="false" customHeight="false" outlineLevel="0" collapsed="false">
      <c r="C46" s="10"/>
      <c r="D46" s="10"/>
      <c r="E46" s="10"/>
      <c r="F46" s="10"/>
      <c r="G46" s="10"/>
      <c r="H46" s="10"/>
      <c r="I46" s="10"/>
      <c r="J46" s="10"/>
      <c r="K46" s="10"/>
    </row>
    <row r="47" customFormat="false" ht="14.25" hidden="false" customHeight="false" outlineLevel="0" collapsed="false">
      <c r="C47" s="10"/>
      <c r="D47" s="10"/>
      <c r="E47" s="10"/>
      <c r="F47" s="10"/>
      <c r="G47" s="10"/>
      <c r="H47" s="10"/>
      <c r="I47" s="10"/>
      <c r="J47" s="10"/>
      <c r="K47" s="10"/>
    </row>
    <row r="48" customFormat="false" ht="14.25" hidden="false" customHeight="false" outlineLevel="0" collapsed="false">
      <c r="C48" s="10"/>
      <c r="D48" s="10"/>
      <c r="E48" s="10"/>
      <c r="F48" s="10"/>
      <c r="G48" s="10"/>
      <c r="H48" s="10"/>
      <c r="I48" s="10"/>
      <c r="J48" s="10"/>
      <c r="K48" s="10"/>
    </row>
    <row r="49" customFormat="false" ht="14.25" hidden="false" customHeight="false" outlineLevel="0" collapsed="false">
      <c r="C49" s="10"/>
      <c r="D49" s="10"/>
      <c r="E49" s="10"/>
      <c r="F49" s="10"/>
      <c r="G49" s="10"/>
      <c r="H49" s="10"/>
      <c r="I49" s="10"/>
      <c r="J49" s="10"/>
      <c r="K49" s="10"/>
    </row>
    <row r="50" customFormat="false" ht="14.25" hidden="false" customHeight="false" outlineLevel="0" collapsed="false">
      <c r="C50" s="10"/>
      <c r="D50" s="10"/>
      <c r="E50" s="10"/>
      <c r="F50" s="10"/>
      <c r="G50" s="10"/>
      <c r="H50" s="10"/>
      <c r="I50" s="10"/>
      <c r="J50" s="10"/>
      <c r="K50" s="10"/>
    </row>
    <row r="51" customFormat="false" ht="14.25" hidden="false" customHeight="false" outlineLevel="0" collapsed="false">
      <c r="C51" s="10"/>
      <c r="D51" s="10"/>
      <c r="E51" s="10"/>
      <c r="F51" s="10"/>
      <c r="G51" s="10"/>
      <c r="H51" s="10"/>
      <c r="I51" s="10"/>
      <c r="J51" s="10"/>
      <c r="K51" s="10"/>
    </row>
    <row r="52" customFormat="false" ht="14.25" hidden="false" customHeight="false" outlineLevel="0" collapsed="false">
      <c r="C52" s="10"/>
      <c r="D52" s="10"/>
      <c r="E52" s="10"/>
      <c r="F52" s="10"/>
      <c r="G52" s="10"/>
      <c r="H52" s="10"/>
      <c r="I52" s="10"/>
      <c r="J52" s="10"/>
      <c r="K52" s="10"/>
    </row>
    <row r="53" customFormat="false" ht="14.25" hidden="false" customHeight="false" outlineLevel="0" collapsed="false">
      <c r="C53" s="10"/>
      <c r="D53" s="10"/>
      <c r="E53" s="10"/>
      <c r="F53" s="10"/>
      <c r="G53" s="10"/>
      <c r="H53" s="10"/>
      <c r="I53" s="10"/>
      <c r="J53" s="10"/>
      <c r="K53" s="10"/>
    </row>
    <row r="54" customFormat="false" ht="14.25" hidden="false" customHeight="false" outlineLevel="0" collapsed="false">
      <c r="C54" s="10"/>
      <c r="D54" s="10"/>
      <c r="E54" s="10"/>
      <c r="F54" s="10"/>
      <c r="G54" s="10"/>
      <c r="H54" s="10"/>
      <c r="I54" s="10"/>
      <c r="J54" s="10"/>
      <c r="K54" s="10"/>
    </row>
    <row r="55" customFormat="false" ht="14.25" hidden="false" customHeight="false" outlineLevel="0" collapsed="false">
      <c r="C55" s="10"/>
      <c r="D55" s="10"/>
      <c r="E55" s="10"/>
      <c r="F55" s="10"/>
      <c r="G55" s="10"/>
      <c r="H55" s="10"/>
      <c r="I55" s="10"/>
      <c r="J55" s="10"/>
      <c r="K55" s="10"/>
    </row>
    <row r="56" customFormat="false" ht="14.25" hidden="false" customHeight="false" outlineLevel="0" collapsed="false">
      <c r="C56" s="10"/>
      <c r="D56" s="10"/>
      <c r="E56" s="10"/>
      <c r="F56" s="10"/>
      <c r="G56" s="10"/>
      <c r="H56" s="10"/>
      <c r="I56" s="10"/>
      <c r="J56" s="10"/>
      <c r="K56" s="10"/>
    </row>
    <row r="57" customFormat="false" ht="14.25" hidden="false" customHeight="false" outlineLevel="0" collapsed="false">
      <c r="C57" s="10"/>
      <c r="D57" s="10"/>
      <c r="E57" s="10"/>
      <c r="F57" s="10"/>
      <c r="G57" s="10"/>
      <c r="H57" s="10"/>
      <c r="I57" s="10"/>
      <c r="J57" s="10"/>
      <c r="K57" s="10"/>
    </row>
    <row r="58" customFormat="false" ht="14.25" hidden="false" customHeight="false" outlineLevel="0" collapsed="false">
      <c r="C58" s="10"/>
      <c r="D58" s="10"/>
      <c r="E58" s="10"/>
      <c r="F58" s="10"/>
      <c r="G58" s="10"/>
      <c r="H58" s="10"/>
      <c r="I58" s="10"/>
      <c r="J58" s="10"/>
      <c r="K58" s="10"/>
    </row>
    <row r="59" customFormat="false" ht="14.25" hidden="false" customHeight="false" outlineLevel="0" collapsed="false">
      <c r="C59" s="10"/>
      <c r="D59" s="10"/>
      <c r="E59" s="10"/>
      <c r="F59" s="10"/>
      <c r="G59" s="10"/>
      <c r="H59" s="10"/>
      <c r="I59" s="10"/>
      <c r="J59" s="10"/>
      <c r="K59" s="10"/>
    </row>
    <row r="60" customFormat="false" ht="14.25" hidden="false" customHeight="false" outlineLevel="0" collapsed="false">
      <c r="C60" s="10"/>
      <c r="D60" s="10"/>
      <c r="E60" s="10"/>
      <c r="F60" s="10"/>
      <c r="G60" s="10"/>
      <c r="H60" s="10"/>
      <c r="I60" s="10"/>
      <c r="J60" s="10"/>
      <c r="K60" s="10"/>
    </row>
  </sheetData>
  <mergeCells count="4">
    <mergeCell ref="G7:I7"/>
    <mergeCell ref="J7:L7"/>
    <mergeCell ref="M7:O7"/>
    <mergeCell ref="P7:AF7"/>
  </mergeCells>
  <dataValidations count="1">
    <dataValidation allowBlank="true" errorStyle="stop" operator="between" showDropDown="false" showErrorMessage="false" showInputMessage="false" sqref="V9:V38"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1" scale="3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3D6"/>
    <pageSetUpPr fitToPage="false"/>
  </sheetPr>
  <dimension ref="A1:AT93"/>
  <sheetViews>
    <sheetView showFormulas="false" showGridLines="false" showRowColHeaders="true" showZeros="true" rightToLeft="false" tabSelected="false" showOutlineSymbols="true" defaultGridColor="true" view="normal" topLeftCell="A1" colorId="64" zoomScale="85" zoomScaleNormal="85" zoomScalePageLayoutView="70" workbookViewId="0">
      <pane xSplit="3" ySplit="9" topLeftCell="X10" activePane="bottomRight" state="frozen"/>
      <selection pane="topLeft" activeCell="A1" activeCellId="0" sqref="A1"/>
      <selection pane="topRight" activeCell="X1" activeCellId="0" sqref="X1"/>
      <selection pane="bottomLeft" activeCell="A10" activeCellId="0" sqref="A10"/>
      <selection pane="bottomRight" activeCell="AN9" activeCellId="0" sqref="AN9"/>
    </sheetView>
  </sheetViews>
  <sheetFormatPr defaultColWidth="9.203125" defaultRowHeight="14.25" zeroHeight="false" outlineLevelRow="1"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true" outlineLevel="1" max="4" min="4" style="0" width="13.8"/>
    <col collapsed="false" customWidth="true" hidden="true" outlineLevel="1" max="5" min="5" style="0" width="10.53"/>
    <col collapsed="false" customWidth="true" hidden="true" outlineLevel="1" max="7" min="6" style="0" width="8.53"/>
    <col collapsed="false" customWidth="true" hidden="true" outlineLevel="1" max="8" min="8" style="0" width="13.8"/>
    <col collapsed="false" customWidth="true" hidden="true" outlineLevel="1" max="9" min="9" style="0" width="10.53"/>
    <col collapsed="false" customWidth="true" hidden="true" outlineLevel="1" max="11" min="10" style="0" width="8.53"/>
    <col collapsed="false" customWidth="true" hidden="true" outlineLevel="1" max="12" min="12" style="0" width="13.53"/>
    <col collapsed="false" customWidth="true" hidden="true" outlineLevel="1" max="13" min="13" style="0" width="10.53"/>
    <col collapsed="false" customWidth="true" hidden="true" outlineLevel="1" max="15" min="14" style="0" width="8.53"/>
    <col collapsed="false" customWidth="true" hidden="true" outlineLevel="1" max="16" min="16" style="0" width="13.53"/>
    <col collapsed="false" customWidth="true" hidden="true" outlineLevel="1" max="17" min="17" style="0" width="10.53"/>
    <col collapsed="false" customWidth="true" hidden="true" outlineLevel="1"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30.53"/>
    <col collapsed="false" customWidth="true" hidden="false" outlineLevel="0" max="46" min="46" style="0" width="9.8"/>
  </cols>
  <sheetData>
    <row r="1" s="217" customFormat="true" ht="14.25" hidden="false" customHeight="true" outlineLevel="0" collapsed="false">
      <c r="C1" s="218"/>
      <c r="D1" s="217" t="n">
        <f aca="false">D3</f>
        <v>2019</v>
      </c>
      <c r="H1" s="217" t="n">
        <f aca="false">H3</f>
        <v>2021</v>
      </c>
      <c r="L1" s="217" t="n">
        <f aca="false">L3</f>
        <v>2022</v>
      </c>
      <c r="P1" s="217" t="n">
        <f aca="false">P3</f>
        <v>2023</v>
      </c>
      <c r="Q1" s="219"/>
      <c r="R1" s="220"/>
      <c r="T1" s="217" t="n">
        <f aca="false">T3</f>
        <v>2024</v>
      </c>
      <c r="X1" s="217" t="n">
        <f aca="false">X3</f>
        <v>2025</v>
      </c>
      <c r="AB1" s="217" t="n">
        <v>2025</v>
      </c>
      <c r="AF1" s="217" t="n">
        <v>2026</v>
      </c>
    </row>
    <row r="2" s="221" customFormat="true" ht="14.25" hidden="false" customHeight="true" outlineLevel="0" collapsed="false">
      <c r="C2" s="222"/>
      <c r="D2" s="223"/>
      <c r="E2" s="223"/>
      <c r="F2" s="223"/>
      <c r="G2" s="223"/>
      <c r="H2" s="223"/>
      <c r="I2" s="223"/>
      <c r="J2" s="223"/>
      <c r="K2" s="223"/>
      <c r="L2" s="223"/>
      <c r="M2" s="224"/>
      <c r="N2" s="224"/>
      <c r="O2" s="224"/>
      <c r="P2" s="219"/>
      <c r="Q2" s="225"/>
      <c r="R2" s="226"/>
      <c r="S2" s="224"/>
      <c r="T2" s="223"/>
      <c r="U2" s="223"/>
      <c r="V2" s="223"/>
      <c r="W2" s="223"/>
      <c r="X2" s="223"/>
      <c r="Y2" s="223"/>
      <c r="Z2" s="223"/>
      <c r="AA2" s="223"/>
      <c r="AB2" s="223"/>
      <c r="AC2" s="223"/>
      <c r="AD2" s="223"/>
      <c r="AE2" s="223"/>
      <c r="AF2" s="223"/>
      <c r="AG2" s="223"/>
      <c r="AH2" s="223"/>
      <c r="AI2" s="223"/>
    </row>
    <row r="3" customFormat="false" ht="14.25" hidden="false" customHeight="true" outlineLevel="0" collapsed="false">
      <c r="C3" s="227"/>
      <c r="D3" s="228" t="n">
        <f aca="false">Tape!$T$5</f>
        <v>2019</v>
      </c>
      <c r="E3" s="228"/>
      <c r="F3" s="228"/>
      <c r="G3" s="228"/>
      <c r="H3" s="229" t="n">
        <f aca="false">Tape!$U$5</f>
        <v>2021</v>
      </c>
      <c r="I3" s="229"/>
      <c r="J3" s="229"/>
      <c r="K3" s="229"/>
      <c r="L3" s="229" t="n">
        <f aca="false">Tape!$V$5</f>
        <v>2022</v>
      </c>
      <c r="M3" s="229"/>
      <c r="N3" s="229"/>
      <c r="O3" s="229"/>
      <c r="P3" s="229" t="n">
        <f aca="false">Tape!$W$5</f>
        <v>2023</v>
      </c>
      <c r="Q3" s="229"/>
      <c r="R3" s="229"/>
      <c r="S3" s="229"/>
      <c r="T3" s="229" t="n">
        <f aca="false">Tape!$X$5</f>
        <v>2024</v>
      </c>
      <c r="U3" s="229"/>
      <c r="V3" s="229"/>
      <c r="W3" s="229"/>
      <c r="X3" s="229" t="n">
        <f aca="false">Tape!$Y$5</f>
        <v>2025</v>
      </c>
      <c r="Y3" s="229"/>
      <c r="Z3" s="229"/>
      <c r="AA3" s="229"/>
      <c r="AB3" s="229" t="str">
        <f aca="false">Tape!$Z$5</f>
        <v>TTM</v>
      </c>
      <c r="AC3" s="229"/>
      <c r="AD3" s="229"/>
      <c r="AE3" s="229"/>
      <c r="AF3" s="229" t="str">
        <f aca="false">Tape!$AA$5</f>
        <v>Reforecast</v>
      </c>
      <c r="AG3" s="229"/>
      <c r="AH3" s="229"/>
      <c r="AI3" s="229"/>
      <c r="AJ3" s="230" t="str">
        <f aca="false">Tape!$AB$5</f>
        <v>Lender UW</v>
      </c>
      <c r="AK3" s="230"/>
      <c r="AL3" s="230"/>
      <c r="AM3" s="230"/>
      <c r="AN3" s="231" t="s">
        <v>126</v>
      </c>
      <c r="AO3" s="231"/>
      <c r="AP3" s="231"/>
      <c r="AQ3" s="231"/>
    </row>
    <row r="4" customFormat="false" ht="14.25" hidden="false" customHeight="true" outlineLevel="0" collapsed="false">
      <c r="C4" s="232" t="s">
        <v>23</v>
      </c>
      <c r="D4" s="233" t="n">
        <f aca="false">SUM(START:END!D6:D6)</f>
        <v>0</v>
      </c>
      <c r="E4" s="233"/>
      <c r="F4" s="233"/>
      <c r="G4" s="233"/>
      <c r="H4" s="234" t="n">
        <f aca="false">SUM(START:END!H6:H6)</f>
        <v>0</v>
      </c>
      <c r="I4" s="234"/>
      <c r="J4" s="234"/>
      <c r="K4" s="234"/>
      <c r="L4" s="234" t="n">
        <f aca="false">SUM(START:END!L6:L6)</f>
        <v>0</v>
      </c>
      <c r="M4" s="234"/>
      <c r="N4" s="234"/>
      <c r="O4" s="234"/>
      <c r="P4" s="234" t="n">
        <f aca="false">SUM(START:END!P6:P6)</f>
        <v>0</v>
      </c>
      <c r="Q4" s="234"/>
      <c r="R4" s="234"/>
      <c r="S4" s="234"/>
      <c r="T4" s="234" t="n">
        <f aca="false">SUM(START:END!T6:T6)</f>
        <v>0</v>
      </c>
      <c r="U4" s="234"/>
      <c r="V4" s="234"/>
      <c r="W4" s="234"/>
      <c r="X4" s="234" t="n">
        <f aca="false">SUM(START:END!X6:X6)</f>
        <v>0</v>
      </c>
      <c r="Y4" s="234"/>
      <c r="Z4" s="234"/>
      <c r="AA4" s="234"/>
      <c r="AB4" s="234" t="n">
        <f aca="false">SUM(START:END!AB6:AB6)</f>
        <v>0</v>
      </c>
      <c r="AC4" s="234"/>
      <c r="AD4" s="234"/>
      <c r="AE4" s="234"/>
      <c r="AF4" s="234" t="n">
        <f aca="false">SUM(START:END!AF6:AF6)</f>
        <v>0</v>
      </c>
      <c r="AG4" s="234"/>
      <c r="AH4" s="234"/>
      <c r="AI4" s="234"/>
      <c r="AJ4" s="234" t="n">
        <f aca="false">SUM(START:END!AJ6:AJ6)</f>
        <v>0</v>
      </c>
      <c r="AK4" s="234"/>
      <c r="AL4" s="234"/>
      <c r="AM4" s="234"/>
      <c r="AN4" s="234" t="n">
        <f aca="false">SUM(START:END!AN6:AN6)</f>
        <v>0</v>
      </c>
      <c r="AO4" s="234"/>
      <c r="AP4" s="234"/>
      <c r="AQ4" s="234"/>
    </row>
    <row r="5" customFormat="false" ht="14.25" hidden="false" customHeight="true" outlineLevel="0" collapsed="false">
      <c r="C5" s="232" t="s">
        <v>127</v>
      </c>
      <c r="D5" s="235" t="n">
        <f aca="false">SUM(START:END!D7:D7)</f>
        <v>0</v>
      </c>
      <c r="E5" s="235"/>
      <c r="F5" s="235"/>
      <c r="G5" s="235"/>
      <c r="H5" s="236" t="n">
        <f aca="false">SUM(START:END!H7:H7)</f>
        <v>0</v>
      </c>
      <c r="I5" s="236"/>
      <c r="J5" s="236"/>
      <c r="K5" s="236"/>
      <c r="L5" s="236" t="n">
        <f aca="false">SUM(START:END!L7:L7)</f>
        <v>0</v>
      </c>
      <c r="M5" s="236"/>
      <c r="N5" s="236"/>
      <c r="O5" s="236"/>
      <c r="P5" s="236" t="n">
        <f aca="false">SUM(START:END!P7:P7)</f>
        <v>0</v>
      </c>
      <c r="Q5" s="236"/>
      <c r="R5" s="236"/>
      <c r="S5" s="236"/>
      <c r="T5" s="236" t="n">
        <f aca="false">SUM(START:END!T7:T7)</f>
        <v>0</v>
      </c>
      <c r="U5" s="236"/>
      <c r="V5" s="236"/>
      <c r="W5" s="236"/>
      <c r="X5" s="236" t="n">
        <f aca="false">SUM(START:END!X7:X7)</f>
        <v>0</v>
      </c>
      <c r="Y5" s="236"/>
      <c r="Z5" s="236"/>
      <c r="AA5" s="236"/>
      <c r="AB5" s="236" t="n">
        <f aca="false">SUM(START:END!AB7:AB7)</f>
        <v>0</v>
      </c>
      <c r="AC5" s="236"/>
      <c r="AD5" s="236"/>
      <c r="AE5" s="236"/>
      <c r="AF5" s="236" t="n">
        <f aca="false">SUM(START:END!AF7:AF7)</f>
        <v>0</v>
      </c>
      <c r="AG5" s="236"/>
      <c r="AH5" s="236"/>
      <c r="AI5" s="236"/>
      <c r="AJ5" s="236" t="n">
        <f aca="false">SUM(START:END!AJ7:AJ7)</f>
        <v>0</v>
      </c>
      <c r="AK5" s="236"/>
      <c r="AL5" s="236"/>
      <c r="AM5" s="236"/>
      <c r="AN5" s="236" t="n">
        <f aca="false">SUM(START:END!AN7:AN7)</f>
        <v>0</v>
      </c>
      <c r="AO5" s="236"/>
      <c r="AP5" s="236"/>
      <c r="AQ5" s="236"/>
    </row>
    <row r="6" customFormat="false" ht="14.25" hidden="false" customHeight="true" outlineLevel="0" collapsed="false">
      <c r="C6" s="232" t="s">
        <v>128</v>
      </c>
      <c r="D6" s="235" t="n">
        <f aca="false">SUM(START:END!D8:D8)</f>
        <v>0</v>
      </c>
      <c r="E6" s="235"/>
      <c r="F6" s="235"/>
      <c r="G6" s="235"/>
      <c r="H6" s="236" t="n">
        <f aca="false">SUM(START:END!H8:H8)</f>
        <v>0</v>
      </c>
      <c r="I6" s="236"/>
      <c r="J6" s="236"/>
      <c r="K6" s="236"/>
      <c r="L6" s="236" t="n">
        <f aca="false">SUM(START:END!L8:L8)</f>
        <v>0</v>
      </c>
      <c r="M6" s="236"/>
      <c r="N6" s="236"/>
      <c r="O6" s="236"/>
      <c r="P6" s="236" t="n">
        <f aca="false">SUM(START:END!P8:P8)</f>
        <v>0</v>
      </c>
      <c r="Q6" s="236"/>
      <c r="R6" s="236"/>
      <c r="S6" s="236"/>
      <c r="T6" s="236" t="n">
        <f aca="false">SUM(START:END!T8:T8)</f>
        <v>0</v>
      </c>
      <c r="U6" s="236"/>
      <c r="V6" s="236"/>
      <c r="W6" s="236"/>
      <c r="X6" s="236" t="n">
        <f aca="false">SUM(START:END!X8:X8)</f>
        <v>0</v>
      </c>
      <c r="Y6" s="236"/>
      <c r="Z6" s="236"/>
      <c r="AA6" s="236"/>
      <c r="AB6" s="236" t="n">
        <f aca="false">SUM(START:END!AB8:AB8)</f>
        <v>0</v>
      </c>
      <c r="AC6" s="236"/>
      <c r="AD6" s="236"/>
      <c r="AE6" s="236"/>
      <c r="AF6" s="236" t="n">
        <f aca="false">SUM(START:END!AF8:AF8)</f>
        <v>0</v>
      </c>
      <c r="AG6" s="236"/>
      <c r="AH6" s="236"/>
      <c r="AI6" s="236"/>
      <c r="AJ6" s="236" t="n">
        <f aca="false">SUM(START:END!AJ8:AJ8)</f>
        <v>0</v>
      </c>
      <c r="AK6" s="236"/>
      <c r="AL6" s="236"/>
      <c r="AM6" s="236"/>
      <c r="AN6" s="236" t="n">
        <f aca="false">SUM(START:END!AN8:AN8)</f>
        <v>0</v>
      </c>
      <c r="AO6" s="236"/>
      <c r="AP6" s="236"/>
      <c r="AQ6" s="236"/>
    </row>
    <row r="7" customFormat="false" ht="14.25" hidden="false" customHeight="true" outlineLevel="0" collapsed="false">
      <c r="C7" s="232" t="s">
        <v>129</v>
      </c>
      <c r="D7" s="237" t="n">
        <f aca="false">IFERROR(D6/D5,0)</f>
        <v>0</v>
      </c>
      <c r="E7" s="237"/>
      <c r="F7" s="237"/>
      <c r="G7" s="237"/>
      <c r="H7" s="238" t="n">
        <f aca="false">IFERROR(H6/H5,0)</f>
        <v>0</v>
      </c>
      <c r="I7" s="238"/>
      <c r="J7" s="238"/>
      <c r="K7" s="238"/>
      <c r="L7" s="238" t="n">
        <f aca="false">IFERROR(L6/L5,0)</f>
        <v>0</v>
      </c>
      <c r="M7" s="238"/>
      <c r="N7" s="238"/>
      <c r="O7" s="238"/>
      <c r="P7" s="238" t="n">
        <f aca="false">IFERROR(P6/P5,0)</f>
        <v>0</v>
      </c>
      <c r="Q7" s="238"/>
      <c r="R7" s="238"/>
      <c r="S7" s="238"/>
      <c r="T7" s="238" t="n">
        <f aca="false">IFERROR(T6/T5,0)</f>
        <v>0</v>
      </c>
      <c r="U7" s="238"/>
      <c r="V7" s="238"/>
      <c r="W7" s="238"/>
      <c r="X7" s="238" t="n">
        <f aca="false">IFERROR(X6/X5,0)</f>
        <v>0</v>
      </c>
      <c r="Y7" s="238"/>
      <c r="Z7" s="238"/>
      <c r="AA7" s="238"/>
      <c r="AB7" s="238" t="n">
        <f aca="false">IFERROR(AB6/AB5,0)</f>
        <v>0</v>
      </c>
      <c r="AC7" s="238"/>
      <c r="AD7" s="238"/>
      <c r="AE7" s="238"/>
      <c r="AF7" s="238" t="n">
        <f aca="false">IFERROR(AF6/AF5,0)</f>
        <v>0</v>
      </c>
      <c r="AG7" s="238"/>
      <c r="AH7" s="238"/>
      <c r="AI7" s="238"/>
      <c r="AJ7" s="238" t="n">
        <f aca="false">IFERROR(AJ6/AJ5,0)</f>
        <v>0</v>
      </c>
      <c r="AK7" s="238"/>
      <c r="AL7" s="238"/>
      <c r="AM7" s="238"/>
      <c r="AN7" s="238" t="n">
        <f aca="false">IFERROR(AN6/AN5,0)</f>
        <v>0</v>
      </c>
      <c r="AO7" s="238"/>
      <c r="AP7" s="238"/>
      <c r="AQ7" s="238"/>
    </row>
    <row r="8" s="239" customFormat="true" ht="14.25" hidden="false" customHeight="true" outlineLevel="0" collapsed="false">
      <c r="C8" s="240" t="s">
        <v>104</v>
      </c>
      <c r="D8" s="241" t="n">
        <f aca="false">IFERROR(D12/D6,0)</f>
        <v>0</v>
      </c>
      <c r="E8" s="241"/>
      <c r="F8" s="241"/>
      <c r="G8" s="241"/>
      <c r="H8" s="242" t="n">
        <f aca="false">IFERROR(H12/H6,0)</f>
        <v>0</v>
      </c>
      <c r="I8" s="242"/>
      <c r="J8" s="242"/>
      <c r="K8" s="242"/>
      <c r="L8" s="242" t="n">
        <f aca="false">IFERROR(L12/L6,0)</f>
        <v>0</v>
      </c>
      <c r="M8" s="242"/>
      <c r="N8" s="242"/>
      <c r="O8" s="242"/>
      <c r="P8" s="242" t="n">
        <f aca="false">IFERROR(P12/P6,0)</f>
        <v>0</v>
      </c>
      <c r="Q8" s="242"/>
      <c r="R8" s="242"/>
      <c r="S8" s="242"/>
      <c r="T8" s="242" t="n">
        <f aca="false">IFERROR(T12/T6,0)</f>
        <v>0</v>
      </c>
      <c r="U8" s="242"/>
      <c r="V8" s="242"/>
      <c r="W8" s="242"/>
      <c r="X8" s="242" t="n">
        <f aca="false">IFERROR(X12/X6,0)</f>
        <v>0</v>
      </c>
      <c r="Y8" s="242"/>
      <c r="Z8" s="242"/>
      <c r="AA8" s="242"/>
      <c r="AB8" s="242" t="n">
        <f aca="false">IFERROR(AB12/AB6,0)</f>
        <v>0</v>
      </c>
      <c r="AC8" s="242"/>
      <c r="AD8" s="242"/>
      <c r="AE8" s="242"/>
      <c r="AF8" s="242" t="n">
        <f aca="false">IFERROR(AF12/AF6,0)</f>
        <v>0</v>
      </c>
      <c r="AG8" s="242"/>
      <c r="AH8" s="242"/>
      <c r="AI8" s="242"/>
      <c r="AJ8" s="242" t="n">
        <f aca="false">IFERROR(AJ12/AJ6,0)</f>
        <v>0</v>
      </c>
      <c r="AK8" s="242"/>
      <c r="AL8" s="242"/>
      <c r="AM8" s="242"/>
      <c r="AN8" s="242" t="n">
        <f aca="false">IFERROR(AN12/AN6,0)</f>
        <v>0</v>
      </c>
      <c r="AO8" s="242"/>
      <c r="AP8" s="242"/>
      <c r="AQ8" s="242"/>
      <c r="AS8" s="243"/>
    </row>
    <row r="9" s="239" customFormat="true" ht="14.25" hidden="false" customHeight="true" outlineLevel="0" collapsed="false">
      <c r="C9" s="244" t="s">
        <v>105</v>
      </c>
      <c r="D9" s="245" t="n">
        <f aca="false">D7*D8</f>
        <v>0</v>
      </c>
      <c r="E9" s="245"/>
      <c r="F9" s="245"/>
      <c r="G9" s="245"/>
      <c r="H9" s="246" t="n">
        <f aca="false">H7*H8</f>
        <v>0</v>
      </c>
      <c r="I9" s="246"/>
      <c r="J9" s="246"/>
      <c r="K9" s="246"/>
      <c r="L9" s="246" t="n">
        <f aca="false">L7*L8</f>
        <v>0</v>
      </c>
      <c r="M9" s="246"/>
      <c r="N9" s="246"/>
      <c r="O9" s="246"/>
      <c r="P9" s="246" t="n">
        <f aca="false">P7*P8</f>
        <v>0</v>
      </c>
      <c r="Q9" s="246"/>
      <c r="R9" s="246"/>
      <c r="S9" s="246"/>
      <c r="T9" s="246" t="n">
        <f aca="false">T7*T8</f>
        <v>0</v>
      </c>
      <c r="U9" s="246"/>
      <c r="V9" s="246"/>
      <c r="W9" s="246"/>
      <c r="X9" s="246" t="n">
        <f aca="false">X7*X8</f>
        <v>0</v>
      </c>
      <c r="Y9" s="246"/>
      <c r="Z9" s="246"/>
      <c r="AA9" s="246"/>
      <c r="AB9" s="246" t="n">
        <f aca="false">AB7*AB8</f>
        <v>0</v>
      </c>
      <c r="AC9" s="246"/>
      <c r="AD9" s="246"/>
      <c r="AE9" s="246"/>
      <c r="AF9" s="246" t="n">
        <f aca="false">AF7*AF8</f>
        <v>0</v>
      </c>
      <c r="AG9" s="246"/>
      <c r="AH9" s="246"/>
      <c r="AI9" s="246"/>
      <c r="AJ9" s="246" t="n">
        <f aca="false">AJ7*AJ8</f>
        <v>0</v>
      </c>
      <c r="AK9" s="246"/>
      <c r="AL9" s="246"/>
      <c r="AM9" s="246"/>
      <c r="AN9" s="246" t="n">
        <f aca="false">AN7*AN8</f>
        <v>0</v>
      </c>
      <c r="AO9" s="246"/>
      <c r="AP9" s="246"/>
      <c r="AQ9" s="246"/>
    </row>
    <row r="10" customFormat="false" ht="14.25" hidden="false" customHeight="true" outlineLevel="0" collapsed="false">
      <c r="C10" s="247"/>
      <c r="D10" s="248"/>
      <c r="E10" s="248"/>
      <c r="F10" s="249"/>
      <c r="G10" s="250"/>
      <c r="H10" s="251"/>
      <c r="I10" s="248"/>
      <c r="J10" s="249"/>
      <c r="K10" s="250"/>
      <c r="L10" s="251"/>
      <c r="M10" s="248"/>
      <c r="N10" s="249"/>
      <c r="O10" s="250"/>
      <c r="P10" s="251"/>
      <c r="Q10" s="248"/>
      <c r="R10" s="249"/>
      <c r="S10" s="250"/>
      <c r="T10" s="251"/>
      <c r="U10" s="248"/>
      <c r="V10" s="249"/>
      <c r="W10" s="250"/>
      <c r="X10" s="251"/>
      <c r="Y10" s="248"/>
      <c r="Z10" s="249"/>
      <c r="AA10" s="250"/>
      <c r="AB10" s="251"/>
      <c r="AC10" s="248"/>
      <c r="AD10" s="249"/>
      <c r="AE10" s="250"/>
      <c r="AF10" s="251"/>
      <c r="AG10" s="248"/>
      <c r="AH10" s="249"/>
      <c r="AI10" s="250"/>
      <c r="AJ10" s="251"/>
      <c r="AK10" s="248"/>
      <c r="AL10" s="249"/>
      <c r="AM10" s="250"/>
      <c r="AN10" s="251"/>
      <c r="AO10" s="248"/>
      <c r="AP10" s="249"/>
      <c r="AQ10" s="250"/>
      <c r="AT10" s="252"/>
    </row>
    <row r="11" customFormat="false" ht="14.25" hidden="false" customHeight="true" outlineLevel="0" collapsed="false">
      <c r="C11" s="247" t="s">
        <v>130</v>
      </c>
      <c r="D11" s="253" t="s">
        <v>72</v>
      </c>
      <c r="E11" s="253" t="s">
        <v>131</v>
      </c>
      <c r="F11" s="254" t="s">
        <v>132</v>
      </c>
      <c r="G11" s="255" t="s">
        <v>133</v>
      </c>
      <c r="H11" s="256" t="s">
        <v>72</v>
      </c>
      <c r="I11" s="253" t="s">
        <v>131</v>
      </c>
      <c r="J11" s="254" t="s">
        <v>132</v>
      </c>
      <c r="K11" s="255" t="s">
        <v>133</v>
      </c>
      <c r="L11" s="256" t="s">
        <v>72</v>
      </c>
      <c r="M11" s="253" t="s">
        <v>131</v>
      </c>
      <c r="N11" s="254" t="s">
        <v>132</v>
      </c>
      <c r="O11" s="255" t="s">
        <v>133</v>
      </c>
      <c r="P11" s="256" t="s">
        <v>72</v>
      </c>
      <c r="Q11" s="253" t="s">
        <v>131</v>
      </c>
      <c r="R11" s="254" t="s">
        <v>132</v>
      </c>
      <c r="S11" s="255" t="s">
        <v>133</v>
      </c>
      <c r="T11" s="256" t="s">
        <v>72</v>
      </c>
      <c r="U11" s="253" t="s">
        <v>131</v>
      </c>
      <c r="V11" s="254" t="s">
        <v>132</v>
      </c>
      <c r="W11" s="255" t="s">
        <v>133</v>
      </c>
      <c r="X11" s="256" t="s">
        <v>72</v>
      </c>
      <c r="Y11" s="253" t="s">
        <v>131</v>
      </c>
      <c r="Z11" s="254" t="s">
        <v>132</v>
      </c>
      <c r="AA11" s="255" t="s">
        <v>133</v>
      </c>
      <c r="AB11" s="256" t="s">
        <v>72</v>
      </c>
      <c r="AC11" s="253" t="s">
        <v>131</v>
      </c>
      <c r="AD11" s="254" t="s">
        <v>132</v>
      </c>
      <c r="AE11" s="255" t="s">
        <v>133</v>
      </c>
      <c r="AF11" s="256" t="s">
        <v>72</v>
      </c>
      <c r="AG11" s="253" t="s">
        <v>131</v>
      </c>
      <c r="AH11" s="254" t="s">
        <v>132</v>
      </c>
      <c r="AI11" s="255" t="s">
        <v>133</v>
      </c>
      <c r="AJ11" s="256" t="s">
        <v>72</v>
      </c>
      <c r="AK11" s="253" t="s">
        <v>131</v>
      </c>
      <c r="AL11" s="254" t="s">
        <v>132</v>
      </c>
      <c r="AM11" s="255" t="s">
        <v>133</v>
      </c>
      <c r="AN11" s="256" t="s">
        <v>72</v>
      </c>
      <c r="AO11" s="253" t="s">
        <v>131</v>
      </c>
      <c r="AP11" s="254" t="s">
        <v>132</v>
      </c>
      <c r="AQ11" s="255" t="s">
        <v>133</v>
      </c>
      <c r="AS11" s="257"/>
    </row>
    <row r="12" customFormat="false" ht="14.25" hidden="false" customHeight="true" outlineLevel="0" collapsed="false">
      <c r="C12" s="258" t="s">
        <v>134</v>
      </c>
      <c r="D12" s="259" t="n">
        <f aca="false">SUM(START:END!D14:D14)</f>
        <v>0</v>
      </c>
      <c r="E12" s="260" t="n">
        <f aca="false">IFERROR(D12/D$17,0)</f>
        <v>0</v>
      </c>
      <c r="F12" s="261" t="n">
        <f aca="false">IFERROR(D12/D$6,0)</f>
        <v>0</v>
      </c>
      <c r="G12" s="262" t="n">
        <f aca="false">IFERROR(D12/D$5,0)</f>
        <v>0</v>
      </c>
      <c r="H12" s="263" t="n">
        <f aca="false">SUM(START:END!H14:H14)</f>
        <v>0</v>
      </c>
      <c r="I12" s="260" t="n">
        <f aca="false">IFERROR(H12/H$17,0)</f>
        <v>0</v>
      </c>
      <c r="J12" s="261" t="n">
        <f aca="false">IFERROR(H12/H$6,0)</f>
        <v>0</v>
      </c>
      <c r="K12" s="262" t="n">
        <f aca="false">IFERROR(H12/H$5,0)</f>
        <v>0</v>
      </c>
      <c r="L12" s="263" t="n">
        <f aca="false">SUM(START:END!L14:L14)</f>
        <v>0</v>
      </c>
      <c r="M12" s="260" t="n">
        <f aca="false">IFERROR(L12/L$17,0)</f>
        <v>0</v>
      </c>
      <c r="N12" s="261" t="n">
        <f aca="false">IFERROR(L12/L$6,0)</f>
        <v>0</v>
      </c>
      <c r="O12" s="262" t="n">
        <f aca="false">IFERROR(L12/L$5,0)</f>
        <v>0</v>
      </c>
      <c r="P12" s="263" t="n">
        <f aca="false">SUM(START:END!P14:P14)</f>
        <v>0</v>
      </c>
      <c r="Q12" s="260" t="n">
        <f aca="false">IFERROR(P12/P$17,0)</f>
        <v>0</v>
      </c>
      <c r="R12" s="261" t="n">
        <f aca="false">IFERROR(P12/P$6,0)</f>
        <v>0</v>
      </c>
      <c r="S12" s="262" t="n">
        <f aca="false">IFERROR(P12/P$5,0)</f>
        <v>0</v>
      </c>
      <c r="T12" s="263" t="n">
        <f aca="false">SUM(START:END!T14:T14)</f>
        <v>0</v>
      </c>
      <c r="U12" s="260" t="n">
        <f aca="false">IFERROR(T12/T$17,0)</f>
        <v>0</v>
      </c>
      <c r="V12" s="261" t="n">
        <f aca="false">IFERROR(T12/T$6,0)</f>
        <v>0</v>
      </c>
      <c r="W12" s="262" t="n">
        <f aca="false">IFERROR(T12/T$5,0)</f>
        <v>0</v>
      </c>
      <c r="X12" s="263" t="n">
        <f aca="false">SUM(START:END!X14:X14)</f>
        <v>0</v>
      </c>
      <c r="Y12" s="260" t="n">
        <f aca="false">IFERROR(X12/X$17,0)</f>
        <v>0</v>
      </c>
      <c r="Z12" s="261" t="n">
        <f aca="false">IFERROR(X12/X$6,0)</f>
        <v>0</v>
      </c>
      <c r="AA12" s="262" t="n">
        <f aca="false">IFERROR(X12/X$5,0)</f>
        <v>0</v>
      </c>
      <c r="AB12" s="263" t="n">
        <f aca="false">SUM(START:END!AB14:AB14)</f>
        <v>0</v>
      </c>
      <c r="AC12" s="260" t="n">
        <f aca="false">IFERROR(AB12/AB$17,0)</f>
        <v>0</v>
      </c>
      <c r="AD12" s="261" t="n">
        <f aca="false">IFERROR(AB12/AB$6,0)</f>
        <v>0</v>
      </c>
      <c r="AE12" s="262" t="n">
        <f aca="false">IFERROR(AB12/AB$5,0)</f>
        <v>0</v>
      </c>
      <c r="AF12" s="263" t="n">
        <f aca="false">SUM(START:END!AF14:AF14)</f>
        <v>0</v>
      </c>
      <c r="AG12" s="260" t="n">
        <f aca="false">IFERROR(AF12/AF$17,0)</f>
        <v>0</v>
      </c>
      <c r="AH12" s="261" t="n">
        <f aca="false">IFERROR(AF12/AF$6,0)</f>
        <v>0</v>
      </c>
      <c r="AI12" s="262" t="n">
        <f aca="false">IFERROR(AF12/AF$5,0)</f>
        <v>0</v>
      </c>
      <c r="AJ12" s="263" t="n">
        <f aca="false">SUM(START:END!AJ14:AJ14)</f>
        <v>0</v>
      </c>
      <c r="AK12" s="260" t="n">
        <f aca="false">IFERROR(AJ12/AJ$17,0)</f>
        <v>0</v>
      </c>
      <c r="AL12" s="261" t="n">
        <f aca="false">IFERROR(AJ12/AJ$6,0)</f>
        <v>0</v>
      </c>
      <c r="AM12" s="262" t="n">
        <f aca="false">IFERROR(AJ12/AJ$5,0)</f>
        <v>0</v>
      </c>
      <c r="AN12" s="263" t="n">
        <f aca="false">SUM(START:END!AN14:AN14)</f>
        <v>0</v>
      </c>
      <c r="AO12" s="260" t="n">
        <f aca="false">IFERROR(AN12/AN$17,0)</f>
        <v>0</v>
      </c>
      <c r="AP12" s="261" t="n">
        <f aca="false">IFERROR(AN12/AN$6,0)</f>
        <v>0</v>
      </c>
      <c r="AQ12" s="262" t="n">
        <f aca="false">IFERROR(AN12/AN$5,0)</f>
        <v>0</v>
      </c>
    </row>
    <row r="13" customFormat="false" ht="14.25" hidden="false" customHeight="true" outlineLevel="0" collapsed="false">
      <c r="C13" s="258" t="s">
        <v>135</v>
      </c>
      <c r="D13" s="259" t="n">
        <f aca="false">SUM(START:END!D15:D15)</f>
        <v>0</v>
      </c>
      <c r="E13" s="264" t="n">
        <f aca="false">IFERROR(D13/D$17,0)</f>
        <v>0</v>
      </c>
      <c r="F13" s="261" t="n">
        <f aca="false">IFERROR(D13/D$6,0)</f>
        <v>0</v>
      </c>
      <c r="G13" s="262" t="n">
        <f aca="false">IFERROR(D13/D$5,0)</f>
        <v>0</v>
      </c>
      <c r="H13" s="263" t="n">
        <f aca="false">SUM(START:END!H15:H15)</f>
        <v>0</v>
      </c>
      <c r="I13" s="264" t="n">
        <f aca="false">IFERROR(H13/H$17,0)</f>
        <v>0</v>
      </c>
      <c r="J13" s="261" t="n">
        <f aca="false">IFERROR(H13/H$6,0)</f>
        <v>0</v>
      </c>
      <c r="K13" s="262" t="n">
        <f aca="false">IFERROR(H13/H$5,0)</f>
        <v>0</v>
      </c>
      <c r="L13" s="263" t="n">
        <f aca="false">SUM(START:END!L15:L15)</f>
        <v>0</v>
      </c>
      <c r="M13" s="264" t="n">
        <f aca="false">IFERROR(L13/L$17,0)</f>
        <v>0</v>
      </c>
      <c r="N13" s="261" t="n">
        <f aca="false">IFERROR(L13/L$6,0)</f>
        <v>0</v>
      </c>
      <c r="O13" s="262" t="n">
        <f aca="false">IFERROR(L13/L$5,0)</f>
        <v>0</v>
      </c>
      <c r="P13" s="263" t="n">
        <f aca="false">SUM(START:END!P15:P15)</f>
        <v>0</v>
      </c>
      <c r="Q13" s="264" t="n">
        <f aca="false">IFERROR(P13/P$17,0)</f>
        <v>0</v>
      </c>
      <c r="R13" s="261" t="n">
        <f aca="false">IFERROR(P13/P$6,0)</f>
        <v>0</v>
      </c>
      <c r="S13" s="262" t="n">
        <f aca="false">IFERROR(P13/P$5,0)</f>
        <v>0</v>
      </c>
      <c r="T13" s="263" t="n">
        <f aca="false">SUM(START:END!T15:T15)</f>
        <v>0</v>
      </c>
      <c r="U13" s="264" t="n">
        <f aca="false">IFERROR(T13/T$17,0)</f>
        <v>0</v>
      </c>
      <c r="V13" s="261" t="n">
        <f aca="false">IFERROR(T13/T$6,0)</f>
        <v>0</v>
      </c>
      <c r="W13" s="262" t="n">
        <f aca="false">IFERROR(T13/T$5,0)</f>
        <v>0</v>
      </c>
      <c r="X13" s="263" t="n">
        <f aca="false">SUM(START:END!X15:X15)</f>
        <v>0</v>
      </c>
      <c r="Y13" s="264" t="n">
        <f aca="false">IFERROR(X13/X$17,0)</f>
        <v>0</v>
      </c>
      <c r="Z13" s="261" t="n">
        <f aca="false">IFERROR(X13/X$6,0)</f>
        <v>0</v>
      </c>
      <c r="AA13" s="262" t="n">
        <f aca="false">IFERROR(X13/X$5,0)</f>
        <v>0</v>
      </c>
      <c r="AB13" s="263" t="n">
        <f aca="false">SUM(START:END!AB15:AB15)</f>
        <v>0</v>
      </c>
      <c r="AC13" s="264" t="n">
        <f aca="false">IFERROR(AB13/AB$17,0)</f>
        <v>0</v>
      </c>
      <c r="AD13" s="261" t="n">
        <f aca="false">IFERROR(AB13/AB$6,0)</f>
        <v>0</v>
      </c>
      <c r="AE13" s="262" t="n">
        <f aca="false">IFERROR(AB13/AB$5,0)</f>
        <v>0</v>
      </c>
      <c r="AF13" s="263" t="n">
        <f aca="false">SUM(START:END!AF15:AF15)</f>
        <v>0</v>
      </c>
      <c r="AG13" s="264" t="n">
        <f aca="false">IFERROR(AF13/AF$17,0)</f>
        <v>0</v>
      </c>
      <c r="AH13" s="261" t="n">
        <f aca="false">IFERROR(AF13/AF$6,0)</f>
        <v>0</v>
      </c>
      <c r="AI13" s="262" t="n">
        <f aca="false">IFERROR(AF13/AF$5,0)</f>
        <v>0</v>
      </c>
      <c r="AJ13" s="263" t="n">
        <f aca="false">SUM(START:END!AJ15:AJ15)</f>
        <v>0</v>
      </c>
      <c r="AK13" s="264" t="n">
        <f aca="false">IFERROR(AJ13/AJ$17,0)</f>
        <v>0</v>
      </c>
      <c r="AL13" s="261" t="n">
        <f aca="false">IFERROR(AJ13/AJ$6,0)</f>
        <v>0</v>
      </c>
      <c r="AM13" s="262" t="n">
        <f aca="false">IFERROR(AJ13/AJ$5,0)</f>
        <v>0</v>
      </c>
      <c r="AN13" s="263" t="n">
        <f aca="false">SUM(START:END!AN15:AN15)</f>
        <v>0</v>
      </c>
      <c r="AO13" s="264" t="n">
        <f aca="false">IFERROR(AN13/AN$17,0)</f>
        <v>0</v>
      </c>
      <c r="AP13" s="261" t="n">
        <f aca="false">IFERROR(AN13/AN$6,0)</f>
        <v>0</v>
      </c>
      <c r="AQ13" s="262" t="n">
        <f aca="false">IFERROR(AN13/AN$5,0)</f>
        <v>0</v>
      </c>
      <c r="AS13" s="219"/>
      <c r="AT13" s="257"/>
    </row>
    <row r="14" customFormat="false" ht="14.25" hidden="false" customHeight="true" outlineLevel="0" collapsed="false">
      <c r="C14" s="258" t="s">
        <v>136</v>
      </c>
      <c r="D14" s="259" t="n">
        <f aca="false">SUM(START:END!D16:D16)</f>
        <v>0</v>
      </c>
      <c r="E14" s="264" t="n">
        <f aca="false">IFERROR(D14/D$17,0)</f>
        <v>0</v>
      </c>
      <c r="F14" s="261" t="n">
        <f aca="false">IFERROR(D14/D$6,0)</f>
        <v>0</v>
      </c>
      <c r="G14" s="262" t="n">
        <f aca="false">IFERROR(D14/D$5,0)</f>
        <v>0</v>
      </c>
      <c r="H14" s="263" t="n">
        <f aca="false">SUM(START:END!H16:H16)</f>
        <v>0</v>
      </c>
      <c r="I14" s="264" t="n">
        <f aca="false">IFERROR(H14/H$17,0)</f>
        <v>0</v>
      </c>
      <c r="J14" s="261" t="n">
        <f aca="false">IFERROR(H14/H$6,0)</f>
        <v>0</v>
      </c>
      <c r="K14" s="262" t="n">
        <f aca="false">IFERROR(H14/H$5,0)</f>
        <v>0</v>
      </c>
      <c r="L14" s="263" t="n">
        <f aca="false">SUM(START:END!L16:L16)</f>
        <v>0</v>
      </c>
      <c r="M14" s="264" t="n">
        <f aca="false">IFERROR(L14/L$17,0)</f>
        <v>0</v>
      </c>
      <c r="N14" s="261" t="n">
        <f aca="false">IFERROR(L14/L$6,0)</f>
        <v>0</v>
      </c>
      <c r="O14" s="262" t="n">
        <f aca="false">IFERROR(L14/L$5,0)</f>
        <v>0</v>
      </c>
      <c r="P14" s="263" t="n">
        <f aca="false">SUM(START:END!P16:P16)</f>
        <v>0</v>
      </c>
      <c r="Q14" s="264" t="n">
        <f aca="false">IFERROR(P14/P$17,0)</f>
        <v>0</v>
      </c>
      <c r="R14" s="261" t="n">
        <f aca="false">IFERROR(P14/P$6,0)</f>
        <v>0</v>
      </c>
      <c r="S14" s="262" t="n">
        <f aca="false">IFERROR(P14/P$5,0)</f>
        <v>0</v>
      </c>
      <c r="T14" s="263" t="n">
        <f aca="false">SUM(START:END!T16:T16)</f>
        <v>0</v>
      </c>
      <c r="U14" s="264" t="n">
        <f aca="false">IFERROR(T14/T$17,0)</f>
        <v>0</v>
      </c>
      <c r="V14" s="261" t="n">
        <f aca="false">IFERROR(T14/T$6,0)</f>
        <v>0</v>
      </c>
      <c r="W14" s="262" t="n">
        <f aca="false">IFERROR(T14/T$5,0)</f>
        <v>0</v>
      </c>
      <c r="X14" s="263" t="n">
        <f aca="false">SUM(START:END!X16:X16)</f>
        <v>0</v>
      </c>
      <c r="Y14" s="264" t="n">
        <f aca="false">IFERROR(X14/X$17,0)</f>
        <v>0</v>
      </c>
      <c r="Z14" s="261" t="n">
        <f aca="false">IFERROR(X14/X$6,0)</f>
        <v>0</v>
      </c>
      <c r="AA14" s="262" t="n">
        <f aca="false">IFERROR(X14/X$5,0)</f>
        <v>0</v>
      </c>
      <c r="AB14" s="263" t="n">
        <f aca="false">SUM(START:END!AB16:AB16)</f>
        <v>0</v>
      </c>
      <c r="AC14" s="264" t="n">
        <f aca="false">IFERROR(AB14/AB$17,0)</f>
        <v>0</v>
      </c>
      <c r="AD14" s="261" t="n">
        <f aca="false">IFERROR(AB14/AB$6,0)</f>
        <v>0</v>
      </c>
      <c r="AE14" s="262" t="n">
        <f aca="false">IFERROR(AB14/AB$5,0)</f>
        <v>0</v>
      </c>
      <c r="AF14" s="263" t="n">
        <f aca="false">SUM(START:END!AF16:AF16)</f>
        <v>0</v>
      </c>
      <c r="AG14" s="264" t="n">
        <f aca="false">IFERROR(AF14/AF$17,0)</f>
        <v>0</v>
      </c>
      <c r="AH14" s="261" t="n">
        <f aca="false">IFERROR(AF14/AF$6,0)</f>
        <v>0</v>
      </c>
      <c r="AI14" s="262" t="n">
        <f aca="false">IFERROR(AF14/AF$5,0)</f>
        <v>0</v>
      </c>
      <c r="AJ14" s="263" t="n">
        <f aca="false">SUM(START:END!AJ16:AJ16)</f>
        <v>0</v>
      </c>
      <c r="AK14" s="264" t="n">
        <f aca="false">IFERROR(AJ14/AJ$17,0)</f>
        <v>0</v>
      </c>
      <c r="AL14" s="261" t="n">
        <f aca="false">IFERROR(AJ14/AJ$6,0)</f>
        <v>0</v>
      </c>
      <c r="AM14" s="262" t="n">
        <f aca="false">IFERROR(AJ14/AJ$5,0)</f>
        <v>0</v>
      </c>
      <c r="AN14" s="263" t="n">
        <f aca="false">SUM(START:END!AN16:AN16)</f>
        <v>0</v>
      </c>
      <c r="AO14" s="264" t="n">
        <f aca="false">IFERROR(AN14/AN$17,0)</f>
        <v>0</v>
      </c>
      <c r="AP14" s="261" t="n">
        <f aca="false">IFERROR(AN14/AN$6,0)</f>
        <v>0</v>
      </c>
      <c r="AQ14" s="262" t="n">
        <f aca="false">IFERROR(AN14/AN$5,0)</f>
        <v>0</v>
      </c>
      <c r="AS14" s="219"/>
      <c r="AT14" s="257"/>
    </row>
    <row r="15" customFormat="false" ht="14.25" hidden="false" customHeight="true" outlineLevel="0" collapsed="false">
      <c r="C15" s="258" t="s">
        <v>137</v>
      </c>
      <c r="D15" s="259" t="n">
        <f aca="false">SUM(START:END!D17:D17)</f>
        <v>0</v>
      </c>
      <c r="E15" s="264" t="n">
        <f aca="false">IFERROR(D15/D$17,0)</f>
        <v>0</v>
      </c>
      <c r="F15" s="261" t="n">
        <f aca="false">IFERROR(D15/D$6,0)</f>
        <v>0</v>
      </c>
      <c r="G15" s="262" t="n">
        <f aca="false">IFERROR(D15/D$5,0)</f>
        <v>0</v>
      </c>
      <c r="H15" s="263" t="n">
        <f aca="false">SUM(START:END!H17:H17)</f>
        <v>0</v>
      </c>
      <c r="I15" s="264" t="n">
        <f aca="false">IFERROR(H15/H$17,0)</f>
        <v>0</v>
      </c>
      <c r="J15" s="261" t="n">
        <f aca="false">IFERROR(H15/H$6,0)</f>
        <v>0</v>
      </c>
      <c r="K15" s="262" t="n">
        <f aca="false">IFERROR(H15/H$5,0)</f>
        <v>0</v>
      </c>
      <c r="L15" s="263" t="n">
        <f aca="false">SUM(START:END!L17:L17)</f>
        <v>0</v>
      </c>
      <c r="M15" s="264" t="n">
        <f aca="false">IFERROR(L15/L$17,0)</f>
        <v>0</v>
      </c>
      <c r="N15" s="261" t="n">
        <f aca="false">IFERROR(L15/L$6,0)</f>
        <v>0</v>
      </c>
      <c r="O15" s="262" t="n">
        <f aca="false">IFERROR(L15/L$5,0)</f>
        <v>0</v>
      </c>
      <c r="P15" s="263" t="n">
        <f aca="false">SUM(START:END!P17:P17)</f>
        <v>0</v>
      </c>
      <c r="Q15" s="264" t="n">
        <f aca="false">IFERROR(P15/P$17,0)</f>
        <v>0</v>
      </c>
      <c r="R15" s="261" t="n">
        <f aca="false">IFERROR(P15/P$6,0)</f>
        <v>0</v>
      </c>
      <c r="S15" s="262" t="n">
        <f aca="false">IFERROR(P15/P$5,0)</f>
        <v>0</v>
      </c>
      <c r="T15" s="263" t="n">
        <f aca="false">SUM(START:END!T17:T17)</f>
        <v>0</v>
      </c>
      <c r="U15" s="264" t="n">
        <f aca="false">IFERROR(T15/T$17,0)</f>
        <v>0</v>
      </c>
      <c r="V15" s="261" t="n">
        <f aca="false">IFERROR(T15/T$6,0)</f>
        <v>0</v>
      </c>
      <c r="W15" s="262" t="n">
        <f aca="false">IFERROR(T15/T$5,0)</f>
        <v>0</v>
      </c>
      <c r="X15" s="263" t="n">
        <f aca="false">SUM(START:END!X17:X17)</f>
        <v>0</v>
      </c>
      <c r="Y15" s="264" t="n">
        <f aca="false">IFERROR(X15/X$17,0)</f>
        <v>0</v>
      </c>
      <c r="Z15" s="261" t="n">
        <f aca="false">IFERROR(X15/X$6,0)</f>
        <v>0</v>
      </c>
      <c r="AA15" s="262" t="n">
        <f aca="false">IFERROR(X15/X$5,0)</f>
        <v>0</v>
      </c>
      <c r="AB15" s="263" t="n">
        <f aca="false">SUM(START:END!AB17:AB17)</f>
        <v>0</v>
      </c>
      <c r="AC15" s="264" t="n">
        <f aca="false">IFERROR(AB15/AB$17,0)</f>
        <v>0</v>
      </c>
      <c r="AD15" s="261" t="n">
        <f aca="false">IFERROR(AB15/AB$6,0)</f>
        <v>0</v>
      </c>
      <c r="AE15" s="262" t="n">
        <f aca="false">IFERROR(AB15/AB$5,0)</f>
        <v>0</v>
      </c>
      <c r="AF15" s="263" t="n">
        <f aca="false">SUM(START:END!AF17:AF17)</f>
        <v>0</v>
      </c>
      <c r="AG15" s="264" t="n">
        <f aca="false">IFERROR(AF15/AF$17,0)</f>
        <v>0</v>
      </c>
      <c r="AH15" s="261" t="n">
        <f aca="false">IFERROR(AF15/AF$6,0)</f>
        <v>0</v>
      </c>
      <c r="AI15" s="262" t="n">
        <f aca="false">IFERROR(AF15/AF$5,0)</f>
        <v>0</v>
      </c>
      <c r="AJ15" s="263" t="n">
        <f aca="false">SUM(START:END!AJ17:AJ17)</f>
        <v>0</v>
      </c>
      <c r="AK15" s="264" t="n">
        <f aca="false">IFERROR(AJ15/AJ$17,0)</f>
        <v>0</v>
      </c>
      <c r="AL15" s="261" t="n">
        <f aca="false">IFERROR(AJ15/AJ$6,0)</f>
        <v>0</v>
      </c>
      <c r="AM15" s="262" t="n">
        <f aca="false">IFERROR(AJ15/AJ$5,0)</f>
        <v>0</v>
      </c>
      <c r="AN15" s="263" t="n">
        <f aca="false">SUM(START:END!AN17:AN17)</f>
        <v>0</v>
      </c>
      <c r="AO15" s="264" t="n">
        <f aca="false">IFERROR(AN15/AN$17,0)</f>
        <v>0</v>
      </c>
      <c r="AP15" s="261" t="n">
        <f aca="false">IFERROR(AN15/AN$6,0)</f>
        <v>0</v>
      </c>
      <c r="AQ15" s="262" t="n">
        <f aca="false">IFERROR(AN15/AN$5,0)</f>
        <v>0</v>
      </c>
      <c r="AS15" s="219"/>
    </row>
    <row r="16" customFormat="false" ht="14.25" hidden="false" customHeight="true" outlineLevel="0" collapsed="false">
      <c r="C16" s="258" t="s">
        <v>138</v>
      </c>
      <c r="D16" s="259" t="n">
        <f aca="false">SUM(START:END!D18:D18)</f>
        <v>0</v>
      </c>
      <c r="E16" s="264" t="n">
        <f aca="false">IFERROR(D16/D$17,0)</f>
        <v>0</v>
      </c>
      <c r="F16" s="261" t="n">
        <f aca="false">IFERROR(D16/D$6,0)</f>
        <v>0</v>
      </c>
      <c r="G16" s="262" t="n">
        <f aca="false">IFERROR(D16/D$5,0)</f>
        <v>0</v>
      </c>
      <c r="H16" s="263" t="n">
        <f aca="false">SUM(START:END!H18:H18)</f>
        <v>0</v>
      </c>
      <c r="I16" s="264" t="n">
        <f aca="false">IFERROR(H16/H$17,0)</f>
        <v>0</v>
      </c>
      <c r="J16" s="261" t="n">
        <f aca="false">IFERROR(H16/H$6,0)</f>
        <v>0</v>
      </c>
      <c r="K16" s="262" t="n">
        <f aca="false">IFERROR(H16/H$5,0)</f>
        <v>0</v>
      </c>
      <c r="L16" s="263" t="n">
        <f aca="false">SUM(START:END!L18:L18)</f>
        <v>0</v>
      </c>
      <c r="M16" s="264" t="n">
        <f aca="false">IFERROR(L16/L$17,0)</f>
        <v>0</v>
      </c>
      <c r="N16" s="261" t="n">
        <f aca="false">IFERROR(L16/L$6,0)</f>
        <v>0</v>
      </c>
      <c r="O16" s="262" t="n">
        <f aca="false">IFERROR(L16/L$5,0)</f>
        <v>0</v>
      </c>
      <c r="P16" s="263" t="n">
        <f aca="false">SUM(START:END!P18:P18)</f>
        <v>0</v>
      </c>
      <c r="Q16" s="264" t="n">
        <f aca="false">IFERROR(P16/P$17,0)</f>
        <v>0</v>
      </c>
      <c r="R16" s="261" t="n">
        <f aca="false">IFERROR(P16/P$6,0)</f>
        <v>0</v>
      </c>
      <c r="S16" s="262" t="n">
        <f aca="false">IFERROR(P16/P$5,0)</f>
        <v>0</v>
      </c>
      <c r="T16" s="263" t="n">
        <f aca="false">SUM(START:END!T18:T18)</f>
        <v>0</v>
      </c>
      <c r="U16" s="264" t="n">
        <f aca="false">IFERROR(T16/T$17,0)</f>
        <v>0</v>
      </c>
      <c r="V16" s="261" t="n">
        <f aca="false">IFERROR(T16/T$6,0)</f>
        <v>0</v>
      </c>
      <c r="W16" s="262" t="n">
        <f aca="false">IFERROR(T16/T$5,0)</f>
        <v>0</v>
      </c>
      <c r="X16" s="263" t="n">
        <f aca="false">SUM(START:END!X18:X18)</f>
        <v>0</v>
      </c>
      <c r="Y16" s="264" t="n">
        <f aca="false">IFERROR(X16/X$17,0)</f>
        <v>0</v>
      </c>
      <c r="Z16" s="261" t="n">
        <f aca="false">IFERROR(X16/X$6,0)</f>
        <v>0</v>
      </c>
      <c r="AA16" s="262" t="n">
        <f aca="false">IFERROR(X16/X$5,0)</f>
        <v>0</v>
      </c>
      <c r="AB16" s="263" t="n">
        <f aca="false">SUM(START:END!AB18:AB18)</f>
        <v>0</v>
      </c>
      <c r="AC16" s="264" t="n">
        <f aca="false">IFERROR(AB16/AB$17,0)</f>
        <v>0</v>
      </c>
      <c r="AD16" s="261" t="n">
        <f aca="false">IFERROR(AB16/AB$6,0)</f>
        <v>0</v>
      </c>
      <c r="AE16" s="262" t="n">
        <f aca="false">IFERROR(AB16/AB$5,0)</f>
        <v>0</v>
      </c>
      <c r="AF16" s="263" t="n">
        <f aca="false">SUM(START:END!AF18:AF18)</f>
        <v>0</v>
      </c>
      <c r="AG16" s="264" t="n">
        <f aca="false">IFERROR(AF16/AF$17,0)</f>
        <v>0</v>
      </c>
      <c r="AH16" s="261" t="n">
        <f aca="false">IFERROR(AF16/AF$6,0)</f>
        <v>0</v>
      </c>
      <c r="AI16" s="262" t="n">
        <f aca="false">IFERROR(AF16/AF$5,0)</f>
        <v>0</v>
      </c>
      <c r="AJ16" s="263" t="n">
        <f aca="false">SUM(START:END!AJ18:AJ18)</f>
        <v>0</v>
      </c>
      <c r="AK16" s="264" t="n">
        <f aca="false">IFERROR(AJ16/AJ$17,0)</f>
        <v>0</v>
      </c>
      <c r="AL16" s="261" t="n">
        <f aca="false">IFERROR(AJ16/AJ$6,0)</f>
        <v>0</v>
      </c>
      <c r="AM16" s="262" t="n">
        <f aca="false">IFERROR(AJ16/AJ$5,0)</f>
        <v>0</v>
      </c>
      <c r="AN16" s="263" t="n">
        <f aca="false">SUM(START:END!AN18:AN18)</f>
        <v>0</v>
      </c>
      <c r="AO16" s="264" t="n">
        <f aca="false">IFERROR(AN16/AN$17,0)</f>
        <v>0</v>
      </c>
      <c r="AP16" s="261" t="n">
        <f aca="false">IFERROR(AN16/AN$6,0)</f>
        <v>0</v>
      </c>
      <c r="AQ16" s="262" t="n">
        <f aca="false">IFERROR(AN16/AN$5,0)</f>
        <v>0</v>
      </c>
      <c r="AS16" s="219"/>
    </row>
    <row r="17" customFormat="false" ht="14.25" hidden="false" customHeight="true" outlineLevel="0" collapsed="false">
      <c r="C17" s="265" t="s">
        <v>139</v>
      </c>
      <c r="D17" s="266" t="n">
        <f aca="false">SUM(D12:D16)</f>
        <v>0</v>
      </c>
      <c r="E17" s="267" t="n">
        <f aca="false">IFERROR(D17/D$17,0)</f>
        <v>0</v>
      </c>
      <c r="F17" s="268" t="n">
        <f aca="false">IFERROR(D17/D$6,0)</f>
        <v>0</v>
      </c>
      <c r="G17" s="269" t="n">
        <f aca="false">IFERROR(D17/D$5,0)</f>
        <v>0</v>
      </c>
      <c r="H17" s="270" t="n">
        <f aca="false">SUM(H12:H16)</f>
        <v>0</v>
      </c>
      <c r="I17" s="267" t="n">
        <f aca="false">IFERROR(H17/H$17,0)</f>
        <v>0</v>
      </c>
      <c r="J17" s="268" t="n">
        <f aca="false">IFERROR(H17/H$6,0)</f>
        <v>0</v>
      </c>
      <c r="K17" s="269" t="n">
        <f aca="false">IFERROR(H17/H$5,0)</f>
        <v>0</v>
      </c>
      <c r="L17" s="270" t="n">
        <f aca="false">SUM(L12:L16)</f>
        <v>0</v>
      </c>
      <c r="M17" s="267" t="n">
        <f aca="false">IFERROR(L17/L$17,0)</f>
        <v>0</v>
      </c>
      <c r="N17" s="268" t="n">
        <f aca="false">IFERROR(L17/L$6,0)</f>
        <v>0</v>
      </c>
      <c r="O17" s="269" t="n">
        <f aca="false">IFERROR(L17/L$5,0)</f>
        <v>0</v>
      </c>
      <c r="P17" s="270" t="n">
        <f aca="false">SUM(P12:P16)</f>
        <v>0</v>
      </c>
      <c r="Q17" s="267" t="n">
        <f aca="false">IFERROR(P17/P$17,0)</f>
        <v>0</v>
      </c>
      <c r="R17" s="268" t="n">
        <f aca="false">IFERROR(P17/P$6,0)</f>
        <v>0</v>
      </c>
      <c r="S17" s="269" t="n">
        <f aca="false">IFERROR(P17/P$5,0)</f>
        <v>0</v>
      </c>
      <c r="T17" s="270" t="n">
        <f aca="false">SUM(T12:T16)</f>
        <v>0</v>
      </c>
      <c r="U17" s="267" t="n">
        <f aca="false">IFERROR(T17/T$17,0)</f>
        <v>0</v>
      </c>
      <c r="V17" s="268" t="n">
        <f aca="false">IFERROR(T17/T$6,0)</f>
        <v>0</v>
      </c>
      <c r="W17" s="269" t="n">
        <f aca="false">IFERROR(T17/T$5,0)</f>
        <v>0</v>
      </c>
      <c r="X17" s="270" t="n">
        <f aca="false">SUM(X12:X16)</f>
        <v>0</v>
      </c>
      <c r="Y17" s="267" t="n">
        <f aca="false">IFERROR(X17/X$17,0)</f>
        <v>0</v>
      </c>
      <c r="Z17" s="268" t="n">
        <f aca="false">IFERROR(X17/X$6,0)</f>
        <v>0</v>
      </c>
      <c r="AA17" s="269" t="n">
        <f aca="false">IFERROR(X17/X$5,0)</f>
        <v>0</v>
      </c>
      <c r="AB17" s="270" t="n">
        <f aca="false">SUM(AB12:AB16)</f>
        <v>0</v>
      </c>
      <c r="AC17" s="267" t="n">
        <f aca="false">IFERROR(AB17/AB$17,0)</f>
        <v>0</v>
      </c>
      <c r="AD17" s="268" t="n">
        <f aca="false">IFERROR(AB17/AB$6,0)</f>
        <v>0</v>
      </c>
      <c r="AE17" s="269" t="n">
        <f aca="false">IFERROR(AB17/AB$5,0)</f>
        <v>0</v>
      </c>
      <c r="AF17" s="270" t="n">
        <f aca="false">SUM(AF12:AF16)</f>
        <v>0</v>
      </c>
      <c r="AG17" s="267" t="n">
        <f aca="false">IFERROR(AF17/AF$17,0)</f>
        <v>0</v>
      </c>
      <c r="AH17" s="268" t="n">
        <f aca="false">IFERROR(AF17/AF$6,0)</f>
        <v>0</v>
      </c>
      <c r="AI17" s="269" t="n">
        <f aca="false">IFERROR(AF17/AF$5,0)</f>
        <v>0</v>
      </c>
      <c r="AJ17" s="270" t="n">
        <f aca="false">SUM(AJ12:AJ16)</f>
        <v>0</v>
      </c>
      <c r="AK17" s="267" t="n">
        <f aca="false">IFERROR(AJ17/AJ$17,0)</f>
        <v>0</v>
      </c>
      <c r="AL17" s="268" t="n">
        <f aca="false">IFERROR(AJ17/AJ$6,0)</f>
        <v>0</v>
      </c>
      <c r="AM17" s="269" t="n">
        <f aca="false">IFERROR(AJ17/AJ$5,0)</f>
        <v>0</v>
      </c>
      <c r="AN17" s="270" t="n">
        <f aca="false">SUM(AN12:AN16)</f>
        <v>0</v>
      </c>
      <c r="AO17" s="267" t="n">
        <f aca="false">IFERROR(AN17/AN$17,0)</f>
        <v>0</v>
      </c>
      <c r="AP17" s="268" t="n">
        <f aca="false">IFERROR(AN17/AN$6,0)</f>
        <v>0</v>
      </c>
      <c r="AQ17" s="269" t="n">
        <f aca="false">IFERROR(AN17/AN$5,0)</f>
        <v>0</v>
      </c>
    </row>
    <row r="18" customFormat="false" ht="14.25" hidden="false" customHeight="true" outlineLevel="0" collapsed="false">
      <c r="C18" s="271"/>
      <c r="D18" s="272"/>
      <c r="E18" s="273"/>
      <c r="F18" s="274"/>
      <c r="G18" s="275"/>
      <c r="H18" s="276"/>
      <c r="I18" s="273"/>
      <c r="J18" s="274"/>
      <c r="K18" s="275"/>
      <c r="L18" s="276"/>
      <c r="M18" s="273"/>
      <c r="N18" s="274"/>
      <c r="O18" s="275"/>
      <c r="P18" s="276"/>
      <c r="Q18" s="273"/>
      <c r="R18" s="274"/>
      <c r="S18" s="275"/>
      <c r="T18" s="276"/>
      <c r="U18" s="273"/>
      <c r="V18" s="274"/>
      <c r="W18" s="275"/>
      <c r="X18" s="276"/>
      <c r="Y18" s="273"/>
      <c r="Z18" s="274"/>
      <c r="AA18" s="275"/>
      <c r="AB18" s="276"/>
      <c r="AC18" s="273"/>
      <c r="AD18" s="274"/>
      <c r="AE18" s="275"/>
      <c r="AF18" s="276"/>
      <c r="AG18" s="273"/>
      <c r="AH18" s="274"/>
      <c r="AI18" s="275"/>
      <c r="AJ18" s="276"/>
      <c r="AK18" s="273"/>
      <c r="AL18" s="274"/>
      <c r="AM18" s="275"/>
      <c r="AN18" s="276"/>
      <c r="AO18" s="273"/>
      <c r="AP18" s="274"/>
      <c r="AQ18" s="275"/>
    </row>
    <row r="19" customFormat="false" ht="14.25" hidden="false" customHeight="true" outlineLevel="0" collapsed="false">
      <c r="C19" s="271" t="s">
        <v>140</v>
      </c>
      <c r="D19" s="277"/>
      <c r="E19" s="278"/>
      <c r="F19" s="277"/>
      <c r="G19" s="279"/>
      <c r="H19" s="280"/>
      <c r="I19" s="278"/>
      <c r="J19" s="277"/>
      <c r="K19" s="279"/>
      <c r="L19" s="280"/>
      <c r="M19" s="278"/>
      <c r="N19" s="277"/>
      <c r="O19" s="279"/>
      <c r="P19" s="280"/>
      <c r="Q19" s="278"/>
      <c r="R19" s="277"/>
      <c r="S19" s="279"/>
      <c r="T19" s="280"/>
      <c r="U19" s="278"/>
      <c r="V19" s="277"/>
      <c r="W19" s="279"/>
      <c r="X19" s="280"/>
      <c r="Y19" s="278"/>
      <c r="Z19" s="277"/>
      <c r="AA19" s="279"/>
      <c r="AB19" s="280"/>
      <c r="AC19" s="278"/>
      <c r="AD19" s="277"/>
      <c r="AE19" s="279"/>
      <c r="AF19" s="280"/>
      <c r="AG19" s="278"/>
      <c r="AH19" s="277"/>
      <c r="AI19" s="279"/>
      <c r="AJ19" s="280"/>
      <c r="AK19" s="278"/>
      <c r="AL19" s="277"/>
      <c r="AM19" s="279"/>
      <c r="AN19" s="280"/>
      <c r="AO19" s="278"/>
      <c r="AP19" s="277"/>
      <c r="AQ19" s="279"/>
    </row>
    <row r="20" customFormat="false" ht="14.25" hidden="false" customHeight="true" outlineLevel="0" collapsed="false">
      <c r="C20" s="281" t="s">
        <v>141</v>
      </c>
      <c r="D20" s="259" t="n">
        <f aca="false">SUM(START:END!D22:D22)</f>
        <v>0</v>
      </c>
      <c r="E20" s="264" t="n">
        <f aca="false">IFERROR(D20/D12,0)</f>
        <v>0</v>
      </c>
      <c r="F20" s="261" t="n">
        <f aca="false">IFERROR(D20/D$6,0)</f>
        <v>0</v>
      </c>
      <c r="G20" s="262" t="n">
        <f aca="false">IFERROR(D20/D$5,0)</f>
        <v>0</v>
      </c>
      <c r="H20" s="263" t="n">
        <f aca="false">SUM(START:END!H22:H22)</f>
        <v>0</v>
      </c>
      <c r="I20" s="264" t="n">
        <f aca="false">IFERROR(H20/H12,0)</f>
        <v>0</v>
      </c>
      <c r="J20" s="261" t="n">
        <f aca="false">IFERROR(H20/H$6,0)</f>
        <v>0</v>
      </c>
      <c r="K20" s="262" t="n">
        <f aca="false">IFERROR(H20/H$5,0)</f>
        <v>0</v>
      </c>
      <c r="L20" s="263" t="n">
        <f aca="false">SUM(START:END!L22:L22)</f>
        <v>0</v>
      </c>
      <c r="M20" s="264" t="n">
        <f aca="false">IFERROR(L20/L12,0)</f>
        <v>0</v>
      </c>
      <c r="N20" s="261" t="n">
        <f aca="false">IFERROR(L20/L$6,0)</f>
        <v>0</v>
      </c>
      <c r="O20" s="262" t="n">
        <f aca="false">IFERROR(L20/L$5,0)</f>
        <v>0</v>
      </c>
      <c r="P20" s="263" t="n">
        <f aca="false">SUM(START:END!P22:P22)</f>
        <v>0</v>
      </c>
      <c r="Q20" s="264" t="n">
        <f aca="false">IFERROR(P20/P12,0)</f>
        <v>0</v>
      </c>
      <c r="R20" s="261" t="n">
        <f aca="false">IFERROR(P20/P$6,0)</f>
        <v>0</v>
      </c>
      <c r="S20" s="262" t="n">
        <f aca="false">IFERROR(P20/P$5,0)</f>
        <v>0</v>
      </c>
      <c r="T20" s="263" t="n">
        <f aca="false">SUM(START:END!T22:T22)</f>
        <v>0</v>
      </c>
      <c r="U20" s="264" t="n">
        <f aca="false">IFERROR(T20/T12,0)</f>
        <v>0</v>
      </c>
      <c r="V20" s="261" t="n">
        <f aca="false">IFERROR(T20/T$6,0)</f>
        <v>0</v>
      </c>
      <c r="W20" s="262" t="n">
        <f aca="false">IFERROR(T20/T$5,0)</f>
        <v>0</v>
      </c>
      <c r="X20" s="263" t="n">
        <f aca="false">SUM(START:END!X22:X22)</f>
        <v>0</v>
      </c>
      <c r="Y20" s="264" t="n">
        <f aca="false">IFERROR(X20/X12,0)</f>
        <v>0</v>
      </c>
      <c r="Z20" s="261" t="n">
        <f aca="false">IFERROR(X20/X$6,0)</f>
        <v>0</v>
      </c>
      <c r="AA20" s="262" t="n">
        <f aca="false">IFERROR(X20/X$5,0)</f>
        <v>0</v>
      </c>
      <c r="AB20" s="263" t="n">
        <f aca="false">SUM(START:END!AB22:AB22)</f>
        <v>0</v>
      </c>
      <c r="AC20" s="264" t="n">
        <f aca="false">IFERROR(AB20/AB12,0)</f>
        <v>0</v>
      </c>
      <c r="AD20" s="261" t="n">
        <f aca="false">IFERROR(AB20/AB$6,0)</f>
        <v>0</v>
      </c>
      <c r="AE20" s="262" t="n">
        <f aca="false">IFERROR(AB20/AB$5,0)</f>
        <v>0</v>
      </c>
      <c r="AF20" s="263" t="n">
        <f aca="false">SUM(START:END!AF22:AF22)</f>
        <v>0</v>
      </c>
      <c r="AG20" s="264" t="n">
        <f aca="false">IFERROR(AF20/AF12,0)</f>
        <v>0</v>
      </c>
      <c r="AH20" s="261" t="n">
        <f aca="false">IFERROR(AF20/AF$6,0)</f>
        <v>0</v>
      </c>
      <c r="AI20" s="262" t="n">
        <f aca="false">IFERROR(AF20/AF$5,0)</f>
        <v>0</v>
      </c>
      <c r="AJ20" s="263" t="n">
        <f aca="false">SUM(START:END!AJ22:AJ22)</f>
        <v>0</v>
      </c>
      <c r="AK20" s="264" t="n">
        <f aca="false">IFERROR(AJ20/AJ12,0)</f>
        <v>0</v>
      </c>
      <c r="AL20" s="261" t="n">
        <f aca="false">IFERROR(AJ20/AJ$6,0)</f>
        <v>0</v>
      </c>
      <c r="AM20" s="262" t="n">
        <f aca="false">IFERROR(AJ20/AJ$5,0)</f>
        <v>0</v>
      </c>
      <c r="AN20" s="263" t="n">
        <f aca="false">SUM(START:END!AN22:AN22)</f>
        <v>0</v>
      </c>
      <c r="AO20" s="264" t="n">
        <f aca="false">IFERROR(AN20/AN12,0)</f>
        <v>0</v>
      </c>
      <c r="AP20" s="261" t="n">
        <f aca="false">IFERROR(AN20/AN$6,0)</f>
        <v>0</v>
      </c>
      <c r="AQ20" s="262" t="n">
        <f aca="false">IFERROR(AN20/AN$5,0)</f>
        <v>0</v>
      </c>
      <c r="AS20" s="282"/>
    </row>
    <row r="21" customFormat="false" ht="14.25" hidden="false" customHeight="true" outlineLevel="0" collapsed="false">
      <c r="C21" s="281" t="s">
        <v>142</v>
      </c>
      <c r="D21" s="259" t="n">
        <f aca="false">SUM(START:END!D23:D23)</f>
        <v>0</v>
      </c>
      <c r="E21" s="264" t="n">
        <f aca="false">IFERROR(D21/D13,0)</f>
        <v>0</v>
      </c>
      <c r="F21" s="261" t="n">
        <f aca="false">IFERROR(D21/D$6,0)</f>
        <v>0</v>
      </c>
      <c r="G21" s="262" t="n">
        <f aca="false">IFERROR(D21/D$5,0)</f>
        <v>0</v>
      </c>
      <c r="H21" s="263" t="n">
        <f aca="false">SUM(START:END!H23:H23)</f>
        <v>0</v>
      </c>
      <c r="I21" s="264" t="n">
        <f aca="false">IFERROR(H21/H13,0)</f>
        <v>0</v>
      </c>
      <c r="J21" s="261" t="n">
        <f aca="false">IFERROR(H21/H$6,0)</f>
        <v>0</v>
      </c>
      <c r="K21" s="262" t="n">
        <f aca="false">IFERROR(H21/H$5,0)</f>
        <v>0</v>
      </c>
      <c r="L21" s="263" t="n">
        <f aca="false">SUM(START:END!L23:L23)</f>
        <v>0</v>
      </c>
      <c r="M21" s="264" t="n">
        <f aca="false">IFERROR(L21/L13,0)</f>
        <v>0</v>
      </c>
      <c r="N21" s="261" t="n">
        <f aca="false">IFERROR(L21/L$6,0)</f>
        <v>0</v>
      </c>
      <c r="O21" s="262" t="n">
        <f aca="false">IFERROR(L21/L$5,0)</f>
        <v>0</v>
      </c>
      <c r="P21" s="263" t="n">
        <f aca="false">SUM(START:END!P23:P23)</f>
        <v>0</v>
      </c>
      <c r="Q21" s="264" t="n">
        <f aca="false">IFERROR(P21/P13,0)</f>
        <v>0</v>
      </c>
      <c r="R21" s="261" t="n">
        <f aca="false">IFERROR(P21/P$6,0)</f>
        <v>0</v>
      </c>
      <c r="S21" s="262" t="n">
        <f aca="false">IFERROR(P21/P$5,0)</f>
        <v>0</v>
      </c>
      <c r="T21" s="263" t="n">
        <f aca="false">SUM(START:END!T23:T23)</f>
        <v>0</v>
      </c>
      <c r="U21" s="264" t="n">
        <f aca="false">IFERROR(T21/T13,0)</f>
        <v>0</v>
      </c>
      <c r="V21" s="261" t="n">
        <f aca="false">IFERROR(T21/T$6,0)</f>
        <v>0</v>
      </c>
      <c r="W21" s="262" t="n">
        <f aca="false">IFERROR(T21/T$5,0)</f>
        <v>0</v>
      </c>
      <c r="X21" s="263" t="n">
        <f aca="false">SUM(START:END!X23:X23)</f>
        <v>0</v>
      </c>
      <c r="Y21" s="264" t="n">
        <f aca="false">IFERROR(X21/X13,0)</f>
        <v>0</v>
      </c>
      <c r="Z21" s="261" t="n">
        <f aca="false">IFERROR(X21/X$6,0)</f>
        <v>0</v>
      </c>
      <c r="AA21" s="262" t="n">
        <f aca="false">IFERROR(X21/X$5,0)</f>
        <v>0</v>
      </c>
      <c r="AB21" s="263" t="n">
        <f aca="false">SUM(START:END!AB23:AB23)</f>
        <v>0</v>
      </c>
      <c r="AC21" s="264" t="n">
        <f aca="false">IFERROR(AB21/AB13,0)</f>
        <v>0</v>
      </c>
      <c r="AD21" s="261" t="n">
        <f aca="false">IFERROR(AB21/AB$6,0)</f>
        <v>0</v>
      </c>
      <c r="AE21" s="262" t="n">
        <f aca="false">IFERROR(AB21/AB$5,0)</f>
        <v>0</v>
      </c>
      <c r="AF21" s="263" t="n">
        <f aca="false">SUM(START:END!AF23:AF23)</f>
        <v>0</v>
      </c>
      <c r="AG21" s="264" t="n">
        <f aca="false">IFERROR(AF21/AF13,0)</f>
        <v>0</v>
      </c>
      <c r="AH21" s="261" t="n">
        <f aca="false">IFERROR(AF21/AF$6,0)</f>
        <v>0</v>
      </c>
      <c r="AI21" s="262" t="n">
        <f aca="false">IFERROR(AF21/AF$5,0)</f>
        <v>0</v>
      </c>
      <c r="AJ21" s="263" t="n">
        <f aca="false">SUM(START:END!AJ23:AJ23)</f>
        <v>0</v>
      </c>
      <c r="AK21" s="264" t="n">
        <f aca="false">IFERROR(AJ21/AJ13,0)</f>
        <v>0</v>
      </c>
      <c r="AL21" s="261" t="n">
        <f aca="false">IFERROR(AJ21/AJ$6,0)</f>
        <v>0</v>
      </c>
      <c r="AM21" s="262" t="n">
        <f aca="false">IFERROR(AJ21/AJ$5,0)</f>
        <v>0</v>
      </c>
      <c r="AN21" s="263" t="n">
        <f aca="false">SUM(START:END!AN23:AN23)</f>
        <v>0</v>
      </c>
      <c r="AO21" s="264" t="n">
        <f aca="false">IFERROR(AN21/AN13,0)</f>
        <v>0</v>
      </c>
      <c r="AP21" s="261" t="n">
        <f aca="false">IFERROR(AN21/AN$6,0)</f>
        <v>0</v>
      </c>
      <c r="AQ21" s="262" t="n">
        <f aca="false">IFERROR(AN21/AN$5,0)</f>
        <v>0</v>
      </c>
      <c r="AS21" s="282"/>
    </row>
    <row r="22" customFormat="false" ht="14.25" hidden="false" customHeight="true" outlineLevel="0" collapsed="false">
      <c r="C22" s="281" t="s">
        <v>143</v>
      </c>
      <c r="D22" s="259" t="n">
        <f aca="false">SUM(START:END!D24:D24)</f>
        <v>0</v>
      </c>
      <c r="E22" s="264" t="n">
        <f aca="false">IFERROR(D22/D14,0)</f>
        <v>0</v>
      </c>
      <c r="F22" s="261" t="n">
        <f aca="false">IFERROR(D22/D$6,0)</f>
        <v>0</v>
      </c>
      <c r="G22" s="262" t="n">
        <f aca="false">IFERROR(D22/D$5,0)</f>
        <v>0</v>
      </c>
      <c r="H22" s="263" t="n">
        <f aca="false">SUM(START:END!H24:H24)</f>
        <v>0</v>
      </c>
      <c r="I22" s="264" t="n">
        <f aca="false">IFERROR(H22/H14,0)</f>
        <v>0</v>
      </c>
      <c r="J22" s="261" t="n">
        <f aca="false">IFERROR(H22/H$6,0)</f>
        <v>0</v>
      </c>
      <c r="K22" s="262" t="n">
        <f aca="false">IFERROR(H22/H$5,0)</f>
        <v>0</v>
      </c>
      <c r="L22" s="263" t="n">
        <f aca="false">SUM(START:END!L24:L24)</f>
        <v>0</v>
      </c>
      <c r="M22" s="264" t="n">
        <f aca="false">IFERROR(L22/L14,0)</f>
        <v>0</v>
      </c>
      <c r="N22" s="261" t="n">
        <f aca="false">IFERROR(L22/L$6,0)</f>
        <v>0</v>
      </c>
      <c r="O22" s="262" t="n">
        <f aca="false">IFERROR(L22/L$5,0)</f>
        <v>0</v>
      </c>
      <c r="P22" s="263" t="n">
        <f aca="false">SUM(START:END!P24:P24)</f>
        <v>0</v>
      </c>
      <c r="Q22" s="264" t="n">
        <f aca="false">IFERROR(P22/P14,0)</f>
        <v>0</v>
      </c>
      <c r="R22" s="261" t="n">
        <f aca="false">IFERROR(P22/P$6,0)</f>
        <v>0</v>
      </c>
      <c r="S22" s="262" t="n">
        <f aca="false">IFERROR(P22/P$5,0)</f>
        <v>0</v>
      </c>
      <c r="T22" s="263" t="n">
        <f aca="false">SUM(START:END!T24:T24)</f>
        <v>0</v>
      </c>
      <c r="U22" s="264" t="n">
        <f aca="false">IFERROR(T22/T14,0)</f>
        <v>0</v>
      </c>
      <c r="V22" s="261" t="n">
        <f aca="false">IFERROR(T22/T$6,0)</f>
        <v>0</v>
      </c>
      <c r="W22" s="262" t="n">
        <f aca="false">IFERROR(T22/T$5,0)</f>
        <v>0</v>
      </c>
      <c r="X22" s="263" t="n">
        <f aca="false">SUM(START:END!X24:X24)</f>
        <v>0</v>
      </c>
      <c r="Y22" s="264" t="n">
        <f aca="false">IFERROR(X22/X14,0)</f>
        <v>0</v>
      </c>
      <c r="Z22" s="261" t="n">
        <f aca="false">IFERROR(X22/X$6,0)</f>
        <v>0</v>
      </c>
      <c r="AA22" s="262" t="n">
        <f aca="false">IFERROR(X22/X$5,0)</f>
        <v>0</v>
      </c>
      <c r="AB22" s="263" t="n">
        <f aca="false">SUM(START:END!AB24:AB24)</f>
        <v>0</v>
      </c>
      <c r="AC22" s="264" t="n">
        <f aca="false">IFERROR(AB22/AB14,0)</f>
        <v>0</v>
      </c>
      <c r="AD22" s="261" t="n">
        <f aca="false">IFERROR(AB22/AB$6,0)</f>
        <v>0</v>
      </c>
      <c r="AE22" s="262" t="n">
        <f aca="false">IFERROR(AB22/AB$5,0)</f>
        <v>0</v>
      </c>
      <c r="AF22" s="263" t="n">
        <f aca="false">SUM(START:END!AF24:AF24)</f>
        <v>0</v>
      </c>
      <c r="AG22" s="264" t="n">
        <f aca="false">IFERROR(AF22/AF14,0)</f>
        <v>0</v>
      </c>
      <c r="AH22" s="261" t="n">
        <f aca="false">IFERROR(AF22/AF$6,0)</f>
        <v>0</v>
      </c>
      <c r="AI22" s="262" t="n">
        <f aca="false">IFERROR(AF22/AF$5,0)</f>
        <v>0</v>
      </c>
      <c r="AJ22" s="263" t="n">
        <f aca="false">SUM(START:END!AJ24:AJ24)</f>
        <v>0</v>
      </c>
      <c r="AK22" s="264" t="n">
        <f aca="false">IFERROR(AJ22/AJ14,0)</f>
        <v>0</v>
      </c>
      <c r="AL22" s="261" t="n">
        <f aca="false">IFERROR(AJ22/AJ$6,0)</f>
        <v>0</v>
      </c>
      <c r="AM22" s="262" t="n">
        <f aca="false">IFERROR(AJ22/AJ$5,0)</f>
        <v>0</v>
      </c>
      <c r="AN22" s="263" t="n">
        <f aca="false">SUM(START:END!AN24:AN24)</f>
        <v>0</v>
      </c>
      <c r="AO22" s="264" t="n">
        <f aca="false">IFERROR(AN22/AN14,0)</f>
        <v>0</v>
      </c>
      <c r="AP22" s="261" t="n">
        <f aca="false">IFERROR(AN22/AN$6,0)</f>
        <v>0</v>
      </c>
      <c r="AQ22" s="262" t="n">
        <f aca="false">IFERROR(AN22/AN$5,0)</f>
        <v>0</v>
      </c>
      <c r="AS22" s="283"/>
    </row>
    <row r="23" customFormat="false" ht="14.25" hidden="false" customHeight="true" outlineLevel="0" collapsed="false">
      <c r="C23" s="284" t="s">
        <v>144</v>
      </c>
      <c r="D23" s="285" t="n">
        <f aca="false">SUM(D20:D22)</f>
        <v>0</v>
      </c>
      <c r="E23" s="286" t="n">
        <f aca="false">IFERROR(D23/D$17,0)</f>
        <v>0</v>
      </c>
      <c r="F23" s="287" t="n">
        <f aca="false">IFERROR(D23/D$6,0)</f>
        <v>0</v>
      </c>
      <c r="G23" s="288" t="n">
        <f aca="false">IFERROR(D23/D$5,0)</f>
        <v>0</v>
      </c>
      <c r="H23" s="289" t="n">
        <f aca="false">SUM(H20:H22)</f>
        <v>0</v>
      </c>
      <c r="I23" s="286" t="n">
        <f aca="false">IFERROR(H23/H$17,0)</f>
        <v>0</v>
      </c>
      <c r="J23" s="287" t="n">
        <f aca="false">IFERROR(H23/H$6,0)</f>
        <v>0</v>
      </c>
      <c r="K23" s="288" t="n">
        <f aca="false">IFERROR(H23/H$5,0)</f>
        <v>0</v>
      </c>
      <c r="L23" s="289" t="n">
        <f aca="false">SUM(L20:L22)</f>
        <v>0</v>
      </c>
      <c r="M23" s="286" t="n">
        <f aca="false">IFERROR(L23/L$17,0)</f>
        <v>0</v>
      </c>
      <c r="N23" s="287" t="n">
        <f aca="false">IFERROR(L23/L$6,0)</f>
        <v>0</v>
      </c>
      <c r="O23" s="288" t="n">
        <f aca="false">IFERROR(L23/L$5,0)</f>
        <v>0</v>
      </c>
      <c r="P23" s="289" t="n">
        <f aca="false">SUM(P20:P22)</f>
        <v>0</v>
      </c>
      <c r="Q23" s="286" t="n">
        <f aca="false">IFERROR(P23/P$17,0)</f>
        <v>0</v>
      </c>
      <c r="R23" s="287" t="n">
        <f aca="false">IFERROR(P23/P$6,0)</f>
        <v>0</v>
      </c>
      <c r="S23" s="288" t="n">
        <f aca="false">IFERROR(P23/P$5,0)</f>
        <v>0</v>
      </c>
      <c r="T23" s="289" t="n">
        <f aca="false">SUM(T20:T22)</f>
        <v>0</v>
      </c>
      <c r="U23" s="286" t="n">
        <f aca="false">IFERROR(T23/T$17,0)</f>
        <v>0</v>
      </c>
      <c r="V23" s="287" t="n">
        <f aca="false">IFERROR(T23/T$6,0)</f>
        <v>0</v>
      </c>
      <c r="W23" s="288" t="n">
        <f aca="false">IFERROR(T23/T$5,0)</f>
        <v>0</v>
      </c>
      <c r="X23" s="289" t="n">
        <f aca="false">SUM(X20:X22)</f>
        <v>0</v>
      </c>
      <c r="Y23" s="286" t="n">
        <f aca="false">IFERROR(X23/X$17,0)</f>
        <v>0</v>
      </c>
      <c r="Z23" s="287" t="n">
        <f aca="false">IFERROR(X23/X$6,0)</f>
        <v>0</v>
      </c>
      <c r="AA23" s="288" t="n">
        <f aca="false">IFERROR(X23/X$5,0)</f>
        <v>0</v>
      </c>
      <c r="AB23" s="289" t="n">
        <f aca="false">SUM(AB20:AB22)</f>
        <v>0</v>
      </c>
      <c r="AC23" s="286" t="n">
        <f aca="false">IFERROR(AB23/AB$17,0)</f>
        <v>0</v>
      </c>
      <c r="AD23" s="287" t="n">
        <f aca="false">IFERROR(AB23/AB$6,0)</f>
        <v>0</v>
      </c>
      <c r="AE23" s="288" t="n">
        <f aca="false">IFERROR(AB23/AB$5,0)</f>
        <v>0</v>
      </c>
      <c r="AF23" s="289" t="n">
        <f aca="false">SUM(AF20:AF22)</f>
        <v>0</v>
      </c>
      <c r="AG23" s="286" t="n">
        <f aca="false">IFERROR(AF23/AF$17,0)</f>
        <v>0</v>
      </c>
      <c r="AH23" s="287" t="n">
        <f aca="false">IFERROR(AF23/AF$6,0)</f>
        <v>0</v>
      </c>
      <c r="AI23" s="288" t="n">
        <f aca="false">IFERROR(AF23/AF$5,0)</f>
        <v>0</v>
      </c>
      <c r="AJ23" s="289" t="n">
        <f aca="false">SUM(AJ20:AJ22)</f>
        <v>0</v>
      </c>
      <c r="AK23" s="286" t="n">
        <f aca="false">IFERROR(AJ23/AJ$17,0)</f>
        <v>0</v>
      </c>
      <c r="AL23" s="287" t="n">
        <f aca="false">IFERROR(AJ23/AJ$6,0)</f>
        <v>0</v>
      </c>
      <c r="AM23" s="288" t="n">
        <f aca="false">IFERROR(AJ23/AJ$5,0)</f>
        <v>0</v>
      </c>
      <c r="AN23" s="289" t="n">
        <f aca="false">SUM(AN20:AN22)</f>
        <v>0</v>
      </c>
      <c r="AO23" s="286" t="n">
        <f aca="false">IFERROR(AN23/AN$17,0)</f>
        <v>0</v>
      </c>
      <c r="AP23" s="287" t="n">
        <f aca="false">IFERROR(AN23/AN$6,0)</f>
        <v>0</v>
      </c>
      <c r="AQ23" s="288" t="n">
        <f aca="false">IFERROR(AN23/AN$5,0)</f>
        <v>0</v>
      </c>
    </row>
    <row r="24" customFormat="false" ht="14.25" hidden="false" customHeight="true" outlineLevel="0" collapsed="false">
      <c r="C24" s="271"/>
      <c r="D24" s="272"/>
      <c r="E24" s="273"/>
      <c r="F24" s="274"/>
      <c r="G24" s="275"/>
      <c r="H24" s="276"/>
      <c r="I24" s="273"/>
      <c r="J24" s="274"/>
      <c r="K24" s="275"/>
      <c r="L24" s="276"/>
      <c r="M24" s="273"/>
      <c r="N24" s="274"/>
      <c r="O24" s="275"/>
      <c r="P24" s="276"/>
      <c r="Q24" s="273"/>
      <c r="R24" s="274"/>
      <c r="S24" s="275"/>
      <c r="T24" s="276"/>
      <c r="U24" s="273"/>
      <c r="V24" s="274"/>
      <c r="W24" s="275"/>
      <c r="X24" s="276"/>
      <c r="Y24" s="273"/>
      <c r="Z24" s="274"/>
      <c r="AA24" s="275"/>
      <c r="AB24" s="276"/>
      <c r="AC24" s="273"/>
      <c r="AD24" s="274"/>
      <c r="AE24" s="275"/>
      <c r="AF24" s="276"/>
      <c r="AG24" s="273"/>
      <c r="AH24" s="274"/>
      <c r="AI24" s="275"/>
      <c r="AJ24" s="276"/>
      <c r="AK24" s="273"/>
      <c r="AL24" s="274"/>
      <c r="AM24" s="275"/>
      <c r="AN24" s="276"/>
      <c r="AO24" s="273"/>
      <c r="AP24" s="274"/>
      <c r="AQ24" s="275"/>
    </row>
    <row r="25" s="290" customFormat="true" ht="14.25" hidden="false" customHeight="true" outlineLevel="0" collapsed="false">
      <c r="C25" s="265" t="s">
        <v>145</v>
      </c>
      <c r="D25" s="266" t="n">
        <f aca="false">D17-D23</f>
        <v>0</v>
      </c>
      <c r="E25" s="267" t="n">
        <f aca="false">IFERROR(D25/D$17,0)</f>
        <v>0</v>
      </c>
      <c r="F25" s="268" t="n">
        <f aca="false">IFERROR(D25/D$6,0)</f>
        <v>0</v>
      </c>
      <c r="G25" s="269" t="n">
        <f aca="false">IFERROR(D25/D$5,0)</f>
        <v>0</v>
      </c>
      <c r="H25" s="270" t="n">
        <f aca="false">H17-H23</f>
        <v>0</v>
      </c>
      <c r="I25" s="267" t="n">
        <f aca="false">IFERROR(H25/H$17,0)</f>
        <v>0</v>
      </c>
      <c r="J25" s="268" t="n">
        <f aca="false">IFERROR(H25/H$6,0)</f>
        <v>0</v>
      </c>
      <c r="K25" s="269" t="n">
        <f aca="false">IFERROR(H25/H$5,0)</f>
        <v>0</v>
      </c>
      <c r="L25" s="270" t="n">
        <f aca="false">L17-L23</f>
        <v>0</v>
      </c>
      <c r="M25" s="267" t="n">
        <f aca="false">IFERROR(L25/L$17,0)</f>
        <v>0</v>
      </c>
      <c r="N25" s="268" t="n">
        <f aca="false">IFERROR(L25/L$6,0)</f>
        <v>0</v>
      </c>
      <c r="O25" s="269" t="n">
        <f aca="false">IFERROR(L25/L$5,0)</f>
        <v>0</v>
      </c>
      <c r="P25" s="270" t="n">
        <f aca="false">P17-P23</f>
        <v>0</v>
      </c>
      <c r="Q25" s="267" t="n">
        <f aca="false">IFERROR(P25/P$17,0)</f>
        <v>0</v>
      </c>
      <c r="R25" s="268" t="n">
        <f aca="false">IFERROR(P25/P$6,0)</f>
        <v>0</v>
      </c>
      <c r="S25" s="269" t="n">
        <f aca="false">IFERROR(P25/P$5,0)</f>
        <v>0</v>
      </c>
      <c r="T25" s="270" t="n">
        <f aca="false">T17-T23</f>
        <v>0</v>
      </c>
      <c r="U25" s="267" t="n">
        <f aca="false">IFERROR(T25/T$17,0)</f>
        <v>0</v>
      </c>
      <c r="V25" s="268" t="n">
        <f aca="false">IFERROR(T25/T$6,0)</f>
        <v>0</v>
      </c>
      <c r="W25" s="269" t="n">
        <f aca="false">IFERROR(T25/T$5,0)</f>
        <v>0</v>
      </c>
      <c r="X25" s="270" t="n">
        <f aca="false">X17-X23</f>
        <v>0</v>
      </c>
      <c r="Y25" s="267" t="n">
        <f aca="false">IFERROR(X25/X$17,0)</f>
        <v>0</v>
      </c>
      <c r="Z25" s="268" t="n">
        <f aca="false">IFERROR(X25/X$6,0)</f>
        <v>0</v>
      </c>
      <c r="AA25" s="269" t="n">
        <f aca="false">IFERROR(X25/X$5,0)</f>
        <v>0</v>
      </c>
      <c r="AB25" s="270" t="n">
        <f aca="false">AB17-AB23</f>
        <v>0</v>
      </c>
      <c r="AC25" s="267" t="n">
        <f aca="false">IFERROR(AB25/AB$17,0)</f>
        <v>0</v>
      </c>
      <c r="AD25" s="268" t="n">
        <f aca="false">IFERROR(AB25/AB$6,0)</f>
        <v>0</v>
      </c>
      <c r="AE25" s="269" t="n">
        <f aca="false">IFERROR(AB25/AB$5,0)</f>
        <v>0</v>
      </c>
      <c r="AF25" s="270" t="n">
        <f aca="false">AF17-AF23</f>
        <v>0</v>
      </c>
      <c r="AG25" s="267" t="n">
        <f aca="false">IFERROR(AF25/AF$17,0)</f>
        <v>0</v>
      </c>
      <c r="AH25" s="268" t="n">
        <f aca="false">IFERROR(AF25/AF$6,0)</f>
        <v>0</v>
      </c>
      <c r="AI25" s="269" t="n">
        <f aca="false">IFERROR(AF25/AF$5,0)</f>
        <v>0</v>
      </c>
      <c r="AJ25" s="270" t="n">
        <f aca="false">AJ17-AJ23</f>
        <v>0</v>
      </c>
      <c r="AK25" s="267" t="n">
        <f aca="false">IFERROR(AJ25/AJ$17,0)</f>
        <v>0</v>
      </c>
      <c r="AL25" s="268" t="n">
        <f aca="false">IFERROR(AJ25/AJ$6,0)</f>
        <v>0</v>
      </c>
      <c r="AM25" s="269" t="n">
        <f aca="false">IFERROR(AJ25/AJ$5,0)</f>
        <v>0</v>
      </c>
      <c r="AN25" s="270" t="n">
        <f aca="false">AN17-AN23</f>
        <v>0</v>
      </c>
      <c r="AO25" s="267" t="n">
        <f aca="false">IFERROR(AN25/AN$17,0)</f>
        <v>0</v>
      </c>
      <c r="AP25" s="268" t="n">
        <f aca="false">IFERROR(AN25/AN$6,0)</f>
        <v>0</v>
      </c>
      <c r="AQ25" s="269" t="n">
        <f aca="false">IFERROR(AN25/AN$5,0)</f>
        <v>0</v>
      </c>
    </row>
    <row r="26" customFormat="false" ht="14.25" hidden="false" customHeight="true" outlineLevel="0" collapsed="false">
      <c r="C26" s="271"/>
      <c r="D26" s="272"/>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276"/>
      <c r="AO26" s="273"/>
      <c r="AP26" s="274"/>
      <c r="AQ26" s="275"/>
    </row>
    <row r="27" customFormat="false" ht="14.25" hidden="false" customHeight="true" outlineLevel="0" collapsed="false">
      <c r="C27" s="271" t="s">
        <v>146</v>
      </c>
      <c r="D27" s="274"/>
      <c r="E27" s="273"/>
      <c r="F27" s="291"/>
      <c r="G27" s="292"/>
      <c r="H27" s="293"/>
      <c r="I27" s="273"/>
      <c r="J27" s="291"/>
      <c r="K27" s="292"/>
      <c r="L27" s="293"/>
      <c r="M27" s="273"/>
      <c r="N27" s="291"/>
      <c r="O27" s="292"/>
      <c r="P27" s="293"/>
      <c r="Q27" s="273"/>
      <c r="R27" s="291"/>
      <c r="S27" s="292"/>
      <c r="T27" s="293"/>
      <c r="U27" s="273"/>
      <c r="V27" s="291"/>
      <c r="W27" s="292"/>
      <c r="X27" s="293"/>
      <c r="Y27" s="273"/>
      <c r="Z27" s="291"/>
      <c r="AA27" s="292"/>
      <c r="AB27" s="293"/>
      <c r="AC27" s="273"/>
      <c r="AD27" s="291"/>
      <c r="AE27" s="292"/>
      <c r="AF27" s="293"/>
      <c r="AG27" s="273"/>
      <c r="AH27" s="291"/>
      <c r="AI27" s="292"/>
      <c r="AJ27" s="293"/>
      <c r="AK27" s="273"/>
      <c r="AL27" s="291"/>
      <c r="AM27" s="292"/>
      <c r="AN27" s="293"/>
      <c r="AO27" s="273"/>
      <c r="AP27" s="291"/>
      <c r="AQ27" s="292"/>
      <c r="AS27" s="219"/>
    </row>
    <row r="28" customFormat="false" ht="14.25" hidden="false" customHeight="true" outlineLevel="0" collapsed="false">
      <c r="C28" s="281" t="s">
        <v>147</v>
      </c>
      <c r="D28" s="259" t="n">
        <f aca="false">SUM(START:END!D30:D30)</f>
        <v>0</v>
      </c>
      <c r="E28" s="264" t="n">
        <f aca="false">IFERROR(D28/D$17,0)</f>
        <v>0</v>
      </c>
      <c r="F28" s="261" t="n">
        <f aca="false">IFERROR(D28/D$6,0)</f>
        <v>0</v>
      </c>
      <c r="G28" s="262" t="n">
        <f aca="false">IFERROR(D28/D$5,0)</f>
        <v>0</v>
      </c>
      <c r="H28" s="263" t="n">
        <f aca="false">SUM(START:END!H30:H30)</f>
        <v>0</v>
      </c>
      <c r="I28" s="264" t="n">
        <f aca="false">IFERROR(H28/H$17,0)</f>
        <v>0</v>
      </c>
      <c r="J28" s="261" t="n">
        <f aca="false">IFERROR(H28/H$6,0)</f>
        <v>0</v>
      </c>
      <c r="K28" s="262" t="n">
        <f aca="false">IFERROR(H28/H$5,0)</f>
        <v>0</v>
      </c>
      <c r="L28" s="263" t="n">
        <f aca="false">SUM(START:END!L30:L30)</f>
        <v>0</v>
      </c>
      <c r="M28" s="264" t="n">
        <f aca="false">IFERROR(L28/L$17,0)</f>
        <v>0</v>
      </c>
      <c r="N28" s="261" t="n">
        <f aca="false">IFERROR(L28/L$6,0)</f>
        <v>0</v>
      </c>
      <c r="O28" s="262" t="n">
        <f aca="false">IFERROR(L28/L$5,0)</f>
        <v>0</v>
      </c>
      <c r="P28" s="263" t="n">
        <f aca="false">SUM(START:END!P30:P30)</f>
        <v>0</v>
      </c>
      <c r="Q28" s="264" t="n">
        <f aca="false">IFERROR(P28/P$17,0)</f>
        <v>0</v>
      </c>
      <c r="R28" s="261" t="n">
        <f aca="false">IFERROR(P28/P$6,0)</f>
        <v>0</v>
      </c>
      <c r="S28" s="262" t="n">
        <f aca="false">IFERROR(P28/P$5,0)</f>
        <v>0</v>
      </c>
      <c r="T28" s="263" t="n">
        <f aca="false">SUM(START:END!T30:T30)</f>
        <v>0</v>
      </c>
      <c r="U28" s="264" t="n">
        <f aca="false">IFERROR(T28/T$17,0)</f>
        <v>0</v>
      </c>
      <c r="V28" s="261" t="n">
        <f aca="false">IFERROR(T28/T$6,0)</f>
        <v>0</v>
      </c>
      <c r="W28" s="262" t="n">
        <f aca="false">IFERROR(T28/T$5,0)</f>
        <v>0</v>
      </c>
      <c r="X28" s="263" t="n">
        <f aca="false">SUM(START:END!X30:X30)</f>
        <v>0</v>
      </c>
      <c r="Y28" s="264" t="n">
        <f aca="false">IFERROR(X28/X$17,0)</f>
        <v>0</v>
      </c>
      <c r="Z28" s="261" t="n">
        <f aca="false">IFERROR(X28/X$6,0)</f>
        <v>0</v>
      </c>
      <c r="AA28" s="262" t="n">
        <f aca="false">IFERROR(X28/X$5,0)</f>
        <v>0</v>
      </c>
      <c r="AB28" s="263" t="n">
        <f aca="false">SUM(START:END!AB30:AB30)</f>
        <v>0</v>
      </c>
      <c r="AC28" s="264" t="n">
        <f aca="false">IFERROR(AB28/AB$17,0)</f>
        <v>0</v>
      </c>
      <c r="AD28" s="261" t="n">
        <f aca="false">IFERROR(AB28/AB$6,0)</f>
        <v>0</v>
      </c>
      <c r="AE28" s="262" t="n">
        <f aca="false">IFERROR(AB28/AB$5,0)</f>
        <v>0</v>
      </c>
      <c r="AF28" s="263" t="n">
        <f aca="false">SUM(START:END!AF30:AF30)</f>
        <v>0</v>
      </c>
      <c r="AG28" s="264" t="n">
        <f aca="false">IFERROR(AF28/AF$17,0)</f>
        <v>0</v>
      </c>
      <c r="AH28" s="261" t="n">
        <f aca="false">IFERROR(AF28/AF$6,0)</f>
        <v>0</v>
      </c>
      <c r="AI28" s="262" t="n">
        <f aca="false">IFERROR(AF28/AF$5,0)</f>
        <v>0</v>
      </c>
      <c r="AJ28" s="263" t="n">
        <f aca="false">SUM(START:END!AJ30:AJ30)</f>
        <v>0</v>
      </c>
      <c r="AK28" s="264" t="n">
        <f aca="false">IFERROR(AJ28/AJ$17,0)</f>
        <v>0</v>
      </c>
      <c r="AL28" s="261" t="n">
        <f aca="false">IFERROR(AJ28/AJ$6,0)</f>
        <v>0</v>
      </c>
      <c r="AM28" s="262" t="n">
        <f aca="false">IFERROR(AJ28/AJ$5,0)</f>
        <v>0</v>
      </c>
      <c r="AN28" s="263" t="n">
        <f aca="false">SUM(START:END!AN30:AN30)</f>
        <v>0</v>
      </c>
      <c r="AO28" s="264" t="n">
        <f aca="false">IFERROR(AN28/AN$17,0)</f>
        <v>0</v>
      </c>
      <c r="AP28" s="261" t="n">
        <f aca="false">IFERROR(AN28/AN$6,0)</f>
        <v>0</v>
      </c>
      <c r="AQ28" s="262" t="n">
        <f aca="false">IFERROR(AN28/AN$5,0)</f>
        <v>0</v>
      </c>
      <c r="AS28" s="219"/>
      <c r="AT28" s="252"/>
    </row>
    <row r="29" customFormat="false" ht="14.25" hidden="false" customHeight="true" outlineLevel="0" collapsed="false">
      <c r="C29" s="281" t="s">
        <v>148</v>
      </c>
      <c r="D29" s="259" t="n">
        <f aca="false">SUM(START:END!D31:D31)</f>
        <v>0</v>
      </c>
      <c r="E29" s="264" t="n">
        <f aca="false">IFERROR(D29/D$17,0)</f>
        <v>0</v>
      </c>
      <c r="F29" s="261" t="n">
        <f aca="false">IFERROR(D29/D$6,0)</f>
        <v>0</v>
      </c>
      <c r="G29" s="262" t="n">
        <f aca="false">IFERROR(D29/D$5,0)</f>
        <v>0</v>
      </c>
      <c r="H29" s="263" t="n">
        <f aca="false">SUM(START:END!H31:H31)</f>
        <v>0</v>
      </c>
      <c r="I29" s="264" t="n">
        <f aca="false">IFERROR(H29/H$17,0)</f>
        <v>0</v>
      </c>
      <c r="J29" s="261" t="n">
        <f aca="false">IFERROR(H29/H$6,0)</f>
        <v>0</v>
      </c>
      <c r="K29" s="262" t="n">
        <f aca="false">IFERROR(H29/H$5,0)</f>
        <v>0</v>
      </c>
      <c r="L29" s="263" t="n">
        <f aca="false">SUM(START:END!L31:L31)</f>
        <v>0</v>
      </c>
      <c r="M29" s="264" t="n">
        <f aca="false">IFERROR(L29/L$17,0)</f>
        <v>0</v>
      </c>
      <c r="N29" s="261" t="n">
        <f aca="false">IFERROR(L29/L$6,0)</f>
        <v>0</v>
      </c>
      <c r="O29" s="262" t="n">
        <f aca="false">IFERROR(L29/L$5,0)</f>
        <v>0</v>
      </c>
      <c r="P29" s="263" t="n">
        <f aca="false">SUM(START:END!P31:P31)</f>
        <v>0</v>
      </c>
      <c r="Q29" s="264" t="n">
        <f aca="false">IFERROR(P29/P$17,0)</f>
        <v>0</v>
      </c>
      <c r="R29" s="261" t="n">
        <f aca="false">IFERROR(P29/P$6,0)</f>
        <v>0</v>
      </c>
      <c r="S29" s="262" t="n">
        <f aca="false">IFERROR(P29/P$5,0)</f>
        <v>0</v>
      </c>
      <c r="T29" s="263" t="n">
        <f aca="false">SUM(START:END!T31:T31)</f>
        <v>0</v>
      </c>
      <c r="U29" s="264" t="n">
        <f aca="false">IFERROR(T29/T$17,0)</f>
        <v>0</v>
      </c>
      <c r="V29" s="261" t="n">
        <f aca="false">IFERROR(T29/T$6,0)</f>
        <v>0</v>
      </c>
      <c r="W29" s="262" t="n">
        <f aca="false">IFERROR(T29/T$5,0)</f>
        <v>0</v>
      </c>
      <c r="X29" s="263" t="n">
        <f aca="false">SUM(START:END!X31:X31)</f>
        <v>0</v>
      </c>
      <c r="Y29" s="264" t="n">
        <f aca="false">IFERROR(X29/X$17,0)</f>
        <v>0</v>
      </c>
      <c r="Z29" s="261" t="n">
        <f aca="false">IFERROR(X29/X$6,0)</f>
        <v>0</v>
      </c>
      <c r="AA29" s="262" t="n">
        <f aca="false">IFERROR(X29/X$5,0)</f>
        <v>0</v>
      </c>
      <c r="AB29" s="263" t="n">
        <f aca="false">SUM(START:END!AB31:AB31)</f>
        <v>0</v>
      </c>
      <c r="AC29" s="264" t="n">
        <f aca="false">IFERROR(AB29/AB$17,0)</f>
        <v>0</v>
      </c>
      <c r="AD29" s="261" t="n">
        <f aca="false">IFERROR(AB29/AB$6,0)</f>
        <v>0</v>
      </c>
      <c r="AE29" s="262" t="n">
        <f aca="false">IFERROR(AB29/AB$5,0)</f>
        <v>0</v>
      </c>
      <c r="AF29" s="263" t="n">
        <f aca="false">SUM(START:END!AF31:AF31)</f>
        <v>0</v>
      </c>
      <c r="AG29" s="264" t="n">
        <f aca="false">IFERROR(AF29/AF$17,0)</f>
        <v>0</v>
      </c>
      <c r="AH29" s="261" t="n">
        <f aca="false">IFERROR(AF29/AF$6,0)</f>
        <v>0</v>
      </c>
      <c r="AI29" s="262" t="n">
        <f aca="false">IFERROR(AF29/AF$5,0)</f>
        <v>0</v>
      </c>
      <c r="AJ29" s="263" t="n">
        <f aca="false">SUM(START:END!AJ31:AJ31)</f>
        <v>0</v>
      </c>
      <c r="AK29" s="264" t="n">
        <f aca="false">IFERROR(AJ29/AJ$17,0)</f>
        <v>0</v>
      </c>
      <c r="AL29" s="261" t="n">
        <f aca="false">IFERROR(AJ29/AJ$6,0)</f>
        <v>0</v>
      </c>
      <c r="AM29" s="262" t="n">
        <f aca="false">IFERROR(AJ29/AJ$5,0)</f>
        <v>0</v>
      </c>
      <c r="AN29" s="263" t="n">
        <f aca="false">SUM(START:END!AN31:AN31)</f>
        <v>0</v>
      </c>
      <c r="AO29" s="264" t="n">
        <f aca="false">IFERROR(AN29/AN$17,0)</f>
        <v>0</v>
      </c>
      <c r="AP29" s="261" t="n">
        <f aca="false">IFERROR(AN29/AN$6,0)</f>
        <v>0</v>
      </c>
      <c r="AQ29" s="262" t="n">
        <f aca="false">IFERROR(AN29/AN$5,0)</f>
        <v>0</v>
      </c>
      <c r="AS29" s="219"/>
    </row>
    <row r="30" customFormat="false" ht="14.25" hidden="false" customHeight="true" outlineLevel="0" collapsed="false">
      <c r="C30" s="281" t="s">
        <v>149</v>
      </c>
      <c r="D30" s="259" t="n">
        <f aca="false">SUM(START:END!D32:D32)</f>
        <v>0</v>
      </c>
      <c r="E30" s="264" t="n">
        <f aca="false">IFERROR(D30/D$17,0)</f>
        <v>0</v>
      </c>
      <c r="F30" s="261" t="n">
        <f aca="false">IFERROR(D30/D$6,0)</f>
        <v>0</v>
      </c>
      <c r="G30" s="262" t="n">
        <f aca="false">IFERROR(D30/D$5,0)</f>
        <v>0</v>
      </c>
      <c r="H30" s="263" t="n">
        <f aca="false">SUM(START:END!H32:H32)</f>
        <v>0</v>
      </c>
      <c r="I30" s="264" t="n">
        <f aca="false">IFERROR(H30/H$17,0)</f>
        <v>0</v>
      </c>
      <c r="J30" s="261" t="n">
        <f aca="false">IFERROR(H30/H$6,0)</f>
        <v>0</v>
      </c>
      <c r="K30" s="262" t="n">
        <f aca="false">IFERROR(H30/H$5,0)</f>
        <v>0</v>
      </c>
      <c r="L30" s="263" t="n">
        <f aca="false">SUM(START:END!L32:L32)</f>
        <v>0</v>
      </c>
      <c r="M30" s="264" t="n">
        <f aca="false">IFERROR(L30/L$17,0)</f>
        <v>0</v>
      </c>
      <c r="N30" s="261" t="n">
        <f aca="false">IFERROR(L30/L$6,0)</f>
        <v>0</v>
      </c>
      <c r="O30" s="262" t="n">
        <f aca="false">IFERROR(L30/L$5,0)</f>
        <v>0</v>
      </c>
      <c r="P30" s="263" t="n">
        <f aca="false">SUM(START:END!P32:P32)</f>
        <v>0</v>
      </c>
      <c r="Q30" s="264" t="n">
        <f aca="false">IFERROR(P30/P$17,0)</f>
        <v>0</v>
      </c>
      <c r="R30" s="261" t="n">
        <f aca="false">IFERROR(P30/P$6,0)</f>
        <v>0</v>
      </c>
      <c r="S30" s="262" t="n">
        <f aca="false">IFERROR(P30/P$5,0)</f>
        <v>0</v>
      </c>
      <c r="T30" s="263" t="n">
        <f aca="false">SUM(START:END!T32:T32)</f>
        <v>0</v>
      </c>
      <c r="U30" s="264" t="n">
        <f aca="false">IFERROR(T30/T$17,0)</f>
        <v>0</v>
      </c>
      <c r="V30" s="261" t="n">
        <f aca="false">IFERROR(T30/T$6,0)</f>
        <v>0</v>
      </c>
      <c r="W30" s="262" t="n">
        <f aca="false">IFERROR(T30/T$5,0)</f>
        <v>0</v>
      </c>
      <c r="X30" s="263" t="n">
        <f aca="false">SUM(START:END!X32:X32)</f>
        <v>0</v>
      </c>
      <c r="Y30" s="264" t="n">
        <f aca="false">IFERROR(X30/X$17,0)</f>
        <v>0</v>
      </c>
      <c r="Z30" s="261" t="n">
        <f aca="false">IFERROR(X30/X$6,0)</f>
        <v>0</v>
      </c>
      <c r="AA30" s="262" t="n">
        <f aca="false">IFERROR(X30/X$5,0)</f>
        <v>0</v>
      </c>
      <c r="AB30" s="263" t="n">
        <f aca="false">SUM(START:END!AB32:AB32)</f>
        <v>0</v>
      </c>
      <c r="AC30" s="264" t="n">
        <f aca="false">IFERROR(AB30/AB$17,0)</f>
        <v>0</v>
      </c>
      <c r="AD30" s="261" t="n">
        <f aca="false">IFERROR(AB30/AB$6,0)</f>
        <v>0</v>
      </c>
      <c r="AE30" s="262" t="n">
        <f aca="false">IFERROR(AB30/AB$5,0)</f>
        <v>0</v>
      </c>
      <c r="AF30" s="263" t="n">
        <f aca="false">SUM(START:END!AF32:AF32)</f>
        <v>0</v>
      </c>
      <c r="AG30" s="264" t="n">
        <f aca="false">IFERROR(AF30/AF$17,0)</f>
        <v>0</v>
      </c>
      <c r="AH30" s="261" t="n">
        <f aca="false">IFERROR(AF30/AF$6,0)</f>
        <v>0</v>
      </c>
      <c r="AI30" s="262" t="n">
        <f aca="false">IFERROR(AF30/AF$5,0)</f>
        <v>0</v>
      </c>
      <c r="AJ30" s="263" t="n">
        <f aca="false">SUM(START:END!AJ32:AJ32)</f>
        <v>0</v>
      </c>
      <c r="AK30" s="264" t="n">
        <f aca="false">IFERROR(AJ30/AJ$17,0)</f>
        <v>0</v>
      </c>
      <c r="AL30" s="261" t="n">
        <f aca="false">IFERROR(AJ30/AJ$6,0)</f>
        <v>0</v>
      </c>
      <c r="AM30" s="262" t="n">
        <f aca="false">IFERROR(AJ30/AJ$5,0)</f>
        <v>0</v>
      </c>
      <c r="AN30" s="263" t="n">
        <f aca="false">SUM(START:END!AN32:AN32)</f>
        <v>0</v>
      </c>
      <c r="AO30" s="264" t="n">
        <f aca="false">IFERROR(AN30/AN$17,0)</f>
        <v>0</v>
      </c>
      <c r="AP30" s="261" t="n">
        <f aca="false">IFERROR(AN30/AN$6,0)</f>
        <v>0</v>
      </c>
      <c r="AQ30" s="262" t="n">
        <f aca="false">IFERROR(AN30/AN$5,0)</f>
        <v>0</v>
      </c>
      <c r="AS30" s="219"/>
    </row>
    <row r="31" customFormat="false" ht="14.25" hidden="false" customHeight="true" outlineLevel="0" collapsed="false">
      <c r="C31" s="281" t="s">
        <v>150</v>
      </c>
      <c r="D31" s="259" t="n">
        <f aca="false">SUM(START:END!D33:D33)</f>
        <v>0</v>
      </c>
      <c r="E31" s="264" t="n">
        <f aca="false">IFERROR(D31/D$17,0)</f>
        <v>0</v>
      </c>
      <c r="F31" s="261" t="n">
        <f aca="false">IFERROR(D31/D$6,0)</f>
        <v>0</v>
      </c>
      <c r="G31" s="262" t="n">
        <f aca="false">IFERROR(D31/D$5,0)</f>
        <v>0</v>
      </c>
      <c r="H31" s="263" t="n">
        <f aca="false">SUM(START:END!H33:H33)</f>
        <v>0</v>
      </c>
      <c r="I31" s="264" t="n">
        <f aca="false">IFERROR(H31/H$17,0)</f>
        <v>0</v>
      </c>
      <c r="J31" s="261" t="n">
        <f aca="false">IFERROR(H31/H$6,0)</f>
        <v>0</v>
      </c>
      <c r="K31" s="262" t="n">
        <f aca="false">IFERROR(H31/H$5,0)</f>
        <v>0</v>
      </c>
      <c r="L31" s="263" t="n">
        <f aca="false">SUM(START:END!L33:L33)</f>
        <v>0</v>
      </c>
      <c r="M31" s="264" t="n">
        <f aca="false">IFERROR(L31/L$17,0)</f>
        <v>0</v>
      </c>
      <c r="N31" s="261" t="n">
        <f aca="false">IFERROR(L31/L$6,0)</f>
        <v>0</v>
      </c>
      <c r="O31" s="262" t="n">
        <f aca="false">IFERROR(L31/L$5,0)</f>
        <v>0</v>
      </c>
      <c r="P31" s="263" t="n">
        <f aca="false">SUM(START:END!P33:P33)</f>
        <v>0</v>
      </c>
      <c r="Q31" s="264" t="n">
        <f aca="false">IFERROR(P31/P$17,0)</f>
        <v>0</v>
      </c>
      <c r="R31" s="261" t="n">
        <f aca="false">IFERROR(P31/P$6,0)</f>
        <v>0</v>
      </c>
      <c r="S31" s="262" t="n">
        <f aca="false">IFERROR(P31/P$5,0)</f>
        <v>0</v>
      </c>
      <c r="T31" s="263" t="n">
        <f aca="false">SUM(START:END!T33:T33)</f>
        <v>0</v>
      </c>
      <c r="U31" s="264" t="n">
        <f aca="false">IFERROR(T31/T$17,0)</f>
        <v>0</v>
      </c>
      <c r="V31" s="261" t="n">
        <f aca="false">IFERROR(T31/T$6,0)</f>
        <v>0</v>
      </c>
      <c r="W31" s="262" t="n">
        <f aca="false">IFERROR(T31/T$5,0)</f>
        <v>0</v>
      </c>
      <c r="X31" s="263" t="n">
        <f aca="false">SUM(START:END!X33:X33)</f>
        <v>0</v>
      </c>
      <c r="Y31" s="264" t="n">
        <f aca="false">IFERROR(X31/X$17,0)</f>
        <v>0</v>
      </c>
      <c r="Z31" s="261" t="n">
        <f aca="false">IFERROR(X31/X$6,0)</f>
        <v>0</v>
      </c>
      <c r="AA31" s="262" t="n">
        <f aca="false">IFERROR(X31/X$5,0)</f>
        <v>0</v>
      </c>
      <c r="AB31" s="263" t="n">
        <f aca="false">SUM(START:END!AB33:AB33)</f>
        <v>0</v>
      </c>
      <c r="AC31" s="264" t="n">
        <f aca="false">IFERROR(AB31/AB$17,0)</f>
        <v>0</v>
      </c>
      <c r="AD31" s="261" t="n">
        <f aca="false">IFERROR(AB31/AB$6,0)</f>
        <v>0</v>
      </c>
      <c r="AE31" s="262" t="n">
        <f aca="false">IFERROR(AB31/AB$5,0)</f>
        <v>0</v>
      </c>
      <c r="AF31" s="263" t="n">
        <f aca="false">SUM(START:END!AF33:AF33)</f>
        <v>0</v>
      </c>
      <c r="AG31" s="264" t="n">
        <f aca="false">IFERROR(AF31/AF$17,0)</f>
        <v>0</v>
      </c>
      <c r="AH31" s="261" t="n">
        <f aca="false">IFERROR(AF31/AF$6,0)</f>
        <v>0</v>
      </c>
      <c r="AI31" s="262" t="n">
        <f aca="false">IFERROR(AF31/AF$5,0)</f>
        <v>0</v>
      </c>
      <c r="AJ31" s="263" t="n">
        <f aca="false">SUM(START:END!AJ33:AJ33)</f>
        <v>0</v>
      </c>
      <c r="AK31" s="264" t="n">
        <f aca="false">IFERROR(AJ31/AJ$17,0)</f>
        <v>0</v>
      </c>
      <c r="AL31" s="261" t="n">
        <f aca="false">IFERROR(AJ31/AJ$6,0)</f>
        <v>0</v>
      </c>
      <c r="AM31" s="262" t="n">
        <f aca="false">IFERROR(AJ31/AJ$5,0)</f>
        <v>0</v>
      </c>
      <c r="AN31" s="263" t="n">
        <f aca="false">SUM(START:END!AN33:AN33)</f>
        <v>0</v>
      </c>
      <c r="AO31" s="264" t="n">
        <f aca="false">IFERROR(AN31/AN$17,0)</f>
        <v>0</v>
      </c>
      <c r="AP31" s="261" t="n">
        <f aca="false">IFERROR(AN31/AN$6,0)</f>
        <v>0</v>
      </c>
      <c r="AQ31" s="262" t="n">
        <f aca="false">IFERROR(AN31/AN$5,0)</f>
        <v>0</v>
      </c>
      <c r="AS31" s="219"/>
    </row>
    <row r="32" customFormat="false" ht="14.25" hidden="false" customHeight="true" outlineLevel="0" collapsed="false">
      <c r="C32" s="281" t="s">
        <v>151</v>
      </c>
      <c r="D32" s="259" t="n">
        <f aca="false">SUM(START:END!D34:D34)</f>
        <v>0</v>
      </c>
      <c r="E32" s="264" t="n">
        <f aca="false">IFERROR(D32/D$17,0)</f>
        <v>0</v>
      </c>
      <c r="F32" s="261" t="n">
        <f aca="false">IFERROR(D32/D$6,0)</f>
        <v>0</v>
      </c>
      <c r="G32" s="262" t="n">
        <f aca="false">IFERROR(D32/D$5,0)</f>
        <v>0</v>
      </c>
      <c r="H32" s="263" t="n">
        <f aca="false">SUM(START:END!H34:H34)</f>
        <v>0</v>
      </c>
      <c r="I32" s="264" t="n">
        <f aca="false">IFERROR(H32/H$17,0)</f>
        <v>0</v>
      </c>
      <c r="J32" s="261" t="n">
        <f aca="false">IFERROR(H32/H$6,0)</f>
        <v>0</v>
      </c>
      <c r="K32" s="262" t="n">
        <f aca="false">IFERROR(H32/H$5,0)</f>
        <v>0</v>
      </c>
      <c r="L32" s="263" t="n">
        <f aca="false">SUM(START:END!L34:L34)</f>
        <v>0</v>
      </c>
      <c r="M32" s="264" t="n">
        <f aca="false">IFERROR(L32/L$17,0)</f>
        <v>0</v>
      </c>
      <c r="N32" s="261" t="n">
        <f aca="false">IFERROR(L32/L$6,0)</f>
        <v>0</v>
      </c>
      <c r="O32" s="262" t="n">
        <f aca="false">IFERROR(L32/L$5,0)</f>
        <v>0</v>
      </c>
      <c r="P32" s="263" t="n">
        <f aca="false">SUM(START:END!P34:P34)</f>
        <v>0</v>
      </c>
      <c r="Q32" s="264" t="n">
        <f aca="false">IFERROR(P32/P$17,0)</f>
        <v>0</v>
      </c>
      <c r="R32" s="261" t="n">
        <f aca="false">IFERROR(P32/P$6,0)</f>
        <v>0</v>
      </c>
      <c r="S32" s="262" t="n">
        <f aca="false">IFERROR(P32/P$5,0)</f>
        <v>0</v>
      </c>
      <c r="T32" s="263" t="n">
        <f aca="false">SUM(START:END!T34:T34)</f>
        <v>0</v>
      </c>
      <c r="U32" s="264" t="n">
        <f aca="false">IFERROR(T32/T$17,0)</f>
        <v>0</v>
      </c>
      <c r="V32" s="261" t="n">
        <f aca="false">IFERROR(T32/T$6,0)</f>
        <v>0</v>
      </c>
      <c r="W32" s="262" t="n">
        <f aca="false">IFERROR(T32/T$5,0)</f>
        <v>0</v>
      </c>
      <c r="X32" s="263" t="n">
        <f aca="false">SUM(START:END!X34:X34)</f>
        <v>0</v>
      </c>
      <c r="Y32" s="264" t="n">
        <f aca="false">IFERROR(X32/X$17,0)</f>
        <v>0</v>
      </c>
      <c r="Z32" s="261" t="n">
        <f aca="false">IFERROR(X32/X$6,0)</f>
        <v>0</v>
      </c>
      <c r="AA32" s="262" t="n">
        <f aca="false">IFERROR(X32/X$5,0)</f>
        <v>0</v>
      </c>
      <c r="AB32" s="263" t="n">
        <f aca="false">SUM(START:END!AB34:AB34)</f>
        <v>0</v>
      </c>
      <c r="AC32" s="264" t="n">
        <f aca="false">IFERROR(AB32/AB$17,0)</f>
        <v>0</v>
      </c>
      <c r="AD32" s="261" t="n">
        <f aca="false">IFERROR(AB32/AB$6,0)</f>
        <v>0</v>
      </c>
      <c r="AE32" s="262" t="n">
        <f aca="false">IFERROR(AB32/AB$5,0)</f>
        <v>0</v>
      </c>
      <c r="AF32" s="263" t="n">
        <f aca="false">SUM(START:END!AF34:AF34)</f>
        <v>0</v>
      </c>
      <c r="AG32" s="264" t="n">
        <f aca="false">IFERROR(AF32/AF$17,0)</f>
        <v>0</v>
      </c>
      <c r="AH32" s="261" t="n">
        <f aca="false">IFERROR(AF32/AF$6,0)</f>
        <v>0</v>
      </c>
      <c r="AI32" s="262" t="n">
        <f aca="false">IFERROR(AF32/AF$5,0)</f>
        <v>0</v>
      </c>
      <c r="AJ32" s="263" t="n">
        <f aca="false">SUM(START:END!AJ34:AJ34)</f>
        <v>0</v>
      </c>
      <c r="AK32" s="264" t="n">
        <f aca="false">IFERROR(AJ32/AJ$17,0)</f>
        <v>0</v>
      </c>
      <c r="AL32" s="261" t="n">
        <f aca="false">IFERROR(AJ32/AJ$6,0)</f>
        <v>0</v>
      </c>
      <c r="AM32" s="262" t="n">
        <f aca="false">IFERROR(AJ32/AJ$5,0)</f>
        <v>0</v>
      </c>
      <c r="AN32" s="263" t="n">
        <f aca="false">SUM(START:END!AN34:AN34)</f>
        <v>0</v>
      </c>
      <c r="AO32" s="264" t="n">
        <f aca="false">IFERROR(AN32/AN$17,0)</f>
        <v>0</v>
      </c>
      <c r="AP32" s="261" t="n">
        <f aca="false">IFERROR(AN32/AN$6,0)</f>
        <v>0</v>
      </c>
      <c r="AQ32" s="262" t="n">
        <f aca="false">IFERROR(AN32/AN$5,0)</f>
        <v>0</v>
      </c>
      <c r="AS32" s="219"/>
    </row>
    <row r="33" customFormat="false" ht="14.25" hidden="false" customHeight="true" outlineLevel="0" collapsed="false">
      <c r="C33" s="281" t="s">
        <v>152</v>
      </c>
      <c r="D33" s="259" t="n">
        <f aca="false">SUM(START:END!D35:D35)</f>
        <v>0</v>
      </c>
      <c r="E33" s="264" t="n">
        <f aca="false">IFERROR(D33/D$17,0)</f>
        <v>0</v>
      </c>
      <c r="F33" s="261" t="n">
        <f aca="false">IFERROR(D33/D$6,0)</f>
        <v>0</v>
      </c>
      <c r="G33" s="262" t="n">
        <f aca="false">IFERROR(D33/D$5,0)</f>
        <v>0</v>
      </c>
      <c r="H33" s="263" t="n">
        <f aca="false">SUM(START:END!H35:H35)</f>
        <v>0</v>
      </c>
      <c r="I33" s="264" t="n">
        <f aca="false">IFERROR(H33/H$17,0)</f>
        <v>0</v>
      </c>
      <c r="J33" s="261" t="n">
        <f aca="false">IFERROR(H33/H$6,0)</f>
        <v>0</v>
      </c>
      <c r="K33" s="262" t="n">
        <f aca="false">IFERROR(H33/H$5,0)</f>
        <v>0</v>
      </c>
      <c r="L33" s="263" t="n">
        <f aca="false">SUM(START:END!L35:L35)</f>
        <v>0</v>
      </c>
      <c r="M33" s="264" t="n">
        <f aca="false">IFERROR(L33/L$17,0)</f>
        <v>0</v>
      </c>
      <c r="N33" s="261" t="n">
        <f aca="false">IFERROR(L33/L$6,0)</f>
        <v>0</v>
      </c>
      <c r="O33" s="262" t="n">
        <f aca="false">IFERROR(L33/L$5,0)</f>
        <v>0</v>
      </c>
      <c r="P33" s="263" t="n">
        <f aca="false">SUM(START:END!P35:P35)</f>
        <v>0</v>
      </c>
      <c r="Q33" s="264" t="n">
        <f aca="false">IFERROR(P33/P$17,0)</f>
        <v>0</v>
      </c>
      <c r="R33" s="261" t="n">
        <f aca="false">IFERROR(P33/P$6,0)</f>
        <v>0</v>
      </c>
      <c r="S33" s="262" t="n">
        <f aca="false">IFERROR(P33/P$5,0)</f>
        <v>0</v>
      </c>
      <c r="T33" s="263" t="n">
        <f aca="false">SUM(START:END!T35:T35)</f>
        <v>0</v>
      </c>
      <c r="U33" s="264" t="n">
        <f aca="false">IFERROR(T33/T$17,0)</f>
        <v>0</v>
      </c>
      <c r="V33" s="261" t="n">
        <f aca="false">IFERROR(T33/T$6,0)</f>
        <v>0</v>
      </c>
      <c r="W33" s="262" t="n">
        <f aca="false">IFERROR(T33/T$5,0)</f>
        <v>0</v>
      </c>
      <c r="X33" s="263" t="n">
        <f aca="false">SUM(START:END!X35:X35)</f>
        <v>0</v>
      </c>
      <c r="Y33" s="264" t="n">
        <f aca="false">IFERROR(X33/X$17,0)</f>
        <v>0</v>
      </c>
      <c r="Z33" s="261" t="n">
        <f aca="false">IFERROR(X33/X$6,0)</f>
        <v>0</v>
      </c>
      <c r="AA33" s="262" t="n">
        <f aca="false">IFERROR(X33/X$5,0)</f>
        <v>0</v>
      </c>
      <c r="AB33" s="263" t="n">
        <f aca="false">SUM(START:END!AB35:AB35)</f>
        <v>0</v>
      </c>
      <c r="AC33" s="264" t="n">
        <f aca="false">IFERROR(AB33/AB$17,0)</f>
        <v>0</v>
      </c>
      <c r="AD33" s="261" t="n">
        <f aca="false">IFERROR(AB33/AB$6,0)</f>
        <v>0</v>
      </c>
      <c r="AE33" s="262" t="n">
        <f aca="false">IFERROR(AB33/AB$5,0)</f>
        <v>0</v>
      </c>
      <c r="AF33" s="263" t="n">
        <f aca="false">SUM(START:END!AF35:AF35)</f>
        <v>0</v>
      </c>
      <c r="AG33" s="264" t="n">
        <f aca="false">IFERROR(AF33/AF$17,0)</f>
        <v>0</v>
      </c>
      <c r="AH33" s="261" t="n">
        <f aca="false">IFERROR(AF33/AF$6,0)</f>
        <v>0</v>
      </c>
      <c r="AI33" s="262" t="n">
        <f aca="false">IFERROR(AF33/AF$5,0)</f>
        <v>0</v>
      </c>
      <c r="AJ33" s="263" t="n">
        <f aca="false">SUM(START:END!AJ35:AJ35)</f>
        <v>0</v>
      </c>
      <c r="AK33" s="264" t="n">
        <f aca="false">IFERROR(AJ33/AJ$17,0)</f>
        <v>0</v>
      </c>
      <c r="AL33" s="261" t="n">
        <f aca="false">IFERROR(AJ33/AJ$6,0)</f>
        <v>0</v>
      </c>
      <c r="AM33" s="262" t="n">
        <f aca="false">IFERROR(AJ33/AJ$5,0)</f>
        <v>0</v>
      </c>
      <c r="AN33" s="263" t="n">
        <f aca="false">SUM(START:END!AN35:AN35)</f>
        <v>0</v>
      </c>
      <c r="AO33" s="264" t="n">
        <f aca="false">IFERROR(AN33/AN$17,0)</f>
        <v>0</v>
      </c>
      <c r="AP33" s="261" t="n">
        <f aca="false">IFERROR(AN33/AN$6,0)</f>
        <v>0</v>
      </c>
      <c r="AQ33" s="262" t="n">
        <f aca="false">IFERROR(AN33/AN$5,0)</f>
        <v>0</v>
      </c>
      <c r="AS33" s="219"/>
      <c r="AT33" s="294"/>
    </row>
    <row r="34" customFormat="false" ht="14.25" hidden="false" customHeight="true" outlineLevel="0" collapsed="false">
      <c r="C34" s="281" t="s">
        <v>153</v>
      </c>
      <c r="D34" s="259" t="n">
        <f aca="false">SUM(START:END!D36:D36)</f>
        <v>0</v>
      </c>
      <c r="E34" s="264" t="n">
        <f aca="false">IFERROR(D34/D$17,0)</f>
        <v>0</v>
      </c>
      <c r="F34" s="261" t="n">
        <f aca="false">IFERROR(D34/D$6,0)</f>
        <v>0</v>
      </c>
      <c r="G34" s="262" t="n">
        <f aca="false">IFERROR(D34/D$5,0)</f>
        <v>0</v>
      </c>
      <c r="H34" s="263" t="n">
        <f aca="false">SUM(START:END!H36:H36)</f>
        <v>0</v>
      </c>
      <c r="I34" s="264" t="n">
        <f aca="false">IFERROR(H34/H$17,0)</f>
        <v>0</v>
      </c>
      <c r="J34" s="261" t="n">
        <f aca="false">IFERROR(H34/H$6,0)</f>
        <v>0</v>
      </c>
      <c r="K34" s="262" t="n">
        <f aca="false">IFERROR(H34/H$5,0)</f>
        <v>0</v>
      </c>
      <c r="L34" s="263" t="n">
        <f aca="false">SUM(START:END!L36:L36)</f>
        <v>0</v>
      </c>
      <c r="M34" s="264" t="n">
        <f aca="false">IFERROR(L34/L$17,0)</f>
        <v>0</v>
      </c>
      <c r="N34" s="261" t="n">
        <f aca="false">IFERROR(L34/L$6,0)</f>
        <v>0</v>
      </c>
      <c r="O34" s="262" t="n">
        <f aca="false">IFERROR(L34/L$5,0)</f>
        <v>0</v>
      </c>
      <c r="P34" s="263" t="n">
        <f aca="false">SUM(START:END!P36:P36)</f>
        <v>0</v>
      </c>
      <c r="Q34" s="264" t="n">
        <f aca="false">IFERROR(P34/P$17,0)</f>
        <v>0</v>
      </c>
      <c r="R34" s="261" t="n">
        <f aca="false">IFERROR(P34/P$6,0)</f>
        <v>0</v>
      </c>
      <c r="S34" s="262" t="n">
        <f aca="false">IFERROR(P34/P$5,0)</f>
        <v>0</v>
      </c>
      <c r="T34" s="263" t="n">
        <f aca="false">SUM(START:END!T36:T36)</f>
        <v>0</v>
      </c>
      <c r="U34" s="264" t="n">
        <f aca="false">IFERROR(T34/T$17,0)</f>
        <v>0</v>
      </c>
      <c r="V34" s="261" t="n">
        <f aca="false">IFERROR(T34/T$6,0)</f>
        <v>0</v>
      </c>
      <c r="W34" s="262" t="n">
        <f aca="false">IFERROR(T34/T$5,0)</f>
        <v>0</v>
      </c>
      <c r="X34" s="263" t="n">
        <f aca="false">SUM(START:END!X36:X36)</f>
        <v>0</v>
      </c>
      <c r="Y34" s="264" t="n">
        <f aca="false">IFERROR(X34/X$17,0)</f>
        <v>0</v>
      </c>
      <c r="Z34" s="261" t="n">
        <f aca="false">IFERROR(X34/X$6,0)</f>
        <v>0</v>
      </c>
      <c r="AA34" s="262" t="n">
        <f aca="false">IFERROR(X34/X$5,0)</f>
        <v>0</v>
      </c>
      <c r="AB34" s="263" t="n">
        <f aca="false">SUM(START:END!AB36:AB36)</f>
        <v>0</v>
      </c>
      <c r="AC34" s="264" t="n">
        <f aca="false">IFERROR(AB34/AB$17,0)</f>
        <v>0</v>
      </c>
      <c r="AD34" s="261" t="n">
        <f aca="false">IFERROR(AB34/AB$6,0)</f>
        <v>0</v>
      </c>
      <c r="AE34" s="262" t="n">
        <f aca="false">IFERROR(AB34/AB$5,0)</f>
        <v>0</v>
      </c>
      <c r="AF34" s="263" t="n">
        <f aca="false">SUM(START:END!AF36:AF36)</f>
        <v>0</v>
      </c>
      <c r="AG34" s="264" t="n">
        <f aca="false">IFERROR(AF34/AF$17,0)</f>
        <v>0</v>
      </c>
      <c r="AH34" s="261" t="n">
        <f aca="false">IFERROR(AF34/AF$6,0)</f>
        <v>0</v>
      </c>
      <c r="AI34" s="262" t="n">
        <f aca="false">IFERROR(AF34/AF$5,0)</f>
        <v>0</v>
      </c>
      <c r="AJ34" s="263" t="n">
        <f aca="false">SUM(START:END!AJ36:AJ36)</f>
        <v>0</v>
      </c>
      <c r="AK34" s="264" t="n">
        <f aca="false">IFERROR(AJ34/AJ$17,0)</f>
        <v>0</v>
      </c>
      <c r="AL34" s="261" t="n">
        <f aca="false">IFERROR(AJ34/AJ$6,0)</f>
        <v>0</v>
      </c>
      <c r="AM34" s="262" t="n">
        <f aca="false">IFERROR(AJ34/AJ$5,0)</f>
        <v>0</v>
      </c>
      <c r="AN34" s="263" t="n">
        <f aca="false">SUM(START:END!AN36:AN36)</f>
        <v>0</v>
      </c>
      <c r="AO34" s="264" t="n">
        <f aca="false">IFERROR(AN34/AN$17,0)</f>
        <v>0</v>
      </c>
      <c r="AP34" s="261" t="n">
        <f aca="false">IFERROR(AN34/AN$6,0)</f>
        <v>0</v>
      </c>
      <c r="AQ34" s="262" t="n">
        <f aca="false">IFERROR(AN34/AN$5,0)</f>
        <v>0</v>
      </c>
      <c r="AS34" s="219"/>
      <c r="AT34" s="243"/>
    </row>
    <row r="35" customFormat="false" ht="14.25" hidden="false" customHeight="true" outlineLevel="0" collapsed="false">
      <c r="C35" s="284" t="s">
        <v>154</v>
      </c>
      <c r="D35" s="285" t="n">
        <f aca="false">SUM(D28:D34)</f>
        <v>0</v>
      </c>
      <c r="E35" s="295" t="n">
        <f aca="false">IFERROR(D35/D$17,0)</f>
        <v>0</v>
      </c>
      <c r="F35" s="287" t="n">
        <f aca="false">IFERROR(D35/D$6,0)</f>
        <v>0</v>
      </c>
      <c r="G35" s="288" t="n">
        <f aca="false">IFERROR(D35/D$5,0)</f>
        <v>0</v>
      </c>
      <c r="H35" s="289" t="n">
        <f aca="false">SUM(H28:H34)</f>
        <v>0</v>
      </c>
      <c r="I35" s="295" t="n">
        <f aca="false">IFERROR(H35/H$17,0)</f>
        <v>0</v>
      </c>
      <c r="J35" s="287" t="n">
        <f aca="false">IFERROR(H35/H$6,0)</f>
        <v>0</v>
      </c>
      <c r="K35" s="288" t="n">
        <f aca="false">IFERROR(H35/H$5,0)</f>
        <v>0</v>
      </c>
      <c r="L35" s="289" t="n">
        <f aca="false">SUM(L28:L34)</f>
        <v>0</v>
      </c>
      <c r="M35" s="295" t="n">
        <f aca="false">IFERROR(L35/L$17,0)</f>
        <v>0</v>
      </c>
      <c r="N35" s="287" t="n">
        <f aca="false">IFERROR(L35/L$6,0)</f>
        <v>0</v>
      </c>
      <c r="O35" s="288" t="n">
        <f aca="false">IFERROR(L35/L$5,0)</f>
        <v>0</v>
      </c>
      <c r="P35" s="289" t="n">
        <f aca="false">SUM(P28:P34)</f>
        <v>0</v>
      </c>
      <c r="Q35" s="295" t="n">
        <f aca="false">IFERROR(P35/P$17,0)</f>
        <v>0</v>
      </c>
      <c r="R35" s="287" t="n">
        <f aca="false">IFERROR(P35/P$6,0)</f>
        <v>0</v>
      </c>
      <c r="S35" s="288" t="n">
        <f aca="false">IFERROR(P35/P$5,0)</f>
        <v>0</v>
      </c>
      <c r="T35" s="289" t="n">
        <f aca="false">SUM(T28:T34)</f>
        <v>0</v>
      </c>
      <c r="U35" s="295" t="n">
        <f aca="false">IFERROR(T35/T$17,0)</f>
        <v>0</v>
      </c>
      <c r="V35" s="287" t="n">
        <f aca="false">IFERROR(T35/T$6,0)</f>
        <v>0</v>
      </c>
      <c r="W35" s="288" t="n">
        <f aca="false">IFERROR(T35/T$5,0)</f>
        <v>0</v>
      </c>
      <c r="X35" s="289" t="n">
        <f aca="false">SUM(X28:X34)</f>
        <v>0</v>
      </c>
      <c r="Y35" s="295" t="n">
        <f aca="false">IFERROR(X35/X$17,0)</f>
        <v>0</v>
      </c>
      <c r="Z35" s="287" t="n">
        <f aca="false">IFERROR(X35/X$6,0)</f>
        <v>0</v>
      </c>
      <c r="AA35" s="288" t="n">
        <f aca="false">IFERROR(X35/X$5,0)</f>
        <v>0</v>
      </c>
      <c r="AB35" s="289" t="n">
        <f aca="false">SUM(AB28:AB34)</f>
        <v>0</v>
      </c>
      <c r="AC35" s="295" t="n">
        <f aca="false">IFERROR(AB35/AB$17,0)</f>
        <v>0</v>
      </c>
      <c r="AD35" s="287" t="n">
        <f aca="false">IFERROR(AB35/AB$6,0)</f>
        <v>0</v>
      </c>
      <c r="AE35" s="288" t="n">
        <f aca="false">IFERROR(AB35/AB$5,0)</f>
        <v>0</v>
      </c>
      <c r="AF35" s="289" t="n">
        <f aca="false">SUM(AF28:AF34)</f>
        <v>0</v>
      </c>
      <c r="AG35" s="295" t="n">
        <f aca="false">IFERROR(AF35/AF$17,0)</f>
        <v>0</v>
      </c>
      <c r="AH35" s="287" t="n">
        <f aca="false">IFERROR(AF35/AF$6,0)</f>
        <v>0</v>
      </c>
      <c r="AI35" s="288" t="n">
        <f aca="false">IFERROR(AF35/AF$5,0)</f>
        <v>0</v>
      </c>
      <c r="AJ35" s="289" t="n">
        <f aca="false">SUM(AJ28:AJ34)</f>
        <v>0</v>
      </c>
      <c r="AK35" s="295" t="n">
        <f aca="false">IFERROR(AJ35/AJ$17,0)</f>
        <v>0</v>
      </c>
      <c r="AL35" s="287" t="n">
        <f aca="false">IFERROR(AJ35/AJ$6,0)</f>
        <v>0</v>
      </c>
      <c r="AM35" s="288" t="n">
        <f aca="false">IFERROR(AJ35/AJ$5,0)</f>
        <v>0</v>
      </c>
      <c r="AN35" s="289" t="n">
        <f aca="false">SUM(AN28:AN34)</f>
        <v>0</v>
      </c>
      <c r="AO35" s="295" t="n">
        <f aca="false">IFERROR(AN35/AN$17,0)</f>
        <v>0</v>
      </c>
      <c r="AP35" s="287" t="n">
        <f aca="false">IFERROR(AN35/AN$6,0)</f>
        <v>0</v>
      </c>
      <c r="AQ35" s="288" t="n">
        <f aca="false">IFERROR(AN35/AN$5,0)</f>
        <v>0</v>
      </c>
      <c r="AS35" s="219"/>
    </row>
    <row r="36" customFormat="false" ht="14.25" hidden="false" customHeight="true" outlineLevel="0" collapsed="false">
      <c r="C36" s="271"/>
      <c r="D36" s="296"/>
      <c r="E36" s="278"/>
      <c r="F36" s="274"/>
      <c r="G36" s="275"/>
      <c r="H36" s="297"/>
      <c r="I36" s="278"/>
      <c r="J36" s="274"/>
      <c r="K36" s="275"/>
      <c r="L36" s="297"/>
      <c r="M36" s="278"/>
      <c r="N36" s="274"/>
      <c r="O36" s="275"/>
      <c r="P36" s="297"/>
      <c r="Q36" s="278"/>
      <c r="R36" s="274"/>
      <c r="S36" s="275"/>
      <c r="T36" s="297"/>
      <c r="U36" s="278"/>
      <c r="V36" s="274"/>
      <c r="W36" s="275"/>
      <c r="X36" s="297"/>
      <c r="Y36" s="278"/>
      <c r="Z36" s="274"/>
      <c r="AA36" s="275"/>
      <c r="AB36" s="297"/>
      <c r="AC36" s="278"/>
      <c r="AD36" s="274"/>
      <c r="AE36" s="275"/>
      <c r="AF36" s="297"/>
      <c r="AG36" s="278"/>
      <c r="AH36" s="274"/>
      <c r="AI36" s="275"/>
      <c r="AJ36" s="297"/>
      <c r="AK36" s="278"/>
      <c r="AL36" s="274"/>
      <c r="AM36" s="275"/>
      <c r="AN36" s="297"/>
      <c r="AO36" s="278"/>
      <c r="AP36" s="274"/>
      <c r="AQ36" s="275"/>
    </row>
    <row r="37" customFormat="false" ht="14.25" hidden="false" customHeight="true" outlineLevel="0" collapsed="false">
      <c r="C37" s="265" t="s">
        <v>155</v>
      </c>
      <c r="D37" s="266" t="n">
        <f aca="false">D25-D35</f>
        <v>0</v>
      </c>
      <c r="E37" s="267" t="n">
        <f aca="false">IFERROR(D37/D$17,0)</f>
        <v>0</v>
      </c>
      <c r="F37" s="268" t="n">
        <f aca="false">IFERROR(D37/D$6,0)</f>
        <v>0</v>
      </c>
      <c r="G37" s="269" t="n">
        <f aca="false">IFERROR(D37/D$5,0)</f>
        <v>0</v>
      </c>
      <c r="H37" s="270" t="n">
        <f aca="false">H25-H35</f>
        <v>0</v>
      </c>
      <c r="I37" s="267" t="n">
        <f aca="false">IFERROR(H37/H$17,0)</f>
        <v>0</v>
      </c>
      <c r="J37" s="268" t="n">
        <f aca="false">IFERROR(H37/H$6,0)</f>
        <v>0</v>
      </c>
      <c r="K37" s="269" t="n">
        <f aca="false">IFERROR(H37/H$5,0)</f>
        <v>0</v>
      </c>
      <c r="L37" s="270" t="n">
        <f aca="false">L25-L35</f>
        <v>0</v>
      </c>
      <c r="M37" s="267" t="n">
        <f aca="false">IFERROR(L37/L$17,0)</f>
        <v>0</v>
      </c>
      <c r="N37" s="268" t="n">
        <f aca="false">IFERROR(L37/L$6,0)</f>
        <v>0</v>
      </c>
      <c r="O37" s="269" t="n">
        <f aca="false">IFERROR(L37/L$5,0)</f>
        <v>0</v>
      </c>
      <c r="P37" s="270" t="n">
        <f aca="false">P25-P35</f>
        <v>0</v>
      </c>
      <c r="Q37" s="267" t="n">
        <f aca="false">IFERROR(P37/P$17,0)</f>
        <v>0</v>
      </c>
      <c r="R37" s="268" t="n">
        <f aca="false">IFERROR(P37/P$6,0)</f>
        <v>0</v>
      </c>
      <c r="S37" s="269" t="n">
        <f aca="false">IFERROR(P37/P$5,0)</f>
        <v>0</v>
      </c>
      <c r="T37" s="270" t="n">
        <f aca="false">T25-T35</f>
        <v>0</v>
      </c>
      <c r="U37" s="267" t="n">
        <f aca="false">IFERROR(T37/T$17,0)</f>
        <v>0</v>
      </c>
      <c r="V37" s="268" t="n">
        <f aca="false">IFERROR(T37/T$6,0)</f>
        <v>0</v>
      </c>
      <c r="W37" s="269" t="n">
        <f aca="false">IFERROR(T37/T$5,0)</f>
        <v>0</v>
      </c>
      <c r="X37" s="270" t="n">
        <f aca="false">X25-X35</f>
        <v>0</v>
      </c>
      <c r="Y37" s="267" t="n">
        <f aca="false">IFERROR(X37/X$17,0)</f>
        <v>0</v>
      </c>
      <c r="Z37" s="268" t="n">
        <f aca="false">IFERROR(X37/X$6,0)</f>
        <v>0</v>
      </c>
      <c r="AA37" s="269" t="n">
        <f aca="false">IFERROR(X37/X$5,0)</f>
        <v>0</v>
      </c>
      <c r="AB37" s="270" t="n">
        <f aca="false">AB25-AB35</f>
        <v>0</v>
      </c>
      <c r="AC37" s="267" t="n">
        <f aca="false">IFERROR(AB37/AB$17,0)</f>
        <v>0</v>
      </c>
      <c r="AD37" s="268" t="n">
        <f aca="false">IFERROR(AB37/AB$6,0)</f>
        <v>0</v>
      </c>
      <c r="AE37" s="269" t="n">
        <f aca="false">IFERROR(AB37/AB$5,0)</f>
        <v>0</v>
      </c>
      <c r="AF37" s="270" t="n">
        <f aca="false">AF25-AF35</f>
        <v>0</v>
      </c>
      <c r="AG37" s="267" t="n">
        <f aca="false">IFERROR(AF37/AF$17,0)</f>
        <v>0</v>
      </c>
      <c r="AH37" s="268" t="n">
        <f aca="false">IFERROR(AF37/AF$6,0)</f>
        <v>0</v>
      </c>
      <c r="AI37" s="269" t="n">
        <f aca="false">IFERROR(AF37/AF$5,0)</f>
        <v>0</v>
      </c>
      <c r="AJ37" s="270" t="n">
        <f aca="false">AJ25-AJ35</f>
        <v>0</v>
      </c>
      <c r="AK37" s="267" t="n">
        <f aca="false">IFERROR(AJ37/AJ$17,0)</f>
        <v>0</v>
      </c>
      <c r="AL37" s="268" t="n">
        <f aca="false">IFERROR(AJ37/AJ$6,0)</f>
        <v>0</v>
      </c>
      <c r="AM37" s="269" t="n">
        <f aca="false">IFERROR(AJ37/AJ$5,0)</f>
        <v>0</v>
      </c>
      <c r="AN37" s="270" t="n">
        <f aca="false">AN25-AN35</f>
        <v>0</v>
      </c>
      <c r="AO37" s="267" t="n">
        <f aca="false">IFERROR(AN37/AN$17,0)</f>
        <v>0</v>
      </c>
      <c r="AP37" s="268" t="n">
        <f aca="false">IFERROR(AN37/AN$6,0)</f>
        <v>0</v>
      </c>
      <c r="AQ37" s="269" t="n">
        <f aca="false">IFERROR(AN37/AN$5,0)</f>
        <v>0</v>
      </c>
    </row>
    <row r="38" customFormat="false" ht="14.25" hidden="false" customHeight="true" outlineLevel="0" collapsed="false">
      <c r="C38" s="298"/>
      <c r="D38" s="299"/>
      <c r="E38" s="300"/>
      <c r="F38" s="301"/>
      <c r="G38" s="302"/>
      <c r="H38" s="303"/>
      <c r="I38" s="300"/>
      <c r="J38" s="301"/>
      <c r="K38" s="302"/>
      <c r="L38" s="303"/>
      <c r="M38" s="300"/>
      <c r="N38" s="301"/>
      <c r="O38" s="302"/>
      <c r="P38" s="303"/>
      <c r="Q38" s="300"/>
      <c r="R38" s="301"/>
      <c r="S38" s="302"/>
      <c r="T38" s="303"/>
      <c r="U38" s="300"/>
      <c r="V38" s="301"/>
      <c r="W38" s="302"/>
      <c r="X38" s="303"/>
      <c r="Y38" s="300"/>
      <c r="Z38" s="301"/>
      <c r="AA38" s="302"/>
      <c r="AB38" s="303"/>
      <c r="AC38" s="300"/>
      <c r="AD38" s="301"/>
      <c r="AE38" s="302"/>
      <c r="AF38" s="303"/>
      <c r="AG38" s="300"/>
      <c r="AH38" s="301"/>
      <c r="AI38" s="302"/>
      <c r="AJ38" s="303"/>
      <c r="AK38" s="300"/>
      <c r="AL38" s="301"/>
      <c r="AM38" s="302"/>
      <c r="AN38" s="303"/>
      <c r="AO38" s="300"/>
      <c r="AP38" s="301"/>
      <c r="AQ38" s="302"/>
    </row>
    <row r="39" customFormat="false" ht="14.25" hidden="false" customHeight="true" outlineLevel="0" collapsed="false">
      <c r="C39" s="271" t="s">
        <v>156</v>
      </c>
      <c r="D39" s="261"/>
      <c r="E39" s="264"/>
      <c r="F39" s="261"/>
      <c r="G39" s="262"/>
      <c r="H39" s="304"/>
      <c r="I39" s="264"/>
      <c r="J39" s="261"/>
      <c r="K39" s="262"/>
      <c r="L39" s="304"/>
      <c r="M39" s="264"/>
      <c r="N39" s="261"/>
      <c r="O39" s="262"/>
      <c r="P39" s="304"/>
      <c r="Q39" s="264"/>
      <c r="R39" s="261"/>
      <c r="S39" s="262"/>
      <c r="T39" s="304"/>
      <c r="U39" s="264"/>
      <c r="V39" s="261"/>
      <c r="W39" s="262"/>
      <c r="X39" s="304"/>
      <c r="Y39" s="264"/>
      <c r="Z39" s="261"/>
      <c r="AA39" s="262"/>
      <c r="AB39" s="304"/>
      <c r="AC39" s="264"/>
      <c r="AD39" s="261"/>
      <c r="AE39" s="262"/>
      <c r="AF39" s="304"/>
      <c r="AG39" s="264"/>
      <c r="AH39" s="261"/>
      <c r="AI39" s="262"/>
      <c r="AJ39" s="304"/>
      <c r="AK39" s="264"/>
      <c r="AL39" s="261"/>
      <c r="AM39" s="262"/>
      <c r="AN39" s="304"/>
      <c r="AO39" s="264"/>
      <c r="AP39" s="261"/>
      <c r="AQ39" s="262"/>
    </row>
    <row r="40" customFormat="false" ht="14.25" hidden="false" customHeight="true" outlineLevel="0" collapsed="false">
      <c r="C40" s="281" t="s">
        <v>157</v>
      </c>
      <c r="D40" s="259" t="n">
        <f aca="false">SUM(START:END!D42:D42)</f>
        <v>0</v>
      </c>
      <c r="E40" s="264" t="n">
        <f aca="false">IFERROR(D40/D$17,0)</f>
        <v>0</v>
      </c>
      <c r="F40" s="261" t="n">
        <f aca="false">IFERROR(D40/D$6,0)</f>
        <v>0</v>
      </c>
      <c r="G40" s="262" t="n">
        <f aca="false">IFERROR(D40/D$5,0)</f>
        <v>0</v>
      </c>
      <c r="H40" s="263" t="n">
        <f aca="false">SUM(START:END!H42:H42)</f>
        <v>0</v>
      </c>
      <c r="I40" s="264" t="n">
        <f aca="false">IFERROR(H40/H$17,0)</f>
        <v>0</v>
      </c>
      <c r="J40" s="261" t="n">
        <f aca="false">IFERROR(H40/H$6,0)</f>
        <v>0</v>
      </c>
      <c r="K40" s="262" t="n">
        <f aca="false">IFERROR(H40/H$5,0)</f>
        <v>0</v>
      </c>
      <c r="L40" s="263" t="n">
        <f aca="false">SUM(START:END!L42:L42)</f>
        <v>0</v>
      </c>
      <c r="M40" s="264" t="n">
        <f aca="false">IFERROR(L40/L$17,0)</f>
        <v>0</v>
      </c>
      <c r="N40" s="261" t="n">
        <f aca="false">IFERROR(L40/L$6,0)</f>
        <v>0</v>
      </c>
      <c r="O40" s="262" t="n">
        <f aca="false">IFERROR(L40/L$5,0)</f>
        <v>0</v>
      </c>
      <c r="P40" s="263" t="n">
        <f aca="false">SUM(START:END!P42:P42)</f>
        <v>0</v>
      </c>
      <c r="Q40" s="264" t="n">
        <f aca="false">IFERROR(P40/P$17,0)</f>
        <v>0</v>
      </c>
      <c r="R40" s="261" t="n">
        <f aca="false">IFERROR(P40/P$6,0)</f>
        <v>0</v>
      </c>
      <c r="S40" s="262" t="n">
        <f aca="false">IFERROR(P40/P$5,0)</f>
        <v>0</v>
      </c>
      <c r="T40" s="263" t="n">
        <f aca="false">SUM(START:END!T42:T42)</f>
        <v>0</v>
      </c>
      <c r="U40" s="264" t="n">
        <f aca="false">IFERROR(T40/T$17,0)</f>
        <v>0</v>
      </c>
      <c r="V40" s="261" t="n">
        <f aca="false">IFERROR(T40/T$6,0)</f>
        <v>0</v>
      </c>
      <c r="W40" s="262" t="n">
        <f aca="false">IFERROR(T40/T$5,0)</f>
        <v>0</v>
      </c>
      <c r="X40" s="263" t="n">
        <f aca="false">SUM(START:END!X42:X42)</f>
        <v>0</v>
      </c>
      <c r="Y40" s="264" t="n">
        <f aca="false">IFERROR(X40/X$17,0)</f>
        <v>0</v>
      </c>
      <c r="Z40" s="261" t="n">
        <f aca="false">IFERROR(X40/X$6,0)</f>
        <v>0</v>
      </c>
      <c r="AA40" s="262" t="n">
        <f aca="false">IFERROR(X40/X$5,0)</f>
        <v>0</v>
      </c>
      <c r="AB40" s="263" t="n">
        <f aca="false">SUM(START:END!AB42:AB42)</f>
        <v>0</v>
      </c>
      <c r="AC40" s="264" t="n">
        <f aca="false">IFERROR(AB40/AB$17,0)</f>
        <v>0</v>
      </c>
      <c r="AD40" s="261" t="n">
        <f aca="false">IFERROR(AB40/AB$6,0)</f>
        <v>0</v>
      </c>
      <c r="AE40" s="262" t="n">
        <f aca="false">IFERROR(AB40/AB$5,0)</f>
        <v>0</v>
      </c>
      <c r="AF40" s="263" t="n">
        <f aca="false">SUM(START:END!AF42:AF42)</f>
        <v>0</v>
      </c>
      <c r="AG40" s="264" t="n">
        <f aca="false">IFERROR(AF40/AF$17,0)</f>
        <v>0</v>
      </c>
      <c r="AH40" s="261" t="n">
        <f aca="false">IFERROR(AF40/AF$6,0)</f>
        <v>0</v>
      </c>
      <c r="AI40" s="262" t="n">
        <f aca="false">IFERROR(AF40/AF$5,0)</f>
        <v>0</v>
      </c>
      <c r="AJ40" s="263" t="n">
        <f aca="false">SUM(START:END!AJ42:AJ42)</f>
        <v>0</v>
      </c>
      <c r="AK40" s="264" t="n">
        <f aca="false">IFERROR(AJ40/AJ$17,0)</f>
        <v>0</v>
      </c>
      <c r="AL40" s="261" t="n">
        <f aca="false">IFERROR(AJ40/AJ$6,0)</f>
        <v>0</v>
      </c>
      <c r="AM40" s="262" t="n">
        <f aca="false">IFERROR(AJ40/AJ$5,0)</f>
        <v>0</v>
      </c>
      <c r="AN40" s="263" t="n">
        <f aca="false">SUM(START:END!AN42:AN42)</f>
        <v>0</v>
      </c>
      <c r="AO40" s="264" t="n">
        <f aca="false">IFERROR(AN40/AN$17,0)</f>
        <v>0</v>
      </c>
      <c r="AP40" s="261" t="n">
        <f aca="false">IFERROR(AN40/AN$6,0)</f>
        <v>0</v>
      </c>
      <c r="AQ40" s="262" t="n">
        <f aca="false">IFERROR(AN40/AN$5,0)</f>
        <v>0</v>
      </c>
      <c r="AS40" s="282"/>
    </row>
    <row r="41" customFormat="false" ht="14.25" hidden="true" customHeight="true" outlineLevel="1" collapsed="false">
      <c r="C41" s="281" t="s">
        <v>158</v>
      </c>
      <c r="D41" s="259" t="n">
        <f aca="false">SUM(START:END!D43:D43)</f>
        <v>0</v>
      </c>
      <c r="E41" s="264" t="n">
        <f aca="false">IFERROR(D41/D$17,0)</f>
        <v>0</v>
      </c>
      <c r="F41" s="261" t="n">
        <f aca="false">IFERROR(D41/D$6,0)</f>
        <v>0</v>
      </c>
      <c r="G41" s="262" t="n">
        <f aca="false">IFERROR(D41/D$5,0)</f>
        <v>0</v>
      </c>
      <c r="H41" s="263" t="n">
        <f aca="false">SUM(START:END!H43:H43)</f>
        <v>0</v>
      </c>
      <c r="I41" s="264" t="n">
        <f aca="false">IFERROR(H41/H$17,0)</f>
        <v>0</v>
      </c>
      <c r="J41" s="261" t="n">
        <f aca="false">IFERROR(H41/H$6,0)</f>
        <v>0</v>
      </c>
      <c r="K41" s="262" t="n">
        <f aca="false">IFERROR(H41/H$5,0)</f>
        <v>0</v>
      </c>
      <c r="L41" s="263" t="n">
        <f aca="false">SUM(START:END!L43:L43)</f>
        <v>0</v>
      </c>
      <c r="M41" s="264" t="n">
        <f aca="false">IFERROR(L41/L$17,0)</f>
        <v>0</v>
      </c>
      <c r="N41" s="261" t="n">
        <f aca="false">IFERROR(L41/L$6,0)</f>
        <v>0</v>
      </c>
      <c r="O41" s="262" t="n">
        <f aca="false">IFERROR(L41/L$5,0)</f>
        <v>0</v>
      </c>
      <c r="P41" s="263" t="n">
        <f aca="false">SUM(START:END!P43:P43)</f>
        <v>0</v>
      </c>
      <c r="Q41" s="264" t="n">
        <f aca="false">IFERROR(P41/P$17,0)</f>
        <v>0</v>
      </c>
      <c r="R41" s="261" t="n">
        <f aca="false">IFERROR(P41/P$6,0)</f>
        <v>0</v>
      </c>
      <c r="S41" s="262" t="n">
        <f aca="false">IFERROR(P41/P$5,0)</f>
        <v>0</v>
      </c>
      <c r="T41" s="263" t="n">
        <f aca="false">SUM(START:END!T43:T43)</f>
        <v>0</v>
      </c>
      <c r="U41" s="264" t="n">
        <f aca="false">IFERROR(T41/T$17,0)</f>
        <v>0</v>
      </c>
      <c r="V41" s="261" t="n">
        <f aca="false">IFERROR(T41/T$6,0)</f>
        <v>0</v>
      </c>
      <c r="W41" s="262" t="n">
        <f aca="false">IFERROR(T41/T$5,0)</f>
        <v>0</v>
      </c>
      <c r="X41" s="263" t="n">
        <f aca="false">SUM(START:END!X43:X43)</f>
        <v>0</v>
      </c>
      <c r="Y41" s="264" t="n">
        <f aca="false">IFERROR(X41/X$17,0)</f>
        <v>0</v>
      </c>
      <c r="Z41" s="261" t="n">
        <f aca="false">IFERROR(X41/X$6,0)</f>
        <v>0</v>
      </c>
      <c r="AA41" s="262" t="n">
        <f aca="false">IFERROR(X41/X$5,0)</f>
        <v>0</v>
      </c>
      <c r="AB41" s="263" t="n">
        <f aca="false">SUM(START:END!AB43:AB43)</f>
        <v>0</v>
      </c>
      <c r="AC41" s="264" t="n">
        <f aca="false">IFERROR(AB41/AB$17,0)</f>
        <v>0</v>
      </c>
      <c r="AD41" s="261" t="n">
        <f aca="false">IFERROR(AB41/AB$6,0)</f>
        <v>0</v>
      </c>
      <c r="AE41" s="262" t="n">
        <f aca="false">IFERROR(AB41/AB$5,0)</f>
        <v>0</v>
      </c>
      <c r="AF41" s="263" t="n">
        <f aca="false">SUM(START:END!AF43:AF43)</f>
        <v>0</v>
      </c>
      <c r="AG41" s="264" t="n">
        <f aca="false">IFERROR(AF41/AF$17,0)</f>
        <v>0</v>
      </c>
      <c r="AH41" s="261" t="n">
        <f aca="false">IFERROR(AF41/AF$6,0)</f>
        <v>0</v>
      </c>
      <c r="AI41" s="262" t="n">
        <f aca="false">IFERROR(AF41/AF$5,0)</f>
        <v>0</v>
      </c>
      <c r="AJ41" s="263" t="n">
        <f aca="false">SUM(START:END!AJ43:AJ43)</f>
        <v>0</v>
      </c>
      <c r="AK41" s="264" t="n">
        <f aca="false">IFERROR(AJ41/AJ$17,0)</f>
        <v>0</v>
      </c>
      <c r="AL41" s="261" t="n">
        <f aca="false">IFERROR(AJ41/AJ$6,0)</f>
        <v>0</v>
      </c>
      <c r="AM41" s="262" t="n">
        <f aca="false">IFERROR(AJ41/AJ$5,0)</f>
        <v>0</v>
      </c>
      <c r="AN41" s="263" t="n">
        <f aca="false">SUM(START:END!AN43:AN43)</f>
        <v>0</v>
      </c>
      <c r="AO41" s="264" t="n">
        <f aca="false">IFERROR(AN41/AN$17,0)</f>
        <v>0</v>
      </c>
      <c r="AP41" s="261" t="n">
        <f aca="false">IFERROR(AN41/AN$6,0)</f>
        <v>0</v>
      </c>
      <c r="AQ41" s="262" t="n">
        <f aca="false">IFERROR(AN41/AN$5,0)</f>
        <v>0</v>
      </c>
      <c r="AS41" s="282"/>
    </row>
    <row r="42" customFormat="false" ht="14.25" hidden="false" customHeight="true" outlineLevel="0" collapsed="false">
      <c r="C42" s="284" t="s">
        <v>157</v>
      </c>
      <c r="D42" s="285" t="n">
        <f aca="false">SUM(D40:D41)</f>
        <v>0</v>
      </c>
      <c r="E42" s="295" t="n">
        <f aca="false">IFERROR(D42/D$17,0)</f>
        <v>0</v>
      </c>
      <c r="F42" s="287" t="n">
        <f aca="false">IFERROR(D42/D$6,0)</f>
        <v>0</v>
      </c>
      <c r="G42" s="288" t="n">
        <f aca="false">IFERROR(D42/D$5,0)</f>
        <v>0</v>
      </c>
      <c r="H42" s="289" t="n">
        <f aca="false">SUM(H40:H41)</f>
        <v>0</v>
      </c>
      <c r="I42" s="295" t="n">
        <f aca="false">IFERROR(H42/H$17,0)</f>
        <v>0</v>
      </c>
      <c r="J42" s="287" t="n">
        <f aca="false">IFERROR(H42/H$6,0)</f>
        <v>0</v>
      </c>
      <c r="K42" s="288" t="n">
        <f aca="false">IFERROR(H42/H$5,0)</f>
        <v>0</v>
      </c>
      <c r="L42" s="289" t="n">
        <f aca="false">SUM(L40:L41)</f>
        <v>0</v>
      </c>
      <c r="M42" s="295" t="n">
        <f aca="false">IFERROR(L42/L$17,0)</f>
        <v>0</v>
      </c>
      <c r="N42" s="287" t="n">
        <f aca="false">IFERROR(L42/L$6,0)</f>
        <v>0</v>
      </c>
      <c r="O42" s="288" t="n">
        <f aca="false">IFERROR(L42/L$5,0)</f>
        <v>0</v>
      </c>
      <c r="P42" s="289" t="n">
        <f aca="false">SUM(P40:P41)</f>
        <v>0</v>
      </c>
      <c r="Q42" s="295" t="n">
        <f aca="false">IFERROR(P42/P$17,0)</f>
        <v>0</v>
      </c>
      <c r="R42" s="287" t="n">
        <f aca="false">IFERROR(P42/P$6,0)</f>
        <v>0</v>
      </c>
      <c r="S42" s="288" t="n">
        <f aca="false">IFERROR(P42/P$5,0)</f>
        <v>0</v>
      </c>
      <c r="T42" s="289" t="n">
        <f aca="false">SUM(T40:T41)</f>
        <v>0</v>
      </c>
      <c r="U42" s="295" t="n">
        <f aca="false">IFERROR(T42/T$17,0)</f>
        <v>0</v>
      </c>
      <c r="V42" s="287" t="n">
        <f aca="false">IFERROR(T42/T$6,0)</f>
        <v>0</v>
      </c>
      <c r="W42" s="288" t="n">
        <f aca="false">IFERROR(T42/T$5,0)</f>
        <v>0</v>
      </c>
      <c r="X42" s="289" t="n">
        <f aca="false">SUM(X40:X41)</f>
        <v>0</v>
      </c>
      <c r="Y42" s="295" t="n">
        <f aca="false">IFERROR(X42/X$17,0)</f>
        <v>0</v>
      </c>
      <c r="Z42" s="287" t="n">
        <f aca="false">IFERROR(X42/X$6,0)</f>
        <v>0</v>
      </c>
      <c r="AA42" s="288" t="n">
        <f aca="false">IFERROR(X42/X$5,0)</f>
        <v>0</v>
      </c>
      <c r="AB42" s="289" t="n">
        <f aca="false">SUM(AB40:AB41)</f>
        <v>0</v>
      </c>
      <c r="AC42" s="295" t="n">
        <f aca="false">IFERROR(AB42/AB$17,0)</f>
        <v>0</v>
      </c>
      <c r="AD42" s="287" t="n">
        <f aca="false">IFERROR(AB42/AB$6,0)</f>
        <v>0</v>
      </c>
      <c r="AE42" s="288" t="n">
        <f aca="false">IFERROR(AB42/AB$5,0)</f>
        <v>0</v>
      </c>
      <c r="AF42" s="289" t="n">
        <f aca="false">SUM(AF40:AF41)</f>
        <v>0</v>
      </c>
      <c r="AG42" s="295" t="n">
        <f aca="false">IFERROR(AF42/AF$17,0)</f>
        <v>0</v>
      </c>
      <c r="AH42" s="287" t="n">
        <f aca="false">IFERROR(AF42/AF$6,0)</f>
        <v>0</v>
      </c>
      <c r="AI42" s="288" t="n">
        <f aca="false">IFERROR(AF42/AF$5,0)</f>
        <v>0</v>
      </c>
      <c r="AJ42" s="289" t="n">
        <f aca="false">SUM(AJ40:AJ41)</f>
        <v>0</v>
      </c>
      <c r="AK42" s="295" t="n">
        <f aca="false">IFERROR(AJ42/AJ$17,0)</f>
        <v>0</v>
      </c>
      <c r="AL42" s="287" t="n">
        <f aca="false">IFERROR(AJ42/AJ$6,0)</f>
        <v>0</v>
      </c>
      <c r="AM42" s="288" t="n">
        <f aca="false">IFERROR(AJ42/AJ$5,0)</f>
        <v>0</v>
      </c>
      <c r="AN42" s="289" t="n">
        <f aca="false">SUM(AN40:AN41)</f>
        <v>0</v>
      </c>
      <c r="AO42" s="295" t="n">
        <f aca="false">IFERROR(AN42/AN$17,0)</f>
        <v>0</v>
      </c>
      <c r="AP42" s="287" t="n">
        <f aca="false">IFERROR(AN42/AN$6,0)</f>
        <v>0</v>
      </c>
      <c r="AQ42" s="288" t="n">
        <f aca="false">IFERROR(AN42/AN$5,0)</f>
        <v>0</v>
      </c>
      <c r="AS42" s="305"/>
    </row>
    <row r="43" customFormat="false" ht="14.25" hidden="false" customHeight="true" outlineLevel="0" collapsed="false">
      <c r="C43" s="281"/>
      <c r="D43" s="306"/>
      <c r="E43" s="264"/>
      <c r="F43" s="261"/>
      <c r="G43" s="262"/>
      <c r="H43" s="307"/>
      <c r="I43" s="264"/>
      <c r="J43" s="261"/>
      <c r="K43" s="262"/>
      <c r="L43" s="307"/>
      <c r="M43" s="264"/>
      <c r="N43" s="261"/>
      <c r="O43" s="262"/>
      <c r="P43" s="307"/>
      <c r="Q43" s="264"/>
      <c r="R43" s="261"/>
      <c r="S43" s="262"/>
      <c r="T43" s="307"/>
      <c r="U43" s="264"/>
      <c r="V43" s="261"/>
      <c r="W43" s="262"/>
      <c r="X43" s="307"/>
      <c r="Y43" s="264"/>
      <c r="Z43" s="261"/>
      <c r="AA43" s="262"/>
      <c r="AB43" s="307"/>
      <c r="AC43" s="264"/>
      <c r="AD43" s="261"/>
      <c r="AE43" s="262"/>
      <c r="AF43" s="307"/>
      <c r="AG43" s="264"/>
      <c r="AH43" s="261"/>
      <c r="AI43" s="262"/>
      <c r="AJ43" s="307"/>
      <c r="AK43" s="264"/>
      <c r="AL43" s="261"/>
      <c r="AM43" s="262"/>
      <c r="AN43" s="307"/>
      <c r="AO43" s="264"/>
      <c r="AP43" s="261"/>
      <c r="AQ43" s="262"/>
    </row>
    <row r="44" customFormat="false" ht="14.25" hidden="false" customHeight="true" outlineLevel="0" collapsed="false">
      <c r="C44" s="271" t="s">
        <v>159</v>
      </c>
      <c r="D44" s="261"/>
      <c r="E44" s="264"/>
      <c r="F44" s="261"/>
      <c r="G44" s="262"/>
      <c r="H44" s="304"/>
      <c r="I44" s="264"/>
      <c r="J44" s="261"/>
      <c r="K44" s="262"/>
      <c r="L44" s="304"/>
      <c r="M44" s="264"/>
      <c r="N44" s="261"/>
      <c r="O44" s="262"/>
      <c r="P44" s="304"/>
      <c r="Q44" s="264"/>
      <c r="R44" s="261"/>
      <c r="S44" s="262"/>
      <c r="T44" s="304"/>
      <c r="U44" s="264"/>
      <c r="V44" s="261"/>
      <c r="W44" s="262"/>
      <c r="X44" s="304"/>
      <c r="Y44" s="264"/>
      <c r="Z44" s="261"/>
      <c r="AA44" s="262"/>
      <c r="AB44" s="304"/>
      <c r="AC44" s="264"/>
      <c r="AD44" s="261"/>
      <c r="AE44" s="262"/>
      <c r="AF44" s="304"/>
      <c r="AG44" s="264"/>
      <c r="AH44" s="261"/>
      <c r="AI44" s="262"/>
      <c r="AJ44" s="304"/>
      <c r="AK44" s="264"/>
      <c r="AL44" s="261"/>
      <c r="AM44" s="262"/>
      <c r="AN44" s="304"/>
      <c r="AO44" s="264"/>
      <c r="AP44" s="261"/>
      <c r="AQ44" s="262"/>
    </row>
    <row r="45" customFormat="false" ht="14.25" hidden="false" customHeight="true" outlineLevel="0" collapsed="false">
      <c r="C45" s="281" t="s">
        <v>160</v>
      </c>
      <c r="D45" s="259" t="n">
        <f aca="false">SUM(START:END!D47:D47)</f>
        <v>0</v>
      </c>
      <c r="E45" s="264" t="n">
        <f aca="false">IFERROR(D45/D$17,0)</f>
        <v>0</v>
      </c>
      <c r="F45" s="261" t="n">
        <f aca="false">IFERROR(D45/D$6,0)</f>
        <v>0</v>
      </c>
      <c r="G45" s="262" t="n">
        <f aca="false">IFERROR(D45/D$5,0)</f>
        <v>0</v>
      </c>
      <c r="H45" s="263" t="n">
        <f aca="false">SUM(START:END!H47:H47)</f>
        <v>0</v>
      </c>
      <c r="I45" s="264" t="n">
        <f aca="false">IFERROR(H45/H$17,0)</f>
        <v>0</v>
      </c>
      <c r="J45" s="261" t="n">
        <f aca="false">IFERROR(H45/H$6,0)</f>
        <v>0</v>
      </c>
      <c r="K45" s="262" t="n">
        <f aca="false">IFERROR(H45/H$5,0)</f>
        <v>0</v>
      </c>
      <c r="L45" s="263" t="n">
        <f aca="false">SUM(START:END!L47:L47)</f>
        <v>0</v>
      </c>
      <c r="M45" s="264" t="n">
        <f aca="false">IFERROR(L45/L$17,0)</f>
        <v>0</v>
      </c>
      <c r="N45" s="261" t="n">
        <f aca="false">IFERROR(L45/L$6,0)</f>
        <v>0</v>
      </c>
      <c r="O45" s="262" t="n">
        <f aca="false">IFERROR(L45/L$5,0)</f>
        <v>0</v>
      </c>
      <c r="P45" s="263" t="n">
        <f aca="false">SUM(START:END!P47:P47)</f>
        <v>0</v>
      </c>
      <c r="Q45" s="264" t="n">
        <f aca="false">IFERROR(P45/P$17,0)</f>
        <v>0</v>
      </c>
      <c r="R45" s="261" t="n">
        <f aca="false">IFERROR(P45/P$6,0)</f>
        <v>0</v>
      </c>
      <c r="S45" s="262" t="n">
        <f aca="false">IFERROR(P45/P$5,0)</f>
        <v>0</v>
      </c>
      <c r="T45" s="263" t="n">
        <f aca="false">SUM(START:END!T47:T47)</f>
        <v>0</v>
      </c>
      <c r="U45" s="264" t="n">
        <f aca="false">IFERROR(T45/T$17,0)</f>
        <v>0</v>
      </c>
      <c r="V45" s="261" t="n">
        <f aca="false">IFERROR(T45/T$6,0)</f>
        <v>0</v>
      </c>
      <c r="W45" s="262" t="n">
        <f aca="false">IFERROR(T45/T$5,0)</f>
        <v>0</v>
      </c>
      <c r="X45" s="263" t="n">
        <f aca="false">SUM(START:END!X47:X47)</f>
        <v>0</v>
      </c>
      <c r="Y45" s="264" t="n">
        <f aca="false">IFERROR(X45/X$17,0)</f>
        <v>0</v>
      </c>
      <c r="Z45" s="261" t="n">
        <f aca="false">IFERROR(X45/X$6,0)</f>
        <v>0</v>
      </c>
      <c r="AA45" s="262" t="n">
        <f aca="false">IFERROR(X45/X$5,0)</f>
        <v>0</v>
      </c>
      <c r="AB45" s="263" t="n">
        <f aca="false">SUM(START:END!AB47:AB47)</f>
        <v>0</v>
      </c>
      <c r="AC45" s="264" t="n">
        <f aca="false">IFERROR(AB45/AB$17,0)</f>
        <v>0</v>
      </c>
      <c r="AD45" s="261" t="n">
        <f aca="false">IFERROR(AB45/AB$6,0)</f>
        <v>0</v>
      </c>
      <c r="AE45" s="262" t="n">
        <f aca="false">IFERROR(AB45/AB$5,0)</f>
        <v>0</v>
      </c>
      <c r="AF45" s="263" t="n">
        <f aca="false">SUM(START:END!AF47:AF47)</f>
        <v>0</v>
      </c>
      <c r="AG45" s="264" t="n">
        <f aca="false">IFERROR(AF45/AF$17,0)</f>
        <v>0</v>
      </c>
      <c r="AH45" s="261" t="n">
        <f aca="false">IFERROR(AF45/AF$6,0)</f>
        <v>0</v>
      </c>
      <c r="AI45" s="262" t="n">
        <f aca="false">IFERROR(AF45/AF$5,0)</f>
        <v>0</v>
      </c>
      <c r="AJ45" s="263" t="n">
        <f aca="false">SUM(START:END!AJ47:AJ47)</f>
        <v>0</v>
      </c>
      <c r="AK45" s="264" t="n">
        <f aca="false">IFERROR(AJ45/AJ$17,0)</f>
        <v>0</v>
      </c>
      <c r="AL45" s="261" t="n">
        <f aca="false">IFERROR(AJ45/AJ$6,0)</f>
        <v>0</v>
      </c>
      <c r="AM45" s="262" t="n">
        <f aca="false">IFERROR(AJ45/AJ$5,0)</f>
        <v>0</v>
      </c>
      <c r="AN45" s="263" t="n">
        <f aca="false">SUM(START:END!AN47:AN47)</f>
        <v>0</v>
      </c>
      <c r="AO45" s="264" t="n">
        <f aca="false">IFERROR(AN45/AN$17,0)</f>
        <v>0</v>
      </c>
      <c r="AP45" s="261" t="n">
        <f aca="false">IFERROR(AN45/AN$6,0)</f>
        <v>0</v>
      </c>
      <c r="AQ45" s="262" t="n">
        <f aca="false">IFERROR(AN45/AN$5,0)</f>
        <v>0</v>
      </c>
      <c r="AS45" s="282"/>
    </row>
    <row r="46" customFormat="false" ht="14.25" hidden="false" customHeight="true" outlineLevel="0" collapsed="false">
      <c r="C46" s="281" t="s">
        <v>161</v>
      </c>
      <c r="D46" s="259" t="n">
        <f aca="false">SUM(START:END!D48:D48)</f>
        <v>0</v>
      </c>
      <c r="E46" s="264" t="n">
        <f aca="false">IFERROR(D46/D$17,0)</f>
        <v>0</v>
      </c>
      <c r="F46" s="261" t="n">
        <f aca="false">IFERROR(D46/D$6,0)</f>
        <v>0</v>
      </c>
      <c r="G46" s="262" t="n">
        <f aca="false">IFERROR(D46/D$5,0)</f>
        <v>0</v>
      </c>
      <c r="H46" s="263" t="n">
        <f aca="false">SUM(START:END!H48:H48)</f>
        <v>0</v>
      </c>
      <c r="I46" s="264" t="n">
        <f aca="false">IFERROR(H46/H$17,0)</f>
        <v>0</v>
      </c>
      <c r="J46" s="261" t="n">
        <f aca="false">IFERROR(H46/H$6,0)</f>
        <v>0</v>
      </c>
      <c r="K46" s="262" t="n">
        <f aca="false">IFERROR(H46/H$5,0)</f>
        <v>0</v>
      </c>
      <c r="L46" s="263" t="n">
        <f aca="false">SUM(START:END!L48:L48)</f>
        <v>0</v>
      </c>
      <c r="M46" s="264" t="n">
        <f aca="false">IFERROR(L46/L$17,0)</f>
        <v>0</v>
      </c>
      <c r="N46" s="261" t="n">
        <f aca="false">IFERROR(L46/L$6,0)</f>
        <v>0</v>
      </c>
      <c r="O46" s="262" t="n">
        <f aca="false">IFERROR(L46/L$5,0)</f>
        <v>0</v>
      </c>
      <c r="P46" s="263" t="n">
        <f aca="false">SUM(START:END!P48:P48)</f>
        <v>0</v>
      </c>
      <c r="Q46" s="264" t="n">
        <f aca="false">IFERROR(P46/P$17,0)</f>
        <v>0</v>
      </c>
      <c r="R46" s="261" t="n">
        <f aca="false">IFERROR(P46/P$6,0)</f>
        <v>0</v>
      </c>
      <c r="S46" s="262" t="n">
        <f aca="false">IFERROR(P46/P$5,0)</f>
        <v>0</v>
      </c>
      <c r="T46" s="263" t="n">
        <f aca="false">SUM(START:END!T48:T48)</f>
        <v>0</v>
      </c>
      <c r="U46" s="264" t="n">
        <f aca="false">IFERROR(T46/T$17,0)</f>
        <v>0</v>
      </c>
      <c r="V46" s="261" t="n">
        <f aca="false">IFERROR(T46/T$6,0)</f>
        <v>0</v>
      </c>
      <c r="W46" s="262" t="n">
        <f aca="false">IFERROR(T46/T$5,0)</f>
        <v>0</v>
      </c>
      <c r="X46" s="263" t="n">
        <f aca="false">SUM(START:END!X48:X48)</f>
        <v>0</v>
      </c>
      <c r="Y46" s="264" t="n">
        <f aca="false">IFERROR(X46/X$17,0)</f>
        <v>0</v>
      </c>
      <c r="Z46" s="261" t="n">
        <f aca="false">IFERROR(X46/X$6,0)</f>
        <v>0</v>
      </c>
      <c r="AA46" s="262" t="n">
        <f aca="false">IFERROR(X46/X$5,0)</f>
        <v>0</v>
      </c>
      <c r="AB46" s="263" t="n">
        <f aca="false">SUM(START:END!AB48:AB48)</f>
        <v>0</v>
      </c>
      <c r="AC46" s="264" t="n">
        <f aca="false">IFERROR(AB46/AB$17,0)</f>
        <v>0</v>
      </c>
      <c r="AD46" s="261" t="n">
        <f aca="false">IFERROR(AB46/AB$6,0)</f>
        <v>0</v>
      </c>
      <c r="AE46" s="262" t="n">
        <f aca="false">IFERROR(AB46/AB$5,0)</f>
        <v>0</v>
      </c>
      <c r="AF46" s="263" t="n">
        <f aca="false">SUM(START:END!AF48:AF48)</f>
        <v>0</v>
      </c>
      <c r="AG46" s="264" t="n">
        <f aca="false">IFERROR(AF46/AF$17,0)</f>
        <v>0</v>
      </c>
      <c r="AH46" s="261" t="n">
        <f aca="false">IFERROR(AF46/AF$6,0)</f>
        <v>0</v>
      </c>
      <c r="AI46" s="262" t="n">
        <f aca="false">IFERROR(AF46/AF$5,0)</f>
        <v>0</v>
      </c>
      <c r="AJ46" s="263" t="n">
        <f aca="false">SUM(START:END!AJ48:AJ48)</f>
        <v>0</v>
      </c>
      <c r="AK46" s="264" t="n">
        <f aca="false">IFERROR(AJ46/AJ$17,0)</f>
        <v>0</v>
      </c>
      <c r="AL46" s="261" t="n">
        <f aca="false">IFERROR(AJ46/AJ$6,0)</f>
        <v>0</v>
      </c>
      <c r="AM46" s="262" t="n">
        <f aca="false">IFERROR(AJ46/AJ$5,0)</f>
        <v>0</v>
      </c>
      <c r="AN46" s="263" t="n">
        <f aca="false">SUM(START:END!AN48:AN48)</f>
        <v>0</v>
      </c>
      <c r="AO46" s="264" t="n">
        <f aca="false">IFERROR(AN46/AN$17,0)</f>
        <v>0</v>
      </c>
      <c r="AP46" s="261" t="n">
        <f aca="false">IFERROR(AN46/AN$6,0)</f>
        <v>0</v>
      </c>
      <c r="AQ46" s="262" t="n">
        <f aca="false">IFERROR(AN46/AN$5,0)</f>
        <v>0</v>
      </c>
      <c r="AS46" s="282"/>
    </row>
    <row r="47" customFormat="false" ht="14.25" hidden="false" customHeight="true" outlineLevel="0" collapsed="false">
      <c r="C47" s="281" t="s">
        <v>162</v>
      </c>
      <c r="D47" s="259" t="n">
        <f aca="false">SUM(START:END!D49:D49)</f>
        <v>0</v>
      </c>
      <c r="E47" s="264" t="n">
        <f aca="false">IFERROR(D47/D$17,0)</f>
        <v>0</v>
      </c>
      <c r="F47" s="261" t="n">
        <f aca="false">IFERROR(D47/D$6,0)</f>
        <v>0</v>
      </c>
      <c r="G47" s="262" t="n">
        <f aca="false">IFERROR(D47/D$5,0)</f>
        <v>0</v>
      </c>
      <c r="H47" s="263" t="n">
        <f aca="false">SUM(START:END!H49:H49)</f>
        <v>0</v>
      </c>
      <c r="I47" s="264" t="n">
        <f aca="false">IFERROR(H47/H$17,0)</f>
        <v>0</v>
      </c>
      <c r="J47" s="261" t="n">
        <f aca="false">IFERROR(H47/H$6,0)</f>
        <v>0</v>
      </c>
      <c r="K47" s="262" t="n">
        <f aca="false">IFERROR(H47/H$5,0)</f>
        <v>0</v>
      </c>
      <c r="L47" s="263" t="n">
        <f aca="false">SUM(START:END!L49:L49)</f>
        <v>0</v>
      </c>
      <c r="M47" s="264" t="n">
        <f aca="false">IFERROR(L47/L$17,0)</f>
        <v>0</v>
      </c>
      <c r="N47" s="261" t="n">
        <f aca="false">IFERROR(L47/L$6,0)</f>
        <v>0</v>
      </c>
      <c r="O47" s="262" t="n">
        <f aca="false">IFERROR(L47/L$5,0)</f>
        <v>0</v>
      </c>
      <c r="P47" s="263" t="n">
        <f aca="false">SUM(START:END!P49:P49)</f>
        <v>0</v>
      </c>
      <c r="Q47" s="264" t="n">
        <f aca="false">IFERROR(P47/P$17,0)</f>
        <v>0</v>
      </c>
      <c r="R47" s="261" t="n">
        <f aca="false">IFERROR(P47/P$6,0)</f>
        <v>0</v>
      </c>
      <c r="S47" s="262" t="n">
        <f aca="false">IFERROR(P47/P$5,0)</f>
        <v>0</v>
      </c>
      <c r="T47" s="263" t="n">
        <f aca="false">SUM(START:END!T49:T49)</f>
        <v>0</v>
      </c>
      <c r="U47" s="264" t="n">
        <f aca="false">IFERROR(T47/T$17,0)</f>
        <v>0</v>
      </c>
      <c r="V47" s="261" t="n">
        <f aca="false">IFERROR(T47/T$6,0)</f>
        <v>0</v>
      </c>
      <c r="W47" s="262" t="n">
        <f aca="false">IFERROR(T47/T$5,0)</f>
        <v>0</v>
      </c>
      <c r="X47" s="263" t="n">
        <f aca="false">SUM(START:END!X49:X49)</f>
        <v>0</v>
      </c>
      <c r="Y47" s="264" t="n">
        <f aca="false">IFERROR(X47/X$17,0)</f>
        <v>0</v>
      </c>
      <c r="Z47" s="261" t="n">
        <f aca="false">IFERROR(X47/X$6,0)</f>
        <v>0</v>
      </c>
      <c r="AA47" s="262" t="n">
        <f aca="false">IFERROR(X47/X$5,0)</f>
        <v>0</v>
      </c>
      <c r="AB47" s="263" t="n">
        <f aca="false">SUM(START:END!AB49:AB49)</f>
        <v>0</v>
      </c>
      <c r="AC47" s="264" t="n">
        <f aca="false">IFERROR(AB47/AB$17,0)</f>
        <v>0</v>
      </c>
      <c r="AD47" s="261" t="n">
        <f aca="false">IFERROR(AB47/AB$6,0)</f>
        <v>0</v>
      </c>
      <c r="AE47" s="262" t="n">
        <f aca="false">IFERROR(AB47/AB$5,0)</f>
        <v>0</v>
      </c>
      <c r="AF47" s="263" t="n">
        <f aca="false">SUM(START:END!AF49:AF49)</f>
        <v>0</v>
      </c>
      <c r="AG47" s="264" t="n">
        <f aca="false">IFERROR(AF47/AF$17,0)</f>
        <v>0</v>
      </c>
      <c r="AH47" s="261" t="n">
        <f aca="false">IFERROR(AF47/AF$6,0)</f>
        <v>0</v>
      </c>
      <c r="AI47" s="262" t="n">
        <f aca="false">IFERROR(AF47/AF$5,0)</f>
        <v>0</v>
      </c>
      <c r="AJ47" s="263" t="n">
        <f aca="false">SUM(START:END!AJ49:AJ49)</f>
        <v>0</v>
      </c>
      <c r="AK47" s="264" t="n">
        <f aca="false">IFERROR(AJ47/AJ$17,0)</f>
        <v>0</v>
      </c>
      <c r="AL47" s="261" t="n">
        <f aca="false">IFERROR(AJ47/AJ$6,0)</f>
        <v>0</v>
      </c>
      <c r="AM47" s="262" t="n">
        <f aca="false">IFERROR(AJ47/AJ$5,0)</f>
        <v>0</v>
      </c>
      <c r="AN47" s="263" t="n">
        <f aca="false">SUM(START:END!AN49:AN49)</f>
        <v>0</v>
      </c>
      <c r="AO47" s="264" t="n">
        <f aca="false">IFERROR(AN47/AN$17,0)</f>
        <v>0</v>
      </c>
      <c r="AP47" s="261" t="n">
        <f aca="false">IFERROR(AN47/AN$6,0)</f>
        <v>0</v>
      </c>
      <c r="AQ47" s="262" t="n">
        <f aca="false">IFERROR(AN47/AN$5,0)</f>
        <v>0</v>
      </c>
      <c r="AS47" s="282"/>
    </row>
    <row r="48" customFormat="false" ht="14.25" hidden="false" customHeight="true" outlineLevel="0" collapsed="false">
      <c r="C48" s="281" t="s">
        <v>163</v>
      </c>
      <c r="D48" s="259" t="n">
        <f aca="false">SUM(START:END!D50:D50)</f>
        <v>0</v>
      </c>
      <c r="E48" s="264" t="n">
        <f aca="false">IFERROR(D48/D$17,0)</f>
        <v>0</v>
      </c>
      <c r="F48" s="261" t="n">
        <f aca="false">IFERROR(D48/D$6,0)</f>
        <v>0</v>
      </c>
      <c r="G48" s="262" t="n">
        <f aca="false">IFERROR(D48/D$5,0)</f>
        <v>0</v>
      </c>
      <c r="H48" s="263" t="n">
        <f aca="false">SUM(START:END!H50:H50)</f>
        <v>0</v>
      </c>
      <c r="I48" s="264" t="n">
        <f aca="false">IFERROR(H48/H$17,0)</f>
        <v>0</v>
      </c>
      <c r="J48" s="261" t="n">
        <f aca="false">IFERROR(H48/H$6,0)</f>
        <v>0</v>
      </c>
      <c r="K48" s="262" t="n">
        <f aca="false">IFERROR(H48/H$5,0)</f>
        <v>0</v>
      </c>
      <c r="L48" s="263" t="n">
        <f aca="false">SUM(START:END!L50:L50)</f>
        <v>0</v>
      </c>
      <c r="M48" s="264" t="n">
        <f aca="false">IFERROR(L48/L$17,0)</f>
        <v>0</v>
      </c>
      <c r="N48" s="261" t="n">
        <f aca="false">IFERROR(L48/L$6,0)</f>
        <v>0</v>
      </c>
      <c r="O48" s="262" t="n">
        <f aca="false">IFERROR(L48/L$5,0)</f>
        <v>0</v>
      </c>
      <c r="P48" s="263" t="n">
        <f aca="false">SUM(START:END!P50:P50)</f>
        <v>0</v>
      </c>
      <c r="Q48" s="264" t="n">
        <f aca="false">IFERROR(P48/P$17,0)</f>
        <v>0</v>
      </c>
      <c r="R48" s="261" t="n">
        <f aca="false">IFERROR(P48/P$6,0)</f>
        <v>0</v>
      </c>
      <c r="S48" s="262" t="n">
        <f aca="false">IFERROR(P48/P$5,0)</f>
        <v>0</v>
      </c>
      <c r="T48" s="263" t="n">
        <f aca="false">SUM(START:END!T50:T50)</f>
        <v>0</v>
      </c>
      <c r="U48" s="264" t="n">
        <f aca="false">IFERROR(T48/T$17,0)</f>
        <v>0</v>
      </c>
      <c r="V48" s="261" t="n">
        <f aca="false">IFERROR(T48/T$6,0)</f>
        <v>0</v>
      </c>
      <c r="W48" s="262" t="n">
        <f aca="false">IFERROR(T48/T$5,0)</f>
        <v>0</v>
      </c>
      <c r="X48" s="263" t="n">
        <f aca="false">SUM(START:END!X50:X50)</f>
        <v>0</v>
      </c>
      <c r="Y48" s="264" t="n">
        <f aca="false">IFERROR(X48/X$17,0)</f>
        <v>0</v>
      </c>
      <c r="Z48" s="261" t="n">
        <f aca="false">IFERROR(X48/X$6,0)</f>
        <v>0</v>
      </c>
      <c r="AA48" s="262" t="n">
        <f aca="false">IFERROR(X48/X$5,0)</f>
        <v>0</v>
      </c>
      <c r="AB48" s="263" t="n">
        <f aca="false">SUM(START:END!AB50:AB50)</f>
        <v>0</v>
      </c>
      <c r="AC48" s="264" t="n">
        <f aca="false">IFERROR(AB48/AB$17,0)</f>
        <v>0</v>
      </c>
      <c r="AD48" s="261" t="n">
        <f aca="false">IFERROR(AB48/AB$6,0)</f>
        <v>0</v>
      </c>
      <c r="AE48" s="262" t="n">
        <f aca="false">IFERROR(AB48/AB$5,0)</f>
        <v>0</v>
      </c>
      <c r="AF48" s="263" t="n">
        <f aca="false">SUM(START:END!AF50:AF50)</f>
        <v>0</v>
      </c>
      <c r="AG48" s="264" t="n">
        <f aca="false">IFERROR(AF48/AF$17,0)</f>
        <v>0</v>
      </c>
      <c r="AH48" s="261" t="n">
        <f aca="false">IFERROR(AF48/AF$6,0)</f>
        <v>0</v>
      </c>
      <c r="AI48" s="262" t="n">
        <f aca="false">IFERROR(AF48/AF$5,0)</f>
        <v>0</v>
      </c>
      <c r="AJ48" s="263" t="n">
        <f aca="false">SUM(START:END!AJ50:AJ50)</f>
        <v>0</v>
      </c>
      <c r="AK48" s="264" t="n">
        <f aca="false">IFERROR(AJ48/AJ$17,0)</f>
        <v>0</v>
      </c>
      <c r="AL48" s="261" t="n">
        <f aca="false">IFERROR(AJ48/AJ$6,0)</f>
        <v>0</v>
      </c>
      <c r="AM48" s="262" t="n">
        <f aca="false">IFERROR(AJ48/AJ$5,0)</f>
        <v>0</v>
      </c>
      <c r="AN48" s="263" t="n">
        <f aca="false">SUM(START:END!AN50:AN50)</f>
        <v>0</v>
      </c>
      <c r="AO48" s="264" t="n">
        <f aca="false">IFERROR(AN48/AN$17,0)</f>
        <v>0</v>
      </c>
      <c r="AP48" s="261" t="n">
        <f aca="false">IFERROR(AN48/AN$6,0)</f>
        <v>0</v>
      </c>
      <c r="AQ48" s="262" t="n">
        <f aca="false">IFERROR(AN48/AN$5,0)</f>
        <v>0</v>
      </c>
      <c r="AS48" s="282"/>
    </row>
    <row r="49" customFormat="false" ht="14.25" hidden="false" customHeight="true" outlineLevel="0" collapsed="false">
      <c r="C49" s="284" t="s">
        <v>164</v>
      </c>
      <c r="D49" s="308" t="n">
        <f aca="false">SUM(D45:D48)</f>
        <v>0</v>
      </c>
      <c r="E49" s="286" t="n">
        <f aca="false">IFERROR(D49/D$17,0)</f>
        <v>0</v>
      </c>
      <c r="F49" s="287" t="n">
        <f aca="false">IFERROR(D49/D$6,0)</f>
        <v>0</v>
      </c>
      <c r="G49" s="309" t="n">
        <f aca="false">IFERROR(D49/D$5,0)</f>
        <v>0</v>
      </c>
      <c r="H49" s="310" t="n">
        <f aca="false">SUM(H45:H48)</f>
        <v>0</v>
      </c>
      <c r="I49" s="286" t="n">
        <f aca="false">IFERROR(H49/H$17,0)</f>
        <v>0</v>
      </c>
      <c r="J49" s="287" t="n">
        <f aca="false">IFERROR(H49/H$6,0)</f>
        <v>0</v>
      </c>
      <c r="K49" s="309" t="n">
        <f aca="false">IFERROR(H49/H$5,0)</f>
        <v>0</v>
      </c>
      <c r="L49" s="310" t="n">
        <f aca="false">SUM(L45:L48)</f>
        <v>0</v>
      </c>
      <c r="M49" s="286" t="n">
        <f aca="false">IFERROR(L49/L$17,0)</f>
        <v>0</v>
      </c>
      <c r="N49" s="287" t="n">
        <f aca="false">IFERROR(L49/L$6,0)</f>
        <v>0</v>
      </c>
      <c r="O49" s="309" t="n">
        <f aca="false">IFERROR(L49/L$5,0)</f>
        <v>0</v>
      </c>
      <c r="P49" s="310" t="n">
        <f aca="false">SUM(P45:P48)</f>
        <v>0</v>
      </c>
      <c r="Q49" s="286" t="n">
        <f aca="false">IFERROR(P49/P$17,0)</f>
        <v>0</v>
      </c>
      <c r="R49" s="287" t="n">
        <f aca="false">IFERROR(P49/P$6,0)</f>
        <v>0</v>
      </c>
      <c r="S49" s="309" t="n">
        <f aca="false">IFERROR(P49/P$5,0)</f>
        <v>0</v>
      </c>
      <c r="T49" s="310" t="n">
        <f aca="false">SUM(T45:T48)</f>
        <v>0</v>
      </c>
      <c r="U49" s="286" t="n">
        <f aca="false">IFERROR(T49/T$17,0)</f>
        <v>0</v>
      </c>
      <c r="V49" s="287" t="n">
        <f aca="false">IFERROR(T49/T$6,0)</f>
        <v>0</v>
      </c>
      <c r="W49" s="309" t="n">
        <f aca="false">IFERROR(T49/T$5,0)</f>
        <v>0</v>
      </c>
      <c r="X49" s="310" t="n">
        <f aca="false">SUM(X45:X48)</f>
        <v>0</v>
      </c>
      <c r="Y49" s="286" t="n">
        <f aca="false">IFERROR(X49/X$17,0)</f>
        <v>0</v>
      </c>
      <c r="Z49" s="287" t="n">
        <f aca="false">IFERROR(X49/X$6,0)</f>
        <v>0</v>
      </c>
      <c r="AA49" s="309" t="n">
        <f aca="false">IFERROR(X49/X$5,0)</f>
        <v>0</v>
      </c>
      <c r="AB49" s="310" t="n">
        <f aca="false">SUM(AB45:AB48)</f>
        <v>0</v>
      </c>
      <c r="AC49" s="286" t="n">
        <f aca="false">IFERROR(AB49/AB$17,0)</f>
        <v>0</v>
      </c>
      <c r="AD49" s="287" t="n">
        <f aca="false">IFERROR(AB49/AB$6,0)</f>
        <v>0</v>
      </c>
      <c r="AE49" s="309" t="n">
        <f aca="false">IFERROR(AB49/AB$5,0)</f>
        <v>0</v>
      </c>
      <c r="AF49" s="310" t="n">
        <f aca="false">SUM(AF45:AF48)</f>
        <v>0</v>
      </c>
      <c r="AG49" s="286" t="n">
        <f aca="false">IFERROR(AF49/AF$17,0)</f>
        <v>0</v>
      </c>
      <c r="AH49" s="287" t="n">
        <f aca="false">IFERROR(AF49/AF$6,0)</f>
        <v>0</v>
      </c>
      <c r="AI49" s="309" t="n">
        <f aca="false">IFERROR(AF49/AF$5,0)</f>
        <v>0</v>
      </c>
      <c r="AJ49" s="310" t="n">
        <f aca="false">SUM(AJ45:AJ48)</f>
        <v>0</v>
      </c>
      <c r="AK49" s="286" t="n">
        <f aca="false">IFERROR(AJ49/AJ$17,0)</f>
        <v>0</v>
      </c>
      <c r="AL49" s="287" t="n">
        <f aca="false">IFERROR(AJ49/AJ$6,0)</f>
        <v>0</v>
      </c>
      <c r="AM49" s="309" t="n">
        <f aca="false">IFERROR(AJ49/AJ$5,0)</f>
        <v>0</v>
      </c>
      <c r="AN49" s="310" t="n">
        <f aca="false">SUM(AN45:AN48)</f>
        <v>0</v>
      </c>
      <c r="AO49" s="286" t="n">
        <f aca="false">IFERROR(AN49/AN$17,0)</f>
        <v>0</v>
      </c>
      <c r="AP49" s="287" t="n">
        <f aca="false">IFERROR(AN49/AN$6,0)</f>
        <v>0</v>
      </c>
      <c r="AQ49" s="309" t="n">
        <f aca="false">IFERROR(AN49/AN$5,0)</f>
        <v>0</v>
      </c>
      <c r="AT49" s="257"/>
    </row>
    <row r="50" customFormat="false" ht="14.25" hidden="false" customHeight="true" outlineLevel="0" collapsed="false">
      <c r="C50" s="281"/>
      <c r="D50" s="311"/>
      <c r="E50" s="312"/>
      <c r="F50" s="277"/>
      <c r="G50" s="292"/>
      <c r="H50" s="313"/>
      <c r="I50" s="312"/>
      <c r="J50" s="277"/>
      <c r="K50" s="292"/>
      <c r="L50" s="313"/>
      <c r="M50" s="312"/>
      <c r="N50" s="277"/>
      <c r="O50" s="292"/>
      <c r="P50" s="313"/>
      <c r="Q50" s="312"/>
      <c r="R50" s="277"/>
      <c r="S50" s="292"/>
      <c r="T50" s="313"/>
      <c r="U50" s="312"/>
      <c r="V50" s="277"/>
      <c r="W50" s="292"/>
      <c r="X50" s="313"/>
      <c r="Y50" s="312"/>
      <c r="Z50" s="277"/>
      <c r="AA50" s="292"/>
      <c r="AB50" s="313"/>
      <c r="AC50" s="312"/>
      <c r="AD50" s="277"/>
      <c r="AE50" s="292"/>
      <c r="AF50" s="313"/>
      <c r="AG50" s="312"/>
      <c r="AH50" s="277"/>
      <c r="AI50" s="292"/>
      <c r="AJ50" s="313"/>
      <c r="AK50" s="312"/>
      <c r="AL50" s="277"/>
      <c r="AM50" s="292"/>
      <c r="AN50" s="313"/>
      <c r="AO50" s="312"/>
      <c r="AP50" s="277"/>
      <c r="AQ50" s="292"/>
    </row>
    <row r="51" customFormat="false" ht="14.25" hidden="false" customHeight="true" outlineLevel="0" collapsed="false">
      <c r="C51" s="314" t="s">
        <v>165</v>
      </c>
      <c r="D51" s="315" t="n">
        <f aca="false">D37-D42-D49</f>
        <v>0</v>
      </c>
      <c r="E51" s="316" t="n">
        <f aca="false">IFERROR(D51/D$17,0)</f>
        <v>0</v>
      </c>
      <c r="F51" s="317" t="n">
        <f aca="false">IFERROR(D51/D$6,0)</f>
        <v>0</v>
      </c>
      <c r="G51" s="318" t="n">
        <f aca="false">IFERROR(D51/D$5,0)</f>
        <v>0</v>
      </c>
      <c r="H51" s="319" t="n">
        <f aca="false">H37-H42-H49</f>
        <v>0</v>
      </c>
      <c r="I51" s="316" t="n">
        <f aca="false">IFERROR(H51/H$17,0)</f>
        <v>0</v>
      </c>
      <c r="J51" s="317" t="n">
        <f aca="false">IFERROR(H51/H$6,0)</f>
        <v>0</v>
      </c>
      <c r="K51" s="318" t="n">
        <f aca="false">IFERROR(H51/H$5,0)</f>
        <v>0</v>
      </c>
      <c r="L51" s="319" t="n">
        <f aca="false">L37-L42-L49</f>
        <v>0</v>
      </c>
      <c r="M51" s="316" t="n">
        <f aca="false">IFERROR(L51/L$17,0)</f>
        <v>0</v>
      </c>
      <c r="N51" s="317" t="n">
        <f aca="false">IFERROR(L51/L$6,0)</f>
        <v>0</v>
      </c>
      <c r="O51" s="318" t="n">
        <f aca="false">IFERROR(L51/L$5,0)</f>
        <v>0</v>
      </c>
      <c r="P51" s="319" t="n">
        <f aca="false">P37-P42-P49</f>
        <v>0</v>
      </c>
      <c r="Q51" s="316" t="n">
        <f aca="false">IFERROR(P51/P$17,0)</f>
        <v>0</v>
      </c>
      <c r="R51" s="317" t="n">
        <f aca="false">IFERROR(P51/P$6,0)</f>
        <v>0</v>
      </c>
      <c r="S51" s="318" t="n">
        <f aca="false">IFERROR(P51/P$5,0)</f>
        <v>0</v>
      </c>
      <c r="T51" s="319" t="n">
        <f aca="false">T37-T42-T49</f>
        <v>0</v>
      </c>
      <c r="U51" s="316" t="n">
        <f aca="false">IFERROR(T51/T$17,0)</f>
        <v>0</v>
      </c>
      <c r="V51" s="317" t="n">
        <f aca="false">IFERROR(T51/T$6,0)</f>
        <v>0</v>
      </c>
      <c r="W51" s="318" t="n">
        <f aca="false">IFERROR(T51/T$5,0)</f>
        <v>0</v>
      </c>
      <c r="X51" s="319" t="n">
        <f aca="false">X37-X42-X49</f>
        <v>0</v>
      </c>
      <c r="Y51" s="316" t="n">
        <f aca="false">IFERROR(X51/X$17,0)</f>
        <v>0</v>
      </c>
      <c r="Z51" s="317" t="n">
        <f aca="false">IFERROR(X51/X$6,0)</f>
        <v>0</v>
      </c>
      <c r="AA51" s="318" t="n">
        <f aca="false">IFERROR(X51/X$5,0)</f>
        <v>0</v>
      </c>
      <c r="AB51" s="319" t="n">
        <f aca="false">AB37-AB42-AB49</f>
        <v>0</v>
      </c>
      <c r="AC51" s="316" t="n">
        <f aca="false">IFERROR(AB51/AB$17,0)</f>
        <v>0</v>
      </c>
      <c r="AD51" s="317" t="n">
        <f aca="false">IFERROR(AB51/AB$6,0)</f>
        <v>0</v>
      </c>
      <c r="AE51" s="318" t="n">
        <f aca="false">IFERROR(AB51/AB$5,0)</f>
        <v>0</v>
      </c>
      <c r="AF51" s="319" t="n">
        <f aca="false">AF37-AF42-AF49</f>
        <v>0</v>
      </c>
      <c r="AG51" s="316" t="n">
        <f aca="false">IFERROR(AF51/AF$17,0)</f>
        <v>0</v>
      </c>
      <c r="AH51" s="317" t="n">
        <f aca="false">IFERROR(AF51/AF$6,0)</f>
        <v>0</v>
      </c>
      <c r="AI51" s="318" t="n">
        <f aca="false">IFERROR(AF51/AF$5,0)</f>
        <v>0</v>
      </c>
      <c r="AJ51" s="319" t="n">
        <f aca="false">AJ37-AJ42-AJ49</f>
        <v>0</v>
      </c>
      <c r="AK51" s="316" t="n">
        <f aca="false">IFERROR(AJ51/AJ$17,0)</f>
        <v>0</v>
      </c>
      <c r="AL51" s="317" t="n">
        <f aca="false">IFERROR(AJ51/AJ$6,0)</f>
        <v>0</v>
      </c>
      <c r="AM51" s="318" t="n">
        <f aca="false">IFERROR(AJ51/AJ$5,0)</f>
        <v>0</v>
      </c>
      <c r="AN51" s="319" t="n">
        <f aca="false">AN37-AN42-AN49</f>
        <v>0</v>
      </c>
      <c r="AO51" s="316" t="n">
        <f aca="false">IFERROR(AN51/AN$17,0)</f>
        <v>0</v>
      </c>
      <c r="AP51" s="317" t="n">
        <f aca="false">IFERROR(AN51/AN$6,0)</f>
        <v>0</v>
      </c>
      <c r="AQ51" s="318" t="n">
        <f aca="false">IFERROR(AN51/AN$5,0)</f>
        <v>0</v>
      </c>
    </row>
    <row r="52" customFormat="false" ht="14.25" hidden="false" customHeight="true" outlineLevel="0" collapsed="false">
      <c r="C52" s="281" t="s">
        <v>166</v>
      </c>
      <c r="D52" s="259" t="n">
        <f aca="false">SUM(START:END!D54:D54)</f>
        <v>0</v>
      </c>
      <c r="E52" s="264" t="n">
        <f aca="false">IFERROR(D52/D$17,0)</f>
        <v>0</v>
      </c>
      <c r="F52" s="261" t="n">
        <f aca="false">IFERROR(D52/D$6,0)</f>
        <v>0</v>
      </c>
      <c r="G52" s="262" t="n">
        <f aca="false">IFERROR(D52/D$5,0)</f>
        <v>0</v>
      </c>
      <c r="H52" s="263" t="n">
        <f aca="false">SUM(START:END!H54:H54)</f>
        <v>0</v>
      </c>
      <c r="I52" s="264" t="n">
        <f aca="false">IFERROR(H52/H$17,0)</f>
        <v>0</v>
      </c>
      <c r="J52" s="261" t="n">
        <f aca="false">IFERROR(H52/H$6,0)</f>
        <v>0</v>
      </c>
      <c r="K52" s="262" t="n">
        <f aca="false">IFERROR(H52/H$5,0)</f>
        <v>0</v>
      </c>
      <c r="L52" s="263" t="n">
        <f aca="false">SUM(START:END!L54:L54)</f>
        <v>0</v>
      </c>
      <c r="M52" s="264" t="n">
        <f aca="false">IFERROR(L52/L$17,0)</f>
        <v>0</v>
      </c>
      <c r="N52" s="261" t="n">
        <f aca="false">IFERROR(L52/L$6,0)</f>
        <v>0</v>
      </c>
      <c r="O52" s="262" t="n">
        <f aca="false">IFERROR(L52/L$5,0)</f>
        <v>0</v>
      </c>
      <c r="P52" s="263" t="n">
        <f aca="false">SUM(START:END!P54:P54)</f>
        <v>0</v>
      </c>
      <c r="Q52" s="264" t="n">
        <f aca="false">IFERROR(P52/P$17,0)</f>
        <v>0</v>
      </c>
      <c r="R52" s="261" t="n">
        <f aca="false">IFERROR(P52/P$6,0)</f>
        <v>0</v>
      </c>
      <c r="S52" s="262" t="n">
        <f aca="false">IFERROR(P52/P$5,0)</f>
        <v>0</v>
      </c>
      <c r="T52" s="263" t="n">
        <f aca="false">SUM(START:END!T54:T54)</f>
        <v>0</v>
      </c>
      <c r="U52" s="264" t="n">
        <f aca="false">IFERROR(T52/T$17,0)</f>
        <v>0</v>
      </c>
      <c r="V52" s="261" t="n">
        <f aca="false">IFERROR(T52/T$6,0)</f>
        <v>0</v>
      </c>
      <c r="W52" s="262" t="n">
        <f aca="false">IFERROR(T52/T$5,0)</f>
        <v>0</v>
      </c>
      <c r="X52" s="263" t="n">
        <f aca="false">SUM(START:END!X54:X54)</f>
        <v>0</v>
      </c>
      <c r="Y52" s="264" t="n">
        <f aca="false">IFERROR(X52/X$17,0)</f>
        <v>0</v>
      </c>
      <c r="Z52" s="261" t="n">
        <f aca="false">IFERROR(X52/X$6,0)</f>
        <v>0</v>
      </c>
      <c r="AA52" s="262" t="n">
        <f aca="false">IFERROR(X52/X$5,0)</f>
        <v>0</v>
      </c>
      <c r="AB52" s="263" t="n">
        <f aca="false">SUM(START:END!AB54:AB54)</f>
        <v>0</v>
      </c>
      <c r="AC52" s="264" t="n">
        <f aca="false">IFERROR(AB52/AB$17,0)</f>
        <v>0</v>
      </c>
      <c r="AD52" s="261" t="n">
        <f aca="false">IFERROR(AB52/AB$6,0)</f>
        <v>0</v>
      </c>
      <c r="AE52" s="262" t="n">
        <f aca="false">IFERROR(AB52/AB$5,0)</f>
        <v>0</v>
      </c>
      <c r="AF52" s="263" t="n">
        <f aca="false">SUM(START:END!AF54:AF54)</f>
        <v>0</v>
      </c>
      <c r="AG52" s="264" t="n">
        <f aca="false">IFERROR(AF52/AF$17,0)</f>
        <v>0</v>
      </c>
      <c r="AH52" s="261" t="n">
        <f aca="false">IFERROR(AF52/AF$6,0)</f>
        <v>0</v>
      </c>
      <c r="AI52" s="262" t="n">
        <f aca="false">IFERROR(AF52/AF$5,0)</f>
        <v>0</v>
      </c>
      <c r="AJ52" s="263" t="n">
        <f aca="false">SUM(START:END!AJ54:AJ54)</f>
        <v>0</v>
      </c>
      <c r="AK52" s="264" t="n">
        <f aca="false">IFERROR(AJ52/AJ$17,0)</f>
        <v>0</v>
      </c>
      <c r="AL52" s="261" t="n">
        <f aca="false">IFERROR(AJ52/AJ$6,0)</f>
        <v>0</v>
      </c>
      <c r="AM52" s="262" t="n">
        <f aca="false">IFERROR(AJ52/AJ$5,0)</f>
        <v>0</v>
      </c>
      <c r="AN52" s="263" t="n">
        <f aca="false">SUM(START:END!AN54:AN54)</f>
        <v>0</v>
      </c>
      <c r="AO52" s="264" t="n">
        <f aca="false">IFERROR(AN52/AN$17,0)</f>
        <v>0</v>
      </c>
      <c r="AP52" s="261" t="n">
        <f aca="false">IFERROR(AN52/AN$6,0)</f>
        <v>0</v>
      </c>
      <c r="AQ52" s="262" t="n">
        <f aca="false">IFERROR(AN52/AN$5,0)</f>
        <v>0</v>
      </c>
      <c r="AS52" s="305"/>
    </row>
    <row r="53" customFormat="false" ht="14.25" hidden="false" customHeight="true" outlineLevel="0" collapsed="false">
      <c r="C53" s="314" t="s">
        <v>167</v>
      </c>
      <c r="D53" s="315" t="n">
        <f aca="false">D51-D52</f>
        <v>0</v>
      </c>
      <c r="E53" s="316" t="n">
        <f aca="false">IFERROR(D53/D$17,0)</f>
        <v>0</v>
      </c>
      <c r="F53" s="317" t="n">
        <f aca="false">IFERROR(D53/D$6,0)</f>
        <v>0</v>
      </c>
      <c r="G53" s="318" t="n">
        <f aca="false">IFERROR(D53/D$5,0)</f>
        <v>0</v>
      </c>
      <c r="H53" s="319" t="n">
        <f aca="false">H51-H52</f>
        <v>0</v>
      </c>
      <c r="I53" s="316" t="n">
        <f aca="false">IFERROR(H53/H$17,0)</f>
        <v>0</v>
      </c>
      <c r="J53" s="317" t="n">
        <f aca="false">IFERROR(H53/H$6,0)</f>
        <v>0</v>
      </c>
      <c r="K53" s="318" t="n">
        <f aca="false">IFERROR(H53/H$5,0)</f>
        <v>0</v>
      </c>
      <c r="L53" s="319" t="n">
        <f aca="false">L51-L52</f>
        <v>0</v>
      </c>
      <c r="M53" s="316" t="n">
        <f aca="false">IFERROR(L53/L$17,0)</f>
        <v>0</v>
      </c>
      <c r="N53" s="317" t="n">
        <f aca="false">IFERROR(L53/L$6,0)</f>
        <v>0</v>
      </c>
      <c r="O53" s="318" t="n">
        <f aca="false">IFERROR(L53/L$5,0)</f>
        <v>0</v>
      </c>
      <c r="P53" s="319" t="n">
        <f aca="false">P51-P52</f>
        <v>0</v>
      </c>
      <c r="Q53" s="316" t="n">
        <f aca="false">IFERROR(P53/P$17,0)</f>
        <v>0</v>
      </c>
      <c r="R53" s="317" t="n">
        <f aca="false">IFERROR(P53/P$6,0)</f>
        <v>0</v>
      </c>
      <c r="S53" s="318" t="n">
        <f aca="false">IFERROR(P53/P$5,0)</f>
        <v>0</v>
      </c>
      <c r="T53" s="319" t="n">
        <f aca="false">T51-T52</f>
        <v>0</v>
      </c>
      <c r="U53" s="316" t="n">
        <f aca="false">IFERROR(T53/T$17,0)</f>
        <v>0</v>
      </c>
      <c r="V53" s="317" t="n">
        <f aca="false">IFERROR(T53/T$6,0)</f>
        <v>0</v>
      </c>
      <c r="W53" s="318" t="n">
        <f aca="false">IFERROR(T53/T$5,0)</f>
        <v>0</v>
      </c>
      <c r="X53" s="319" t="n">
        <f aca="false">X51-X52</f>
        <v>0</v>
      </c>
      <c r="Y53" s="316" t="n">
        <f aca="false">IFERROR(X53/X$17,0)</f>
        <v>0</v>
      </c>
      <c r="Z53" s="317" t="n">
        <f aca="false">IFERROR(X53/X$6,0)</f>
        <v>0</v>
      </c>
      <c r="AA53" s="318" t="n">
        <f aca="false">IFERROR(X53/X$5,0)</f>
        <v>0</v>
      </c>
      <c r="AB53" s="319" t="n">
        <f aca="false">AB51-AB52</f>
        <v>0</v>
      </c>
      <c r="AC53" s="316" t="n">
        <f aca="false">IFERROR(AB53/AB$17,0)</f>
        <v>0</v>
      </c>
      <c r="AD53" s="317" t="n">
        <f aca="false">IFERROR(AB53/AB$6,0)</f>
        <v>0</v>
      </c>
      <c r="AE53" s="318" t="n">
        <f aca="false">IFERROR(AB53/AB$5,0)</f>
        <v>0</v>
      </c>
      <c r="AF53" s="319" t="n">
        <f aca="false">AF51-AF52</f>
        <v>0</v>
      </c>
      <c r="AG53" s="316" t="n">
        <f aca="false">IFERROR(AF53/AF$17,0)</f>
        <v>0</v>
      </c>
      <c r="AH53" s="317" t="n">
        <f aca="false">IFERROR(AF53/AF$6,0)</f>
        <v>0</v>
      </c>
      <c r="AI53" s="318" t="n">
        <f aca="false">IFERROR(AF53/AF$5,0)</f>
        <v>0</v>
      </c>
      <c r="AJ53" s="319" t="n">
        <f aca="false">AJ51-AJ52</f>
        <v>0</v>
      </c>
      <c r="AK53" s="316" t="n">
        <f aca="false">IFERROR(AJ53/AJ$17,0)</f>
        <v>0</v>
      </c>
      <c r="AL53" s="317" t="n">
        <f aca="false">IFERROR(AJ53/AJ$6,0)</f>
        <v>0</v>
      </c>
      <c r="AM53" s="318" t="n">
        <f aca="false">IFERROR(AJ53/AJ$5,0)</f>
        <v>0</v>
      </c>
      <c r="AN53" s="319" t="n">
        <f aca="false">AN51-AN52</f>
        <v>0</v>
      </c>
      <c r="AO53" s="316" t="n">
        <f aca="false">IFERROR(AN53/AN$17,0)</f>
        <v>0</v>
      </c>
      <c r="AP53" s="317" t="n">
        <f aca="false">IFERROR(AN53/AN$6,0)</f>
        <v>0</v>
      </c>
      <c r="AQ53" s="318" t="n">
        <f aca="false">IFERROR(AN53/AN$5,0)</f>
        <v>0</v>
      </c>
    </row>
    <row r="54" customFormat="false" ht="14.25" hidden="false" customHeight="true" outlineLevel="0" collapsed="false">
      <c r="C54" s="320" t="s">
        <v>168</v>
      </c>
      <c r="D54" s="321" t="n">
        <f aca="false">SUMIFS(Capex!$E$36:$N$36,Capex!$E$5:$N$5,Rollup!D1)</f>
        <v>0</v>
      </c>
      <c r="E54" s="322"/>
      <c r="F54" s="323"/>
      <c r="G54" s="324"/>
      <c r="H54" s="321" t="n">
        <f aca="false">MAX(SUMIFS(Capex!$E$36:$N$36,Capex!$E$5:$N$5,Rollup!H1)-H52,0)</f>
        <v>0</v>
      </c>
      <c r="I54" s="322"/>
      <c r="J54" s="323"/>
      <c r="K54" s="324"/>
      <c r="L54" s="321" t="n">
        <f aca="false">MAX(SUMIFS(Capex!$E$36:$N$36,Capex!$E$5:$N$5,Rollup!L1)-L52,0)</f>
        <v>0</v>
      </c>
      <c r="M54" s="322"/>
      <c r="N54" s="323"/>
      <c r="O54" s="324"/>
      <c r="P54" s="321" t="n">
        <f aca="false">MAX(SUMIFS(Capex!$E$36:$N$36,Capex!$E$5:$N$5,Rollup!P1)-P52,0)</f>
        <v>0</v>
      </c>
      <c r="Q54" s="322"/>
      <c r="R54" s="323"/>
      <c r="S54" s="324"/>
      <c r="T54" s="321" t="n">
        <f aca="false">MAX(SUMIFS(Capex!$E$36:$N$36,Capex!$E$5:$N$5,Rollup!T1)-T52,0)</f>
        <v>0</v>
      </c>
      <c r="U54" s="322"/>
      <c r="V54" s="323"/>
      <c r="W54" s="324"/>
      <c r="X54" s="321" t="n">
        <f aca="false">MAX(SUMIFS(Capex!$E$36:$N$36,Capex!$E$5:$N$5,Rollup!X1)-X52,0)</f>
        <v>0</v>
      </c>
      <c r="Y54" s="322"/>
      <c r="Z54" s="323"/>
      <c r="AA54" s="324"/>
      <c r="AB54" s="321" t="n">
        <f aca="false">MAX(SUMIFS(Capex!$E$36:$N$36,Capex!$E$5:$N$5,Rollup!AB1)-AB52,0)</f>
        <v>0</v>
      </c>
      <c r="AC54" s="322"/>
      <c r="AD54" s="323"/>
      <c r="AE54" s="324"/>
      <c r="AF54" s="321" t="n">
        <f aca="false">MAX(SUMIFS(Capex!$E$36:$N$36,Capex!$E$5:$N$5,Rollup!AF1)-AF52,0)</f>
        <v>0</v>
      </c>
      <c r="AG54" s="322"/>
      <c r="AH54" s="323"/>
      <c r="AI54" s="324"/>
      <c r="AJ54" s="321" t="n">
        <f aca="false">SUMIFS(Capex!$E$36:$N$36,Capex!$E$5:$N$5,Rollup!AJ1)</f>
        <v>0</v>
      </c>
      <c r="AK54" s="322"/>
      <c r="AL54" s="323"/>
      <c r="AM54" s="324"/>
      <c r="AN54" s="321" t="n">
        <f aca="false">AF54</f>
        <v>0</v>
      </c>
      <c r="AO54" s="322"/>
      <c r="AP54" s="323"/>
      <c r="AQ54" s="324"/>
    </row>
    <row r="55" customFormat="false" ht="14.25" hidden="false" customHeight="true" outlineLevel="0" collapsed="false">
      <c r="C55" s="265" t="s">
        <v>167</v>
      </c>
      <c r="D55" s="325" t="n">
        <f aca="false">D53-D54</f>
        <v>0</v>
      </c>
      <c r="E55" s="267" t="n">
        <f aca="false">IFERROR(D55/D$17,0)</f>
        <v>0</v>
      </c>
      <c r="F55" s="268" t="n">
        <f aca="false">IFERROR(D55/D$6,0)</f>
        <v>0</v>
      </c>
      <c r="G55" s="326" t="n">
        <f aca="false">IFERROR(D55/D$5,0)</f>
        <v>0</v>
      </c>
      <c r="H55" s="327" t="n">
        <f aca="false">H53-H54</f>
        <v>0</v>
      </c>
      <c r="I55" s="267" t="n">
        <f aca="false">IFERROR(H55/H$17,0)</f>
        <v>0</v>
      </c>
      <c r="J55" s="268" t="n">
        <f aca="false">IFERROR(H55/H$6,0)</f>
        <v>0</v>
      </c>
      <c r="K55" s="326" t="n">
        <f aca="false">IFERROR(H55/H$5,0)</f>
        <v>0</v>
      </c>
      <c r="L55" s="327" t="n">
        <f aca="false">L53-L54</f>
        <v>0</v>
      </c>
      <c r="M55" s="267" t="n">
        <f aca="false">IFERROR(L55/L$17,0)</f>
        <v>0</v>
      </c>
      <c r="N55" s="268" t="n">
        <f aca="false">IFERROR(L55/L$6,0)</f>
        <v>0</v>
      </c>
      <c r="O55" s="326" t="n">
        <f aca="false">IFERROR(L55/L$5,0)</f>
        <v>0</v>
      </c>
      <c r="P55" s="327" t="n">
        <f aca="false">P53-P54</f>
        <v>0</v>
      </c>
      <c r="Q55" s="267" t="n">
        <f aca="false">IFERROR(P55/P$17,0)</f>
        <v>0</v>
      </c>
      <c r="R55" s="268" t="n">
        <f aca="false">IFERROR(P55/P$6,0)</f>
        <v>0</v>
      </c>
      <c r="S55" s="326" t="n">
        <f aca="false">IFERROR(P55/P$5,0)</f>
        <v>0</v>
      </c>
      <c r="T55" s="327" t="n">
        <f aca="false">T53-T54</f>
        <v>0</v>
      </c>
      <c r="U55" s="267" t="n">
        <f aca="false">IFERROR(T55/T$17,0)</f>
        <v>0</v>
      </c>
      <c r="V55" s="268" t="n">
        <f aca="false">IFERROR(T55/T$6,0)</f>
        <v>0</v>
      </c>
      <c r="W55" s="326" t="n">
        <f aca="false">IFERROR(T55/T$5,0)</f>
        <v>0</v>
      </c>
      <c r="X55" s="327" t="n">
        <f aca="false">X53-X54</f>
        <v>0</v>
      </c>
      <c r="Y55" s="267" t="n">
        <f aca="false">IFERROR(X55/X$17,0)</f>
        <v>0</v>
      </c>
      <c r="Z55" s="268" t="n">
        <f aca="false">IFERROR(X55/X$6,0)</f>
        <v>0</v>
      </c>
      <c r="AA55" s="326" t="n">
        <f aca="false">IFERROR(X55/X$5,0)</f>
        <v>0</v>
      </c>
      <c r="AB55" s="327" t="n">
        <f aca="false">AB53-AB54</f>
        <v>0</v>
      </c>
      <c r="AC55" s="267" t="n">
        <f aca="false">IFERROR(AB55/AB$17,0)</f>
        <v>0</v>
      </c>
      <c r="AD55" s="268" t="n">
        <f aca="false">IFERROR(AB55/AB$6,0)</f>
        <v>0</v>
      </c>
      <c r="AE55" s="326" t="n">
        <f aca="false">IFERROR(AB55/AB$5,0)</f>
        <v>0</v>
      </c>
      <c r="AF55" s="327" t="n">
        <f aca="false">AF53-AF54</f>
        <v>0</v>
      </c>
      <c r="AG55" s="267" t="n">
        <f aca="false">IFERROR(AF55/AF$17,0)</f>
        <v>0</v>
      </c>
      <c r="AH55" s="268" t="n">
        <f aca="false">IFERROR(AF55/AF$6,0)</f>
        <v>0</v>
      </c>
      <c r="AI55" s="326" t="n">
        <f aca="false">IFERROR(AF55/AF$5,0)</f>
        <v>0</v>
      </c>
      <c r="AJ55" s="327" t="n">
        <f aca="false">AJ53-AJ54</f>
        <v>0</v>
      </c>
      <c r="AK55" s="267" t="n">
        <f aca="false">IFERROR(AJ55/AJ$17,0)</f>
        <v>0</v>
      </c>
      <c r="AL55" s="268" t="n">
        <f aca="false">IFERROR(AJ55/AJ$6,0)</f>
        <v>0</v>
      </c>
      <c r="AM55" s="326" t="n">
        <f aca="false">IFERROR(AJ55/AJ$5,0)</f>
        <v>0</v>
      </c>
      <c r="AN55" s="327" t="n">
        <f aca="false">AN53-AN54</f>
        <v>0</v>
      </c>
      <c r="AO55" s="267" t="n">
        <f aca="false">IFERROR(AN55/AN$17,0)</f>
        <v>0</v>
      </c>
      <c r="AP55" s="268" t="n">
        <f aca="false">IFERROR(AN55/AN$6,0)</f>
        <v>0</v>
      </c>
      <c r="AQ55" s="326" t="n">
        <f aca="false">IFERROR(AN55/AN$5,0)</f>
        <v>0</v>
      </c>
    </row>
    <row r="56" customFormat="false" ht="14.25" hidden="false" customHeight="true" outlineLevel="0" collapsed="false">
      <c r="A56" s="0" t="s">
        <v>54</v>
      </c>
      <c r="C56" s="328" t="s">
        <v>169</v>
      </c>
      <c r="D56" s="329" t="n">
        <f aca="false">SUMIFS('Cap Stack Control'!$J$28:$J$35,'Cap Stack Control'!$K$28:$K$35,Rollup!$A56)</f>
        <v>0</v>
      </c>
      <c r="E56" s="312"/>
      <c r="F56" s="261"/>
      <c r="G56" s="279"/>
      <c r="H56" s="329" t="n">
        <f aca="false">SUMIFS('Cap Stack Control'!$J$28:$J$35,'Cap Stack Control'!$K$28:$K$35,Rollup!$A56)</f>
        <v>0</v>
      </c>
      <c r="I56" s="312"/>
      <c r="J56" s="261"/>
      <c r="K56" s="279"/>
      <c r="L56" s="329" t="n">
        <f aca="false">SUMIFS('Cap Stack Control'!$J$28:$J$35,'Cap Stack Control'!$K$28:$K$35,Rollup!$A56)</f>
        <v>0</v>
      </c>
      <c r="M56" s="312"/>
      <c r="N56" s="261"/>
      <c r="O56" s="279"/>
      <c r="P56" s="329" t="n">
        <f aca="false">SUMIFS('Cap Stack Control'!$J$28:$J$35,'Cap Stack Control'!$K$28:$K$35,Rollup!$A56)</f>
        <v>0</v>
      </c>
      <c r="Q56" s="312"/>
      <c r="R56" s="261"/>
      <c r="S56" s="279"/>
      <c r="T56" s="329" t="n">
        <f aca="false">SUMIFS('Cap Stack Control'!$J$28:$J$35,'Cap Stack Control'!$K$28:$K$35,Rollup!$A56)</f>
        <v>0</v>
      </c>
      <c r="U56" s="312"/>
      <c r="V56" s="261"/>
      <c r="W56" s="279"/>
      <c r="X56" s="329" t="n">
        <f aca="false">SUMIFS('Cap Stack Control'!$J$28:$J$35,'Cap Stack Control'!$K$28:$K$35,Rollup!$A56)</f>
        <v>0</v>
      </c>
      <c r="Y56" s="312"/>
      <c r="Z56" s="261"/>
      <c r="AA56" s="279"/>
      <c r="AB56" s="329" t="n">
        <f aca="false">SUMIFS('Cap Stack Control'!$J$28:$J$35,'Cap Stack Control'!$K$28:$K$35,Rollup!$A56)</f>
        <v>0</v>
      </c>
      <c r="AC56" s="312"/>
      <c r="AD56" s="261"/>
      <c r="AE56" s="279"/>
      <c r="AF56" s="329" t="n">
        <f aca="false">SUMIFS('Cap Stack Control'!$J$28:$J$35,'Cap Stack Control'!$K$28:$K$35,Rollup!$A56)</f>
        <v>0</v>
      </c>
      <c r="AG56" s="312"/>
      <c r="AH56" s="261"/>
      <c r="AI56" s="279"/>
      <c r="AJ56" s="329" t="n">
        <f aca="false">SUMIFS('Cap Stack Control'!$J$28:$J$35,'Cap Stack Control'!$K$28:$K$35,Rollup!$A56)</f>
        <v>0</v>
      </c>
      <c r="AK56" s="312"/>
      <c r="AL56" s="261"/>
      <c r="AM56" s="279"/>
      <c r="AN56" s="329" t="n">
        <f aca="false">SUMIFS('Cap Stack Control'!$J$28:$J$35,'Cap Stack Control'!$K$28:$K$35,Rollup!$A56)</f>
        <v>0</v>
      </c>
      <c r="AO56" s="312"/>
      <c r="AP56" s="261"/>
      <c r="AQ56" s="279"/>
    </row>
    <row r="57" customFormat="false" ht="14.25" hidden="false" customHeight="true" outlineLevel="0" collapsed="false">
      <c r="C57" s="265" t="s">
        <v>170</v>
      </c>
      <c r="D57" s="325" t="n">
        <f aca="false">D55-D56</f>
        <v>0</v>
      </c>
      <c r="E57" s="267" t="n">
        <f aca="false">IFERROR(D57/D$17,0)</f>
        <v>0</v>
      </c>
      <c r="F57" s="268" t="n">
        <f aca="false">IFERROR(D57/D$6,0)</f>
        <v>0</v>
      </c>
      <c r="G57" s="326" t="n">
        <f aca="false">IFERROR(D57/D$5,0)</f>
        <v>0</v>
      </c>
      <c r="H57" s="327" t="n">
        <f aca="false">H55-H56</f>
        <v>0</v>
      </c>
      <c r="I57" s="267" t="n">
        <f aca="false">IFERROR(H57/H$17,0)</f>
        <v>0</v>
      </c>
      <c r="J57" s="268" t="n">
        <f aca="false">IFERROR(H57/H$6,0)</f>
        <v>0</v>
      </c>
      <c r="K57" s="326" t="n">
        <f aca="false">IFERROR(H57/H$5,0)</f>
        <v>0</v>
      </c>
      <c r="L57" s="327" t="n">
        <f aca="false">L55-L56</f>
        <v>0</v>
      </c>
      <c r="M57" s="267" t="n">
        <f aca="false">IFERROR(L57/L$17,0)</f>
        <v>0</v>
      </c>
      <c r="N57" s="268" t="n">
        <f aca="false">IFERROR(L57/L$6,0)</f>
        <v>0</v>
      </c>
      <c r="O57" s="326" t="n">
        <f aca="false">IFERROR(L57/L$5,0)</f>
        <v>0</v>
      </c>
      <c r="P57" s="327" t="n">
        <f aca="false">P55-P56</f>
        <v>0</v>
      </c>
      <c r="Q57" s="267" t="n">
        <f aca="false">IFERROR(P57/P$17,0)</f>
        <v>0</v>
      </c>
      <c r="R57" s="268" t="n">
        <f aca="false">IFERROR(P57/P$6,0)</f>
        <v>0</v>
      </c>
      <c r="S57" s="326" t="n">
        <f aca="false">IFERROR(P57/P$5,0)</f>
        <v>0</v>
      </c>
      <c r="T57" s="327" t="n">
        <f aca="false">T55-T56</f>
        <v>0</v>
      </c>
      <c r="U57" s="267" t="n">
        <f aca="false">IFERROR(T57/T$17,0)</f>
        <v>0</v>
      </c>
      <c r="V57" s="268" t="n">
        <f aca="false">IFERROR(T57/T$6,0)</f>
        <v>0</v>
      </c>
      <c r="W57" s="326" t="n">
        <f aca="false">IFERROR(T57/T$5,0)</f>
        <v>0</v>
      </c>
      <c r="X57" s="327" t="n">
        <f aca="false">X55-X56</f>
        <v>0</v>
      </c>
      <c r="Y57" s="267" t="n">
        <f aca="false">IFERROR(X57/X$17,0)</f>
        <v>0</v>
      </c>
      <c r="Z57" s="268" t="n">
        <f aca="false">IFERROR(X57/X$6,0)</f>
        <v>0</v>
      </c>
      <c r="AA57" s="326" t="n">
        <f aca="false">IFERROR(X57/X$5,0)</f>
        <v>0</v>
      </c>
      <c r="AB57" s="327" t="n">
        <f aca="false">AB55-AB56</f>
        <v>0</v>
      </c>
      <c r="AC57" s="267" t="n">
        <f aca="false">IFERROR(AB57/AB$17,0)</f>
        <v>0</v>
      </c>
      <c r="AD57" s="268" t="n">
        <f aca="false">IFERROR(AB57/AB$6,0)</f>
        <v>0</v>
      </c>
      <c r="AE57" s="326" t="n">
        <f aca="false">IFERROR(AB57/AB$5,0)</f>
        <v>0</v>
      </c>
      <c r="AF57" s="327" t="n">
        <f aca="false">AF55-AF56</f>
        <v>0</v>
      </c>
      <c r="AG57" s="267" t="n">
        <f aca="false">IFERROR(AF57/AF$17,0)</f>
        <v>0</v>
      </c>
      <c r="AH57" s="268" t="n">
        <f aca="false">IFERROR(AF57/AF$6,0)</f>
        <v>0</v>
      </c>
      <c r="AI57" s="326" t="n">
        <f aca="false">IFERROR(AF57/AF$5,0)</f>
        <v>0</v>
      </c>
      <c r="AJ57" s="327" t="n">
        <f aca="false">AJ55-AJ56</f>
        <v>0</v>
      </c>
      <c r="AK57" s="267" t="n">
        <f aca="false">IFERROR(AJ57/AJ$17,0)</f>
        <v>0</v>
      </c>
      <c r="AL57" s="268" t="n">
        <f aca="false">IFERROR(AJ57/AJ$6,0)</f>
        <v>0</v>
      </c>
      <c r="AM57" s="326" t="n">
        <f aca="false">IFERROR(AJ57/AJ$5,0)</f>
        <v>0</v>
      </c>
      <c r="AN57" s="327" t="n">
        <f aca="false">AN55-AN56</f>
        <v>0</v>
      </c>
      <c r="AO57" s="267" t="n">
        <f aca="false">IFERROR(AN57/AN$17,0)</f>
        <v>0</v>
      </c>
      <c r="AP57" s="268" t="n">
        <f aca="false">IFERROR(AN57/AN$6,0)</f>
        <v>0</v>
      </c>
      <c r="AQ57" s="326" t="n">
        <f aca="false">IFERROR(AN57/AN$5,0)</f>
        <v>0</v>
      </c>
    </row>
    <row r="58" customFormat="false" ht="14.25" hidden="false" customHeight="true" outlineLevel="0" collapsed="false">
      <c r="A58" s="0" t="s">
        <v>56</v>
      </c>
      <c r="B58" s="0" t="s">
        <v>171</v>
      </c>
      <c r="C58" s="328" t="s">
        <v>172</v>
      </c>
      <c r="D58" s="329" t="n">
        <f aca="false">SUMIFS('Cap Stack Control'!$J$28:$J$35,'Cap Stack Control'!$K$28:$K$35,Rollup!$A58)</f>
        <v>0</v>
      </c>
      <c r="E58" s="312"/>
      <c r="F58" s="261"/>
      <c r="G58" s="279"/>
      <c r="H58" s="329" t="n">
        <f aca="false">SUMIFS('Cap Stack Control'!$J$28:$J$35,'Cap Stack Control'!$K$28:$K$35,Rollup!$A58)</f>
        <v>0</v>
      </c>
      <c r="I58" s="312"/>
      <c r="J58" s="261"/>
      <c r="K58" s="279"/>
      <c r="L58" s="329" t="n">
        <f aca="false">SUMIFS('Cap Stack Control'!$J$28:$J$35,'Cap Stack Control'!$K$28:$K$35,Rollup!$A58)</f>
        <v>0</v>
      </c>
      <c r="M58" s="312"/>
      <c r="N58" s="261"/>
      <c r="O58" s="279"/>
      <c r="P58" s="329" t="n">
        <f aca="false">SUMIFS('Cap Stack Control'!$J$28:$J$35,'Cap Stack Control'!$K$28:$K$35,Rollup!$A58)</f>
        <v>0</v>
      </c>
      <c r="Q58" s="312"/>
      <c r="R58" s="261"/>
      <c r="S58" s="279"/>
      <c r="T58" s="329" t="n">
        <f aca="false">SUMIFS('Cap Stack Control'!$J$28:$J$35,'Cap Stack Control'!$K$28:$K$35,Rollup!$A58)</f>
        <v>0</v>
      </c>
      <c r="U58" s="312"/>
      <c r="V58" s="261"/>
      <c r="W58" s="279"/>
      <c r="X58" s="329" t="n">
        <f aca="false">SUMIFS('Cap Stack Control'!$J$28:$J$35,'Cap Stack Control'!$K$28:$K$35,Rollup!$A58)</f>
        <v>0</v>
      </c>
      <c r="Y58" s="312"/>
      <c r="Z58" s="261"/>
      <c r="AA58" s="279"/>
      <c r="AB58" s="329" t="n">
        <f aca="false">SUMIFS('Cap Stack Control'!$J$28:$J$35,'Cap Stack Control'!$K$28:$K$35,Rollup!$A58)</f>
        <v>0</v>
      </c>
      <c r="AC58" s="312"/>
      <c r="AD58" s="261"/>
      <c r="AE58" s="279"/>
      <c r="AF58" s="329" t="n">
        <f aca="false">SUMIFS('Cap Stack Control'!$J$28:$J$35,'Cap Stack Control'!$K$28:$K$35,Rollup!$A58)</f>
        <v>0</v>
      </c>
      <c r="AG58" s="312"/>
      <c r="AH58" s="261"/>
      <c r="AI58" s="279"/>
      <c r="AJ58" s="329" t="n">
        <f aca="false">SUMIFS('Cap Stack Control'!$J$28:$J$35,'Cap Stack Control'!$K$28:$K$35,Rollup!$A58)</f>
        <v>0</v>
      </c>
      <c r="AK58" s="312"/>
      <c r="AL58" s="261"/>
      <c r="AM58" s="279"/>
      <c r="AN58" s="329" t="n">
        <f aca="false">SUMIFS('Cap Stack Control'!$J$28:$J$35,'Cap Stack Control'!$K$28:$K$35,Rollup!$A58)</f>
        <v>0</v>
      </c>
      <c r="AO58" s="312"/>
      <c r="AP58" s="261"/>
      <c r="AQ58" s="279"/>
    </row>
    <row r="59" customFormat="false" ht="14.25" hidden="false" customHeight="true" outlineLevel="0" collapsed="false">
      <c r="C59" s="265" t="s">
        <v>173</v>
      </c>
      <c r="D59" s="325" t="n">
        <f aca="false">D57-D58</f>
        <v>0</v>
      </c>
      <c r="E59" s="267" t="n">
        <f aca="false">IFERROR(D59/D$17,0)</f>
        <v>0</v>
      </c>
      <c r="F59" s="268" t="n">
        <f aca="false">IFERROR(D59/D$6,0)</f>
        <v>0</v>
      </c>
      <c r="G59" s="326" t="n">
        <f aca="false">IFERROR(D59/D$5,0)</f>
        <v>0</v>
      </c>
      <c r="H59" s="327" t="n">
        <f aca="false">H57-H58</f>
        <v>0</v>
      </c>
      <c r="I59" s="267" t="n">
        <f aca="false">IFERROR(H59/H$17,0)</f>
        <v>0</v>
      </c>
      <c r="J59" s="268" t="n">
        <f aca="false">IFERROR(H59/H$6,0)</f>
        <v>0</v>
      </c>
      <c r="K59" s="326" t="n">
        <f aca="false">IFERROR(H59/H$5,0)</f>
        <v>0</v>
      </c>
      <c r="L59" s="327" t="n">
        <f aca="false">L57-L58</f>
        <v>0</v>
      </c>
      <c r="M59" s="267" t="n">
        <f aca="false">IFERROR(L59/L$17,0)</f>
        <v>0</v>
      </c>
      <c r="N59" s="268" t="n">
        <f aca="false">IFERROR(L59/L$6,0)</f>
        <v>0</v>
      </c>
      <c r="O59" s="326" t="n">
        <f aca="false">IFERROR(L59/L$5,0)</f>
        <v>0</v>
      </c>
      <c r="P59" s="327" t="n">
        <f aca="false">P57-P58</f>
        <v>0</v>
      </c>
      <c r="Q59" s="267" t="n">
        <f aca="false">IFERROR(P59/P$17,0)</f>
        <v>0</v>
      </c>
      <c r="R59" s="268" t="n">
        <f aca="false">IFERROR(P59/P$6,0)</f>
        <v>0</v>
      </c>
      <c r="S59" s="326" t="n">
        <f aca="false">IFERROR(P59/P$5,0)</f>
        <v>0</v>
      </c>
      <c r="T59" s="327" t="n">
        <f aca="false">T57-T58</f>
        <v>0</v>
      </c>
      <c r="U59" s="267" t="n">
        <f aca="false">IFERROR(T59/T$17,0)</f>
        <v>0</v>
      </c>
      <c r="V59" s="268" t="n">
        <f aca="false">IFERROR(T59/T$6,0)</f>
        <v>0</v>
      </c>
      <c r="W59" s="326" t="n">
        <f aca="false">IFERROR(T59/T$5,0)</f>
        <v>0</v>
      </c>
      <c r="X59" s="327" t="n">
        <f aca="false">X57-X58</f>
        <v>0</v>
      </c>
      <c r="Y59" s="267" t="n">
        <f aca="false">IFERROR(X59/X$17,0)</f>
        <v>0</v>
      </c>
      <c r="Z59" s="268" t="n">
        <f aca="false">IFERROR(X59/X$6,0)</f>
        <v>0</v>
      </c>
      <c r="AA59" s="326" t="n">
        <f aca="false">IFERROR(X59/X$5,0)</f>
        <v>0</v>
      </c>
      <c r="AB59" s="327" t="n">
        <f aca="false">AB57-AB58</f>
        <v>0</v>
      </c>
      <c r="AC59" s="267" t="n">
        <f aca="false">IFERROR(AB59/AB$17,0)</f>
        <v>0</v>
      </c>
      <c r="AD59" s="268" t="n">
        <f aca="false">IFERROR(AB59/AB$6,0)</f>
        <v>0</v>
      </c>
      <c r="AE59" s="326" t="n">
        <f aca="false">IFERROR(AB59/AB$5,0)</f>
        <v>0</v>
      </c>
      <c r="AF59" s="327" t="n">
        <f aca="false">AF57-AF58</f>
        <v>0</v>
      </c>
      <c r="AG59" s="267" t="n">
        <f aca="false">IFERROR(AF59/AF$17,0)</f>
        <v>0</v>
      </c>
      <c r="AH59" s="268" t="n">
        <f aca="false">IFERROR(AF59/AF$6,0)</f>
        <v>0</v>
      </c>
      <c r="AI59" s="326" t="n">
        <f aca="false">IFERROR(AF59/AF$5,0)</f>
        <v>0</v>
      </c>
      <c r="AJ59" s="327" t="n">
        <f aca="false">AJ57-AJ58</f>
        <v>0</v>
      </c>
      <c r="AK59" s="267" t="n">
        <f aca="false">IFERROR(AJ59/AJ$17,0)</f>
        <v>0</v>
      </c>
      <c r="AL59" s="268" t="n">
        <f aca="false">IFERROR(AJ59/AJ$6,0)</f>
        <v>0</v>
      </c>
      <c r="AM59" s="326" t="n">
        <f aca="false">IFERROR(AJ59/AJ$5,0)</f>
        <v>0</v>
      </c>
      <c r="AN59" s="327" t="n">
        <f aca="false">AN57-AN58</f>
        <v>0</v>
      </c>
      <c r="AO59" s="267" t="n">
        <f aca="false">IFERROR(AN59/AN$17,0)</f>
        <v>0</v>
      </c>
      <c r="AP59" s="268" t="n">
        <f aca="false">IFERROR(AN59/AN$6,0)</f>
        <v>0</v>
      </c>
      <c r="AQ59" s="326" t="n">
        <f aca="false">IFERROR(AN59/AN$5,0)</f>
        <v>0</v>
      </c>
    </row>
    <row r="60" customFormat="false" ht="14.25" hidden="false" customHeight="true" outlineLevel="0" collapsed="false">
      <c r="C60" s="330" t="s">
        <v>174</v>
      </c>
      <c r="D60" s="331" t="s">
        <v>63</v>
      </c>
      <c r="E60" s="331"/>
      <c r="F60" s="331"/>
      <c r="G60" s="332"/>
      <c r="H60" s="331" t="s">
        <v>63</v>
      </c>
      <c r="I60" s="331"/>
      <c r="J60" s="331"/>
      <c r="K60" s="332"/>
      <c r="L60" s="331" t="s">
        <v>63</v>
      </c>
      <c r="M60" s="331"/>
      <c r="N60" s="331"/>
      <c r="O60" s="332"/>
      <c r="P60" s="331" t="s">
        <v>63</v>
      </c>
      <c r="Q60" s="331"/>
      <c r="R60" s="331"/>
      <c r="S60" s="332"/>
      <c r="T60" s="331" t="s">
        <v>63</v>
      </c>
      <c r="U60" s="331"/>
      <c r="V60" s="331"/>
      <c r="W60" s="332"/>
      <c r="X60" s="331" t="s">
        <v>63</v>
      </c>
      <c r="Y60" s="331"/>
      <c r="Z60" s="331"/>
      <c r="AA60" s="332"/>
      <c r="AB60" s="331" t="n">
        <f aca="false">IFERROR(AB55/AB61,0)</f>
        <v>0</v>
      </c>
      <c r="AC60" s="331"/>
      <c r="AD60" s="331"/>
      <c r="AE60" s="332"/>
      <c r="AF60" s="331" t="n">
        <f aca="false">IFERROR(AF55/AF61,0)</f>
        <v>0</v>
      </c>
      <c r="AG60" s="331"/>
      <c r="AH60" s="331"/>
      <c r="AI60" s="332"/>
      <c r="AJ60" s="331" t="s">
        <v>63</v>
      </c>
      <c r="AK60" s="331"/>
      <c r="AL60" s="331"/>
      <c r="AM60" s="332"/>
      <c r="AN60" s="331" t="n">
        <f aca="false">IFERROR(AN53/AN61,0)</f>
        <v>0</v>
      </c>
      <c r="AO60" s="331"/>
      <c r="AP60" s="331"/>
      <c r="AQ60" s="332"/>
      <c r="AT60" s="333"/>
    </row>
    <row r="61" customFormat="false" ht="14.25" hidden="false" customHeight="true" outlineLevel="0" collapsed="false">
      <c r="C61" s="334" t="s">
        <v>175</v>
      </c>
      <c r="D61" s="335" t="s">
        <v>63</v>
      </c>
      <c r="E61" s="336"/>
      <c r="F61" s="337" t="s">
        <v>63</v>
      </c>
      <c r="G61" s="338"/>
      <c r="H61" s="335" t="s">
        <v>63</v>
      </c>
      <c r="I61" s="336"/>
      <c r="J61" s="337" t="s">
        <v>63</v>
      </c>
      <c r="K61" s="338"/>
      <c r="L61" s="335" t="s">
        <v>63</v>
      </c>
      <c r="M61" s="336"/>
      <c r="N61" s="337" t="s">
        <v>63</v>
      </c>
      <c r="O61" s="338"/>
      <c r="P61" s="335" t="s">
        <v>63</v>
      </c>
      <c r="Q61" s="336"/>
      <c r="R61" s="337" t="s">
        <v>63</v>
      </c>
      <c r="S61" s="338"/>
      <c r="T61" s="335" t="s">
        <v>63</v>
      </c>
      <c r="U61" s="336"/>
      <c r="V61" s="337" t="s">
        <v>63</v>
      </c>
      <c r="W61" s="338"/>
      <c r="X61" s="335" t="s">
        <v>63</v>
      </c>
      <c r="Y61" s="336"/>
      <c r="Z61" s="337" t="s">
        <v>63</v>
      </c>
      <c r="AA61" s="338"/>
      <c r="AB61" s="335" t="n">
        <f aca="false">'Cap Stack Control'!$D$9</f>
        <v>0</v>
      </c>
      <c r="AC61" s="336"/>
      <c r="AD61" s="338" t="n">
        <f aca="false">IFERROR(AB61/$AF$4,0)</f>
        <v>0</v>
      </c>
      <c r="AE61" s="338"/>
      <c r="AF61" s="335" t="n">
        <f aca="false">'Cap Stack Control'!$D$9</f>
        <v>0</v>
      </c>
      <c r="AG61" s="336"/>
      <c r="AH61" s="338" t="n">
        <f aca="false">IFERROR(AF61/$AF$4,0)</f>
        <v>0</v>
      </c>
      <c r="AI61" s="338"/>
      <c r="AJ61" s="335" t="s">
        <v>63</v>
      </c>
      <c r="AK61" s="336"/>
      <c r="AL61" s="337" t="s">
        <v>63</v>
      </c>
      <c r="AM61" s="338"/>
      <c r="AN61" s="335" t="n">
        <f aca="false">'UW Drivers'!$AB$40</f>
        <v>0</v>
      </c>
      <c r="AO61" s="336"/>
      <c r="AP61" s="338" t="n">
        <f aca="false">IFERROR(AN61/AN4,0)</f>
        <v>0</v>
      </c>
      <c r="AQ61" s="338"/>
    </row>
    <row r="62" customFormat="false" ht="14.25" hidden="false" customHeight="true" outlineLevel="0" collapsed="false">
      <c r="C62" s="339" t="s">
        <v>176</v>
      </c>
      <c r="D62" s="329" t="s">
        <v>63</v>
      </c>
      <c r="E62" s="312"/>
      <c r="F62" s="261"/>
      <c r="G62" s="279"/>
      <c r="H62" s="329" t="s">
        <v>63</v>
      </c>
      <c r="I62" s="312"/>
      <c r="J62" s="261"/>
      <c r="K62" s="279"/>
      <c r="L62" s="329" t="s">
        <v>63</v>
      </c>
      <c r="M62" s="312"/>
      <c r="N62" s="261"/>
      <c r="O62" s="279"/>
      <c r="P62" s="329" t="s">
        <v>63</v>
      </c>
      <c r="Q62" s="312"/>
      <c r="R62" s="261"/>
      <c r="S62" s="279"/>
      <c r="T62" s="329" t="s">
        <v>63</v>
      </c>
      <c r="U62" s="312"/>
      <c r="V62" s="261"/>
      <c r="W62" s="279"/>
      <c r="X62" s="329" t="s">
        <v>63</v>
      </c>
      <c r="Y62" s="312"/>
      <c r="Z62" s="261"/>
      <c r="AA62" s="279"/>
      <c r="AB62" s="329" t="n">
        <v>0</v>
      </c>
      <c r="AC62" s="312"/>
      <c r="AD62" s="261"/>
      <c r="AE62" s="279"/>
      <c r="AF62" s="329" t="n">
        <v>0</v>
      </c>
      <c r="AG62" s="312"/>
      <c r="AH62" s="261"/>
      <c r="AI62" s="279"/>
      <c r="AJ62" s="329"/>
      <c r="AK62" s="312"/>
      <c r="AL62" s="261"/>
      <c r="AM62" s="279"/>
      <c r="AN62" s="263" t="n">
        <f aca="false">'UW Drivers'!AI40</f>
        <v>0</v>
      </c>
      <c r="AO62" s="312"/>
      <c r="AP62" s="261"/>
      <c r="AQ62" s="279"/>
    </row>
    <row r="63" customFormat="false" ht="14.25" hidden="false" customHeight="true" outlineLevel="0" collapsed="false">
      <c r="C63" s="340" t="s">
        <v>177</v>
      </c>
      <c r="D63" s="341" t="s">
        <v>63</v>
      </c>
      <c r="E63" s="342"/>
      <c r="F63" s="343" t="s">
        <v>63</v>
      </c>
      <c r="G63" s="344"/>
      <c r="H63" s="341" t="s">
        <v>63</v>
      </c>
      <c r="I63" s="342"/>
      <c r="J63" s="343" t="s">
        <v>63</v>
      </c>
      <c r="K63" s="344"/>
      <c r="L63" s="341" t="s">
        <v>63</v>
      </c>
      <c r="M63" s="342"/>
      <c r="N63" s="343" t="s">
        <v>63</v>
      </c>
      <c r="O63" s="344"/>
      <c r="P63" s="341" t="s">
        <v>63</v>
      </c>
      <c r="Q63" s="342"/>
      <c r="R63" s="343" t="s">
        <v>63</v>
      </c>
      <c r="S63" s="344"/>
      <c r="T63" s="341" t="s">
        <v>63</v>
      </c>
      <c r="U63" s="342"/>
      <c r="V63" s="343" t="s">
        <v>63</v>
      </c>
      <c r="W63" s="344"/>
      <c r="X63" s="341" t="s">
        <v>63</v>
      </c>
      <c r="Y63" s="342"/>
      <c r="Z63" s="343" t="s">
        <v>63</v>
      </c>
      <c r="AA63" s="344"/>
      <c r="AB63" s="341" t="n">
        <f aca="false">AB61-AB62</f>
        <v>0</v>
      </c>
      <c r="AC63" s="342"/>
      <c r="AD63" s="338" t="n">
        <f aca="false">IFERROR(AB63/$AF$4,0)</f>
        <v>0</v>
      </c>
      <c r="AE63" s="338"/>
      <c r="AF63" s="341" t="n">
        <f aca="false">AF61-AF62</f>
        <v>0</v>
      </c>
      <c r="AG63" s="342"/>
      <c r="AH63" s="338" t="n">
        <f aca="false">IFERROR(AF63/$AF$4,0)</f>
        <v>0</v>
      </c>
      <c r="AI63" s="338"/>
      <c r="AJ63" s="341"/>
      <c r="AK63" s="342"/>
      <c r="AL63" s="343"/>
      <c r="AM63" s="344"/>
      <c r="AN63" s="341" t="n">
        <f aca="false">AN61-AN62</f>
        <v>0</v>
      </c>
      <c r="AO63" s="342"/>
      <c r="AP63" s="338" t="n">
        <f aca="false">IFERROR(AN63/$AF$4,0)</f>
        <v>0</v>
      </c>
      <c r="AQ63" s="338"/>
    </row>
    <row r="64" customFormat="false" ht="14.25" hidden="false" customHeight="true" outlineLevel="0" collapsed="false">
      <c r="C64" s="345" t="s">
        <v>178</v>
      </c>
      <c r="D64" s="346" t="n">
        <f aca="false">IFERROR(TEXT(D53/'Cap Stack Control'!$D$17,"0.0%")&amp;" / "&amp;TEXT(D53/D56,"0.00x"),0)</f>
        <v>0</v>
      </c>
      <c r="E64" s="346"/>
      <c r="F64" s="346"/>
      <c r="G64" s="346"/>
      <c r="H64" s="347" t="n">
        <f aca="false">IFERROR(TEXT(H53/'Cap Stack Control'!$D$17,"0.0%")&amp;" / "&amp;TEXT(H53/H56,"0.00x"),0)</f>
        <v>0</v>
      </c>
      <c r="I64" s="347"/>
      <c r="J64" s="347"/>
      <c r="K64" s="347"/>
      <c r="L64" s="347" t="n">
        <f aca="false">IFERROR(TEXT(L53/'Cap Stack Control'!$D$17,"0.0%")&amp;" / "&amp;TEXT(L53/L56,"0.00x"),0)</f>
        <v>0</v>
      </c>
      <c r="M64" s="347"/>
      <c r="N64" s="347"/>
      <c r="O64" s="347"/>
      <c r="P64" s="347" t="n">
        <f aca="false">IFERROR(TEXT(P53/'Cap Stack Control'!$D$17,"0.0%")&amp;" / "&amp;TEXT(P53/P56,"0.00x"),0)</f>
        <v>0</v>
      </c>
      <c r="Q64" s="347"/>
      <c r="R64" s="347"/>
      <c r="S64" s="347"/>
      <c r="T64" s="347" t="n">
        <f aca="false">IFERROR(TEXT(T53/'Cap Stack Control'!$D$17,"0.0%")&amp;" / "&amp;TEXT(T53/T56,"0.00x"),0)</f>
        <v>0</v>
      </c>
      <c r="U64" s="347"/>
      <c r="V64" s="347"/>
      <c r="W64" s="347"/>
      <c r="X64" s="347" t="n">
        <f aca="false">IFERROR(TEXT(X53/'Cap Stack Control'!$D$17,"0.0%")&amp;" / "&amp;TEXT(X53/X56,"0.00x"),0)</f>
        <v>0</v>
      </c>
      <c r="Y64" s="347"/>
      <c r="Z64" s="347"/>
      <c r="AA64" s="347"/>
      <c r="AB64" s="347" t="n">
        <f aca="false">IFERROR(TEXT(AB53/'Cap Stack Control'!$D$17,"0.0%")&amp;" / "&amp;TEXT(AB53/AB56,"0.00x"),0)</f>
        <v>0</v>
      </c>
      <c r="AC64" s="347"/>
      <c r="AD64" s="347"/>
      <c r="AE64" s="347"/>
      <c r="AF64" s="347" t="n">
        <f aca="false">IFERROR(TEXT(AF53/'Cap Stack Control'!$D$17,"0.0%")&amp;" / "&amp;TEXT(AF53/AF56,"0.00x"),0)</f>
        <v>0</v>
      </c>
      <c r="AG64" s="347"/>
      <c r="AH64" s="347"/>
      <c r="AI64" s="347"/>
      <c r="AJ64" s="347" t="n">
        <f aca="false">IFERROR(TEXT(AJ53/'Cap Stack Control'!$D$17,"0.0%")&amp;" / "&amp;TEXT(AJ53/AJ56,"0.00x"),0)</f>
        <v>0</v>
      </c>
      <c r="AK64" s="347"/>
      <c r="AL64" s="347"/>
      <c r="AM64" s="347"/>
      <c r="AN64" s="347" t="n">
        <f aca="false">IFERROR(TEXT(AN53/'Cap Stack Control'!$D$17,"0.0%")&amp;" / "&amp;TEXT(AN53/AN56,"0.00x"),0)</f>
        <v>0</v>
      </c>
      <c r="AO64" s="347"/>
      <c r="AP64" s="347"/>
      <c r="AQ64" s="347"/>
    </row>
    <row r="65" customFormat="false" ht="14.25" hidden="false" customHeight="true" outlineLevel="0" collapsed="false">
      <c r="C65" s="348" t="s">
        <v>179</v>
      </c>
      <c r="D65" s="349" t="n">
        <f aca="false">IFERROR(TEXT(D53/'Cap Stack Control'!$H$23,"0.0%")&amp;" / "&amp;TEXT(D53/(D56+D58),"0.00x"),0)</f>
        <v>0</v>
      </c>
      <c r="E65" s="349"/>
      <c r="F65" s="349"/>
      <c r="G65" s="349"/>
      <c r="H65" s="350" t="n">
        <f aca="false">IFERROR(TEXT(H53/'Cap Stack Control'!$H$23,"0.0%")&amp;" / "&amp;TEXT(H53/(H56+H58),"0.00x"),0)</f>
        <v>0</v>
      </c>
      <c r="I65" s="350"/>
      <c r="J65" s="350"/>
      <c r="K65" s="350"/>
      <c r="L65" s="350" t="n">
        <f aca="false">IFERROR(TEXT(L53/'Cap Stack Control'!$H$23,"0.0%")&amp;" / "&amp;TEXT(L53/(L56+L58),"0.00x"),0)</f>
        <v>0</v>
      </c>
      <c r="M65" s="350"/>
      <c r="N65" s="350"/>
      <c r="O65" s="350"/>
      <c r="P65" s="350" t="n">
        <f aca="false">IFERROR(TEXT(P53/'Cap Stack Control'!$H$23,"0.0%")&amp;" / "&amp;TEXT(P53/(P56+P58),"0.00x"),0)</f>
        <v>0</v>
      </c>
      <c r="Q65" s="350"/>
      <c r="R65" s="350"/>
      <c r="S65" s="350"/>
      <c r="T65" s="350" t="n">
        <f aca="false">IFERROR(TEXT(T53/'Cap Stack Control'!$H$23,"0.0%")&amp;" / "&amp;TEXT(T53/(T56+T58),"0.00x"),0)</f>
        <v>0</v>
      </c>
      <c r="U65" s="350"/>
      <c r="V65" s="350"/>
      <c r="W65" s="350"/>
      <c r="X65" s="350" t="n">
        <f aca="false">IFERROR(TEXT(X53/'Cap Stack Control'!$H$23,"0.0%")&amp;" / "&amp;TEXT(X53/(X56+X58),"0.00x"),0)</f>
        <v>0</v>
      </c>
      <c r="Y65" s="350"/>
      <c r="Z65" s="350"/>
      <c r="AA65" s="350"/>
      <c r="AB65" s="350" t="n">
        <f aca="false">IFERROR(TEXT(AB53/'Cap Stack Control'!$H$23,"0.0%")&amp;" / "&amp;TEXT(AB53/(AB56+AB58),"0.00x"),0)</f>
        <v>0</v>
      </c>
      <c r="AC65" s="350"/>
      <c r="AD65" s="350"/>
      <c r="AE65" s="350"/>
      <c r="AF65" s="350" t="n">
        <f aca="false">IFERROR(TEXT(AF53/'Cap Stack Control'!$H$23,"0.0%")&amp;" / "&amp;TEXT(AF53/(AF56+AF58),"0.00x"),0)</f>
        <v>0</v>
      </c>
      <c r="AG65" s="350"/>
      <c r="AH65" s="350"/>
      <c r="AI65" s="350"/>
      <c r="AJ65" s="350" t="n">
        <f aca="false">IFERROR(TEXT(AJ53/'Cap Stack Control'!$H$23,"0.0%")&amp;" / "&amp;TEXT(AJ53/(AJ56+AJ58),"0.00x"),0)</f>
        <v>0</v>
      </c>
      <c r="AK65" s="350"/>
      <c r="AL65" s="350"/>
      <c r="AM65" s="350"/>
      <c r="AN65" s="350" t="n">
        <f aca="false">IFERROR(TEXT(AN53/'Cap Stack Control'!$H$23,"0.0%")&amp;" / "&amp;TEXT(AN53/(AN56+AN58),"0.00x"),0)</f>
        <v>0</v>
      </c>
      <c r="AO65" s="350"/>
      <c r="AP65" s="350"/>
      <c r="AQ65" s="350"/>
    </row>
    <row r="66" customFormat="false" ht="14.25" hidden="false" customHeight="true" outlineLevel="0" collapsed="false">
      <c r="C66" s="351" t="s">
        <v>180</v>
      </c>
      <c r="D66" s="352" t="s">
        <v>63</v>
      </c>
      <c r="E66" s="352"/>
      <c r="F66" s="352"/>
      <c r="G66" s="352"/>
      <c r="H66" s="353" t="s">
        <v>63</v>
      </c>
      <c r="I66" s="353"/>
      <c r="J66" s="353"/>
      <c r="K66" s="353"/>
      <c r="L66" s="353" t="s">
        <v>63</v>
      </c>
      <c r="M66" s="353"/>
      <c r="N66" s="353"/>
      <c r="O66" s="353"/>
      <c r="P66" s="353" t="s">
        <v>63</v>
      </c>
      <c r="Q66" s="353"/>
      <c r="R66" s="353"/>
      <c r="S66" s="353"/>
      <c r="T66" s="353" t="s">
        <v>63</v>
      </c>
      <c r="U66" s="353"/>
      <c r="V66" s="353"/>
      <c r="W66" s="353"/>
      <c r="X66" s="353" t="s">
        <v>63</v>
      </c>
      <c r="Y66" s="353"/>
      <c r="Z66" s="353"/>
      <c r="AA66" s="353"/>
      <c r="AB66" s="353" t="s">
        <v>63</v>
      </c>
      <c r="AC66" s="353"/>
      <c r="AD66" s="353"/>
      <c r="AE66" s="353"/>
      <c r="AF66" s="353" t="n">
        <f aca="false">IFERROR('Cap Stack Control'!$D$17/AF61,0)</f>
        <v>0</v>
      </c>
      <c r="AG66" s="353"/>
      <c r="AH66" s="353"/>
      <c r="AI66" s="353"/>
      <c r="AJ66" s="353" t="n">
        <f aca="false">IFERROR('Cap Stack Control'!$D$17/AJ61,0)</f>
        <v>0</v>
      </c>
      <c r="AK66" s="353"/>
      <c r="AL66" s="353"/>
      <c r="AM66" s="353"/>
      <c r="AN66" s="353" t="n">
        <f aca="false">IFERROR('Cap Stack Control'!$D$17/'Cap Stack Control'!$D$11,0)</f>
        <v>0</v>
      </c>
      <c r="AO66" s="353"/>
      <c r="AP66" s="353"/>
      <c r="AQ66" s="353"/>
    </row>
    <row r="67" customFormat="false" ht="14.25" hidden="false" customHeight="true" outlineLevel="0" collapsed="false">
      <c r="C67" s="348" t="s">
        <v>181</v>
      </c>
      <c r="D67" s="349" t="s">
        <v>63</v>
      </c>
      <c r="E67" s="349"/>
      <c r="F67" s="349"/>
      <c r="G67" s="349"/>
      <c r="H67" s="350" t="s">
        <v>63</v>
      </c>
      <c r="I67" s="350"/>
      <c r="J67" s="350"/>
      <c r="K67" s="350"/>
      <c r="L67" s="350" t="s">
        <v>63</v>
      </c>
      <c r="M67" s="350"/>
      <c r="N67" s="350"/>
      <c r="O67" s="350"/>
      <c r="P67" s="350" t="s">
        <v>63</v>
      </c>
      <c r="Q67" s="350"/>
      <c r="R67" s="350"/>
      <c r="S67" s="350"/>
      <c r="T67" s="350" t="s">
        <v>63</v>
      </c>
      <c r="U67" s="350"/>
      <c r="V67" s="350"/>
      <c r="W67" s="350"/>
      <c r="X67" s="350" t="s">
        <v>63</v>
      </c>
      <c r="Y67" s="350"/>
      <c r="Z67" s="350"/>
      <c r="AA67" s="350"/>
      <c r="AB67" s="350" t="s">
        <v>63</v>
      </c>
      <c r="AC67" s="350"/>
      <c r="AD67" s="350"/>
      <c r="AE67" s="350"/>
      <c r="AF67" s="350" t="n">
        <f aca="false">IFERROR('Cap Stack Control'!$J$23/AF61,0)</f>
        <v>0</v>
      </c>
      <c r="AG67" s="350"/>
      <c r="AH67" s="350"/>
      <c r="AI67" s="350"/>
      <c r="AJ67" s="350" t="n">
        <f aca="false">IFERROR('Cap Stack Control'!$J$23/AJ61,0)</f>
        <v>0</v>
      </c>
      <c r="AK67" s="350"/>
      <c r="AL67" s="350"/>
      <c r="AM67" s="350"/>
      <c r="AN67" s="350" t="n">
        <f aca="false">'Cap Stack Control'!Q23</f>
        <v>0</v>
      </c>
      <c r="AO67" s="350"/>
      <c r="AP67" s="350"/>
      <c r="AQ67" s="350"/>
    </row>
    <row r="68" customFormat="false" ht="14.25" hidden="false" customHeight="true" outlineLevel="0" collapsed="false">
      <c r="C68" s="354" t="str">
        <f aca="false">IFERROR("*Reforecast LTV reflects the estimated appraised value of "&amp;TEXT('Cap Stack Control'!$D$9/1000000,"$#,##0")&amp;"M",0)</f>
        <v>*Reforecast LTV reflects the estimated appraised value of $0M</v>
      </c>
      <c r="AN68" s="355"/>
    </row>
    <row r="69" customFormat="false" ht="14.25" hidden="false" customHeight="true" outlineLevel="0" collapsed="false">
      <c r="C69" s="354" t="str">
        <f aca="false">IFERROR("*IG Bonds &amp; Last Dollar LTV / DY reflect Sixth Street's in-place UW values after giving credit to the "&amp;TEXT('Cap Stack Control'!$D$12/1000000,"$#,##0")&amp;"M PIP Reserve",0)</f>
        <v>*IG Bonds &amp; Last Dollar LTV / DY reflect Sixth Street's in-place UW values after giving credit to the $0M PIP Reserve</v>
      </c>
      <c r="AN69" s="355"/>
    </row>
    <row r="70" customFormat="false" ht="14.25" hidden="false" customHeight="true" outlineLevel="0" collapsed="false">
      <c r="C70" s="354"/>
      <c r="AN70" s="355"/>
    </row>
    <row r="71" customFormat="false" ht="14.25" hidden="false" customHeight="true" outlineLevel="0" collapsed="false">
      <c r="C71" s="354"/>
      <c r="AN71" s="355"/>
    </row>
    <row r="72" customFormat="false" ht="14.25" hidden="false" customHeight="true" outlineLevel="0" collapsed="false">
      <c r="D72" s="252"/>
      <c r="H72" s="252"/>
      <c r="L72" s="252"/>
      <c r="P72" s="252"/>
      <c r="AJ72" s="252"/>
      <c r="AN72" s="356"/>
    </row>
    <row r="73" customFormat="false" ht="14.25" hidden="false" customHeight="true" outlineLevel="0" collapsed="false">
      <c r="C73" s="216" t="s">
        <v>182</v>
      </c>
      <c r="D73" s="357" t="n">
        <f aca="false">SUMIFS(Tape!$LW$6:$ME$6,Tape!$LW$5:$ME$5,D3)</f>
        <v>0</v>
      </c>
      <c r="H73" s="357" t="n">
        <f aca="false">SUMIFS(Tape!$LW$6:$ME$6,Tape!$LW$5:$ME$5,H3)</f>
        <v>0</v>
      </c>
      <c r="L73" s="357" t="n">
        <f aca="false">SUMIFS(Tape!$LW$6:$ME$6,Tape!$LW$5:$ME$5,L3)</f>
        <v>0</v>
      </c>
      <c r="P73" s="357" t="n">
        <f aca="false">SUMIFS(Tape!$LW$6:$ME$6,Tape!$LW$5:$ME$5,P3)</f>
        <v>0</v>
      </c>
      <c r="T73" s="357" t="n">
        <f aca="false">SUMIFS(Tape!$LW$6:$ME$6,Tape!$LW$5:$ME$5,T3)</f>
        <v>0</v>
      </c>
      <c r="X73" s="357" t="n">
        <f aca="false">SUMIFS(Tape!$LW$6:$ME$6,Tape!$LW$5:$ME$5,X3)</f>
        <v>0</v>
      </c>
      <c r="AB73" s="357" t="n">
        <f aca="false">SUMIFS(Tape!$LW$6:$ME$6,Tape!$LW$5:$ME$5,AB3)</f>
        <v>0</v>
      </c>
      <c r="AF73" s="357" t="n">
        <f aca="false">SUMIFS(Tape!$LW$6:$ME$6,Tape!$LW$5:$ME$5,AF3)</f>
        <v>0</v>
      </c>
      <c r="AJ73" s="357" t="n">
        <f aca="false">SUMIFS(Tape!$LW$6:$ME$6,Tape!$LW$5:$ME$5,AJ3)</f>
        <v>0</v>
      </c>
      <c r="AO73" s="355"/>
      <c r="AP73" s="358"/>
    </row>
    <row r="74" customFormat="false" ht="14.25" hidden="false" customHeight="true" outlineLevel="0" collapsed="false">
      <c r="C74" s="216" t="s">
        <v>183</v>
      </c>
      <c r="D74" s="357" t="n">
        <f aca="false">SUMIFS(Tape!$LN$6:$LV$6,Tape!$LN$5:$LV$5,D3)</f>
        <v>0</v>
      </c>
      <c r="H74" s="357" t="n">
        <f aca="false">SUMIFS(Tape!$LN$6:$LV$6,Tape!$LN$5:$LV$5,H3)</f>
        <v>0</v>
      </c>
      <c r="L74" s="357" t="n">
        <f aca="false">SUMIFS(Tape!$LN$6:$LV$6,Tape!$LN$5:$LV$5,L3)</f>
        <v>0</v>
      </c>
      <c r="P74" s="357" t="n">
        <f aca="false">SUMIFS(Tape!$LN$6:$LV$6,Tape!$LN$5:$LV$5,P3)</f>
        <v>0</v>
      </c>
      <c r="T74" s="357" t="n">
        <f aca="false">SUMIFS(Tape!$LN$6:$LV$6,Tape!$LN$5:$LV$5,T3)</f>
        <v>0</v>
      </c>
      <c r="X74" s="357" t="n">
        <f aca="false">SUMIFS(Tape!$LN$6:$LV$6,Tape!$LN$5:$LV$5,X3)</f>
        <v>0</v>
      </c>
      <c r="AB74" s="357" t="n">
        <f aca="false">SUMIFS(Tape!$LN$6:$LV$6,Tape!$LN$5:$LV$5,AB3)</f>
        <v>0</v>
      </c>
      <c r="AF74" s="357" t="n">
        <f aca="false">SUMIFS(Tape!$LN$6:$LV$6,Tape!$LN$5:$LV$5,AF3)</f>
        <v>0</v>
      </c>
      <c r="AJ74" s="357" t="n">
        <f aca="false">SUMIFS(Tape!$LN$6:$LV$6,Tape!$LN$5:$LV$5,AJ3)</f>
        <v>0</v>
      </c>
      <c r="AO74" s="355"/>
      <c r="AP74" s="358"/>
    </row>
    <row r="75" customFormat="false" ht="14.25" hidden="false" customHeight="true" outlineLevel="0" collapsed="false">
      <c r="C75" s="216" t="s">
        <v>184</v>
      </c>
      <c r="D75" s="359" t="b">
        <f aca="false">SUM(D73:D74)=D53</f>
        <v>1</v>
      </c>
      <c r="H75" s="359" t="b">
        <f aca="false">SUM(H73,-H74)=H53</f>
        <v>1</v>
      </c>
      <c r="L75" s="355" t="n">
        <f aca="false">SUM(L73,-L74)-L53</f>
        <v>0</v>
      </c>
      <c r="P75" s="359" t="b">
        <f aca="false">SUM(P73:P74)=P53</f>
        <v>1</v>
      </c>
      <c r="T75" s="359" t="b">
        <f aca="false">SUM(T73,-T74)=T53</f>
        <v>1</v>
      </c>
      <c r="X75" s="359" t="b">
        <f aca="false">SUM(X73,-X74)=X53</f>
        <v>1</v>
      </c>
      <c r="AB75" s="359" t="b">
        <f aca="false">SUM(AB73,-AB74)=AB53</f>
        <v>1</v>
      </c>
      <c r="AF75" s="355" t="n">
        <f aca="false">SUM(AF73,-AF74)-AF53</f>
        <v>0</v>
      </c>
      <c r="AJ75" s="359" t="b">
        <f aca="false">SUM(AJ73,-AJ74)=AJ53</f>
        <v>1</v>
      </c>
      <c r="AO75" s="355"/>
      <c r="AP75" s="358"/>
    </row>
    <row r="76" customFormat="false" ht="14.25" hidden="false" customHeight="true" outlineLevel="0" collapsed="false">
      <c r="L76" s="360"/>
      <c r="P76" s="356"/>
      <c r="AF76" s="356"/>
      <c r="AO76" s="355"/>
      <c r="AP76" s="358"/>
    </row>
    <row r="77" customFormat="false" ht="14.25" hidden="false" customHeight="true" outlineLevel="0" collapsed="false">
      <c r="AF77" s="361"/>
      <c r="AG77" s="362"/>
      <c r="AH77" s="362"/>
      <c r="AI77" s="362"/>
      <c r="AJ77" s="362"/>
      <c r="AK77" s="362"/>
      <c r="AL77" s="362"/>
      <c r="AO77" s="355"/>
      <c r="AP77" s="358"/>
    </row>
    <row r="78" customFormat="false" ht="14.25" hidden="false" customHeight="true" outlineLevel="0" collapsed="false">
      <c r="AF78" s="363"/>
      <c r="AG78" s="364"/>
      <c r="AH78" s="365"/>
      <c r="AI78" s="365"/>
      <c r="AJ78" s="365"/>
      <c r="AK78" s="365"/>
      <c r="AL78" s="365"/>
      <c r="AN78" s="366"/>
      <c r="AO78" s="367"/>
      <c r="AP78" s="368"/>
    </row>
    <row r="79" customFormat="false" ht="14.25" hidden="false" customHeight="true" outlineLevel="0" collapsed="false">
      <c r="AF79" s="369"/>
      <c r="AG79" s="370"/>
      <c r="AH79" s="370"/>
      <c r="AI79" s="370"/>
      <c r="AJ79" s="370"/>
      <c r="AK79" s="370"/>
      <c r="AL79" s="371"/>
      <c r="AN79" s="294"/>
      <c r="AO79" s="355"/>
      <c r="AP79" s="358"/>
    </row>
    <row r="80" customFormat="false" ht="14.25" hidden="false" customHeight="true" outlineLevel="0" collapsed="false">
      <c r="AF80" s="369"/>
      <c r="AG80" s="372"/>
      <c r="AH80" s="373"/>
      <c r="AI80" s="373"/>
      <c r="AJ80" s="373"/>
      <c r="AK80" s="373"/>
      <c r="AL80" s="373"/>
      <c r="AN80" s="374"/>
      <c r="AO80" s="355"/>
      <c r="AP80" s="358"/>
    </row>
    <row r="81" customFormat="false" ht="14.25" hidden="false" customHeight="true" outlineLevel="0" collapsed="false">
      <c r="AF81" s="369"/>
      <c r="AG81" s="375"/>
      <c r="AH81" s="376"/>
      <c r="AI81" s="376"/>
      <c r="AJ81" s="376"/>
      <c r="AK81" s="376"/>
      <c r="AL81" s="377"/>
      <c r="AN81" s="378"/>
      <c r="AO81" s="355"/>
      <c r="AP81" s="358"/>
    </row>
    <row r="82" customFormat="false" ht="14.25" hidden="false" customHeight="true" outlineLevel="0" collapsed="false">
      <c r="AF82" s="369"/>
      <c r="AG82" s="379"/>
      <c r="AH82" s="376"/>
      <c r="AI82" s="376"/>
      <c r="AJ82" s="376"/>
      <c r="AK82" s="376"/>
      <c r="AL82" s="376"/>
    </row>
    <row r="83" customFormat="false" ht="14.25" hidden="false" customHeight="true" outlineLevel="0" collapsed="false">
      <c r="AF83" s="369"/>
      <c r="AG83" s="379"/>
      <c r="AH83" s="376"/>
      <c r="AI83" s="376"/>
      <c r="AJ83" s="376"/>
      <c r="AK83" s="376"/>
      <c r="AL83" s="376"/>
    </row>
    <row r="84" customFormat="false" ht="14.25" hidden="false" customHeight="true" outlineLevel="0" collapsed="false">
      <c r="AN84" s="294"/>
    </row>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sheetData>
  <mergeCells count="116">
    <mergeCell ref="D3:G3"/>
    <mergeCell ref="H3:K3"/>
    <mergeCell ref="L3:O3"/>
    <mergeCell ref="P3:S3"/>
    <mergeCell ref="T3:W3"/>
    <mergeCell ref="X3:AA3"/>
    <mergeCell ref="AB3:AE3"/>
    <mergeCell ref="AF3:AI3"/>
    <mergeCell ref="AJ3:AM3"/>
    <mergeCell ref="AN3:AQ3"/>
    <mergeCell ref="D4:G4"/>
    <mergeCell ref="H4:K4"/>
    <mergeCell ref="L4:O4"/>
    <mergeCell ref="P4:S4"/>
    <mergeCell ref="T4:W4"/>
    <mergeCell ref="X4:AA4"/>
    <mergeCell ref="AB4:AE4"/>
    <mergeCell ref="AF4:AI4"/>
    <mergeCell ref="AJ4:AM4"/>
    <mergeCell ref="AN4:AQ4"/>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AD61:AE61"/>
    <mergeCell ref="AH61:AI61"/>
    <mergeCell ref="AP61:AQ61"/>
    <mergeCell ref="AD63:AE63"/>
    <mergeCell ref="AH63:AI63"/>
    <mergeCell ref="AP63:AQ63"/>
    <mergeCell ref="D64:G64"/>
    <mergeCell ref="H64:K64"/>
    <mergeCell ref="L64:O64"/>
    <mergeCell ref="P64:S64"/>
    <mergeCell ref="T64:W64"/>
    <mergeCell ref="X64:AA64"/>
    <mergeCell ref="AB64:AE64"/>
    <mergeCell ref="AF64:AI64"/>
    <mergeCell ref="AJ64:AM64"/>
    <mergeCell ref="AN64:AQ64"/>
    <mergeCell ref="D65:G65"/>
    <mergeCell ref="H65:K65"/>
    <mergeCell ref="L65:O65"/>
    <mergeCell ref="P65:S65"/>
    <mergeCell ref="T65:W65"/>
    <mergeCell ref="X65:AA65"/>
    <mergeCell ref="AB65:AE65"/>
    <mergeCell ref="AF65:AI65"/>
    <mergeCell ref="AJ65:AM65"/>
    <mergeCell ref="AN65:AQ65"/>
    <mergeCell ref="D66:G66"/>
    <mergeCell ref="H66:K66"/>
    <mergeCell ref="L66:O66"/>
    <mergeCell ref="P66:S66"/>
    <mergeCell ref="T66:W66"/>
    <mergeCell ref="X66:AA66"/>
    <mergeCell ref="AB66:AE66"/>
    <mergeCell ref="AF66:AI66"/>
    <mergeCell ref="AJ66:AM66"/>
    <mergeCell ref="AN66:AQ66"/>
    <mergeCell ref="D67:G67"/>
    <mergeCell ref="H67:K67"/>
    <mergeCell ref="L67:O67"/>
    <mergeCell ref="P67:S67"/>
    <mergeCell ref="T67:W67"/>
    <mergeCell ref="X67:AA67"/>
    <mergeCell ref="AB67:AE67"/>
    <mergeCell ref="AF67:AI67"/>
    <mergeCell ref="AJ67:AM67"/>
    <mergeCell ref="AN67:AQ67"/>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F2D0"/>
    <pageSetUpPr fitToPage="false"/>
  </sheetPr>
  <dimension ref="A1:AC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5390625" defaultRowHeight="14.25" zeroHeight="false" outlineLevelRow="0" outlineLevelCol="1"/>
  <cols>
    <col collapsed="false" customWidth="true" hidden="false" outlineLevel="0" max="2" min="2" style="0" width="12"/>
    <col collapsed="false" customWidth="true" hidden="false" outlineLevel="0" max="3" min="3" style="0" width="2.53"/>
    <col collapsed="false" customWidth="true" hidden="false" outlineLevel="0" max="4" min="4" style="0" width="26.53"/>
    <col collapsed="false" customWidth="true" hidden="false" outlineLevel="0" max="5" min="5" style="0" width="18.53"/>
    <col collapsed="false" customWidth="true" hidden="true" outlineLevel="1" max="6" min="6" style="0" width="14.53"/>
    <col collapsed="false" customWidth="true" hidden="false" outlineLevel="0" max="7" min="7" style="0" width="10.53"/>
    <col collapsed="false" customWidth="true" hidden="false" outlineLevel="0" max="9" min="9" style="0" width="12.53"/>
    <col collapsed="false" customWidth="true" hidden="false" outlineLevel="0" max="12" min="10" style="0" width="10.53"/>
    <col collapsed="false" customWidth="true" hidden="false" outlineLevel="0" max="14" min="13" style="380" width="10.53"/>
    <col collapsed="false" customWidth="true" hidden="false" outlineLevel="0" max="15" min="15" style="380" width="14.53"/>
    <col collapsed="false" customWidth="true" hidden="false" outlineLevel="0" max="16" min="16" style="380" width="10.53"/>
    <col collapsed="false" customWidth="true" hidden="false" outlineLevel="0" max="17" min="17" style="380" width="12.53"/>
    <col collapsed="false" customWidth="true" hidden="false" outlineLevel="0" max="19" min="18" style="380" width="10.53"/>
    <col collapsed="false" customWidth="true" hidden="false" outlineLevel="0" max="20" min="20" style="0" width="14.53"/>
    <col collapsed="false" customWidth="true" hidden="false" outlineLevel="0" max="21" min="21" style="0" width="10.53"/>
    <col collapsed="false" customWidth="true" hidden="false" outlineLevel="0" max="22" min="22" style="0" width="12.53"/>
    <col collapsed="false" customWidth="true" hidden="false" outlineLevel="0" max="24" min="23" style="0" width="10.53"/>
    <col collapsed="false" customWidth="true" hidden="false" outlineLevel="0" max="25" min="25" style="0" width="2.53"/>
    <col collapsed="false" customWidth="true" hidden="false" outlineLevel="0" max="27" min="27" style="0" width="10.27"/>
    <col collapsed="false" customWidth="true" hidden="false" outlineLevel="0" max="29" min="29" style="0" width="10"/>
  </cols>
  <sheetData>
    <row r="1" customFormat="false" ht="14.25" hidden="false" customHeight="false" outlineLevel="0" collapsed="false">
      <c r="H1" s="355" t="s">
        <v>89</v>
      </c>
      <c r="I1" s="358" t="s">
        <v>185</v>
      </c>
      <c r="J1" s="358" t="s">
        <v>186</v>
      </c>
      <c r="K1" s="355" t="s">
        <v>187</v>
      </c>
      <c r="L1" s="355" t="s">
        <v>188</v>
      </c>
      <c r="M1" s="381" t="s">
        <v>189</v>
      </c>
      <c r="N1" s="381"/>
      <c r="O1" s="355" t="s">
        <v>94</v>
      </c>
      <c r="P1" s="355" t="s">
        <v>95</v>
      </c>
      <c r="Q1" s="355" t="s">
        <v>190</v>
      </c>
      <c r="R1" s="355"/>
      <c r="S1" s="381"/>
      <c r="T1" s="358"/>
      <c r="U1" s="382"/>
      <c r="V1" s="355"/>
      <c r="W1" s="355"/>
      <c r="X1" s="382"/>
      <c r="AA1" s="358" t="s">
        <v>191</v>
      </c>
    </row>
    <row r="2" customFormat="false" ht="14.25" hidden="false" customHeight="false" outlineLevel="0" collapsed="false">
      <c r="H2" s="252"/>
      <c r="K2" s="252"/>
      <c r="L2" s="252"/>
      <c r="O2" s="252"/>
      <c r="P2" s="252"/>
      <c r="Q2" s="252"/>
      <c r="R2" s="252"/>
      <c r="U2" s="383"/>
      <c r="V2" s="252"/>
      <c r="W2" s="252"/>
      <c r="X2" s="383"/>
    </row>
    <row r="3" customFormat="false" ht="16.5" hidden="false" customHeight="true" outlineLevel="0" collapsed="false">
      <c r="D3" s="384" t="str">
        <f aca="false">'Cap Stack Control'!$D$4&amp;" - Sixth Street UW Summary"</f>
        <v>[Deal Name] - Sixth Street UW Summary</v>
      </c>
      <c r="E3" s="384"/>
      <c r="F3" s="384"/>
      <c r="G3" s="384"/>
      <c r="H3" s="384"/>
      <c r="I3" s="384"/>
      <c r="J3" s="384"/>
      <c r="K3" s="384"/>
      <c r="L3" s="384"/>
      <c r="M3" s="384"/>
      <c r="N3" s="384"/>
      <c r="O3" s="384"/>
      <c r="P3" s="384"/>
      <c r="Q3" s="384"/>
      <c r="R3" s="384"/>
      <c r="S3" s="384"/>
      <c r="T3" s="384"/>
      <c r="U3" s="384"/>
      <c r="V3" s="384"/>
      <c r="W3" s="384"/>
      <c r="X3" s="384"/>
    </row>
    <row r="4" customFormat="false" ht="15.75" hidden="false" customHeight="true" outlineLevel="0" collapsed="false">
      <c r="D4" s="385"/>
      <c r="E4" s="386"/>
      <c r="F4" s="386"/>
      <c r="G4" s="386"/>
      <c r="H4" s="387" t="str">
        <f aca="false">Tape!$Z$5</f>
        <v>TTM</v>
      </c>
      <c r="I4" s="387"/>
      <c r="J4" s="388" t="s">
        <v>192</v>
      </c>
      <c r="K4" s="388"/>
      <c r="L4" s="388"/>
      <c r="M4" s="388"/>
      <c r="N4" s="388"/>
      <c r="O4" s="388"/>
      <c r="P4" s="388"/>
      <c r="Q4" s="388"/>
      <c r="R4" s="388"/>
      <c r="S4" s="388"/>
      <c r="T4" s="388"/>
      <c r="U4" s="388"/>
      <c r="V4" s="388"/>
      <c r="W4" s="388"/>
      <c r="X4" s="388"/>
    </row>
    <row r="5" customFormat="false" ht="47.25" hidden="false" customHeight="true" outlineLevel="0" collapsed="false">
      <c r="D5" s="389" t="s">
        <v>101</v>
      </c>
      <c r="E5" s="390" t="s">
        <v>193</v>
      </c>
      <c r="F5" s="390" t="s">
        <v>194</v>
      </c>
      <c r="G5" s="391" t="s">
        <v>23</v>
      </c>
      <c r="H5" s="392" t="s">
        <v>105</v>
      </c>
      <c r="I5" s="393" t="s">
        <v>167</v>
      </c>
      <c r="J5" s="394" t="s">
        <v>129</v>
      </c>
      <c r="K5" s="395" t="s">
        <v>104</v>
      </c>
      <c r="L5" s="395" t="s">
        <v>105</v>
      </c>
      <c r="M5" s="396" t="s">
        <v>114</v>
      </c>
      <c r="N5" s="397" t="s">
        <v>195</v>
      </c>
      <c r="O5" s="398" t="s">
        <v>107</v>
      </c>
      <c r="P5" s="399" t="s">
        <v>196</v>
      </c>
      <c r="Q5" s="399" t="s">
        <v>197</v>
      </c>
      <c r="R5" s="399" t="s">
        <v>198</v>
      </c>
      <c r="S5" s="400" t="s">
        <v>199</v>
      </c>
      <c r="T5" s="397" t="s">
        <v>200</v>
      </c>
      <c r="U5" s="401" t="s">
        <v>201</v>
      </c>
      <c r="V5" s="399" t="s">
        <v>202</v>
      </c>
      <c r="W5" s="399" t="s">
        <v>203</v>
      </c>
      <c r="X5" s="402" t="s">
        <v>199</v>
      </c>
      <c r="AA5" s="368" t="s">
        <v>204</v>
      </c>
    </row>
    <row r="6" customFormat="false" ht="15.75" hidden="false" customHeight="true" outlineLevel="0" collapsed="false">
      <c r="B6" s="358" t="n">
        <f aca="false">IFERROR(INDEX('UW Drivers'!$C$9:$C$38,MATCH('SSP UW Summary'!$D6,'UW Drivers'!$D$9:$D$38,0)),0)</f>
        <v>1</v>
      </c>
      <c r="D6" s="403" t="str">
        <f aca="false">'UW Drivers'!D9</f>
        <v/>
      </c>
      <c r="E6" s="404" t="str">
        <f aca="false">IFERROR(INDEX($G$42:$G$71,MATCH(D6,$D$42:$D$71,0)),"")</f>
        <v/>
      </c>
      <c r="F6" s="404" t="str">
        <f aca="false">IFERROR(INDEX($H$42:$H$71,MATCH(D6,$D$42:$D$71,0)),"")</f>
        <v/>
      </c>
      <c r="G6" s="405" t="n">
        <f aca="false">SUMIFS(Tape!$M$7:$M$36,Tape!$C$7:$C$36,'SSP UW Summary'!D6)</f>
        <v>0</v>
      </c>
      <c r="H6" s="406" t="n">
        <f aca="true">IFERROR(INDIRECT("'" &amp; $B6 &amp; "'!" &amp; H$1),0)</f>
        <v>0</v>
      </c>
      <c r="I6" s="407" t="n">
        <f aca="true">IFERROR(INDIRECT("'" &amp; $B6 &amp; "'!" &amp; I$1),0)</f>
        <v>0</v>
      </c>
      <c r="J6" s="408" t="n">
        <f aca="true">IFERROR(INDIRECT("'" &amp; $B6 &amp; "'!" &amp; J$1),0)</f>
        <v>0</v>
      </c>
      <c r="K6" s="409" t="n">
        <f aca="true">IFERROR(INDIRECT("'" &amp; $B6 &amp; "'!" &amp; K$1),0)</f>
        <v>0</v>
      </c>
      <c r="L6" s="409" t="n">
        <f aca="true">IFERROR(INDIRECT("'" &amp; $B6 &amp; "'!" &amp; L$1),0)</f>
        <v>0</v>
      </c>
      <c r="M6" s="410" t="n">
        <f aca="true">IFERROR(INDIRECT("'" &amp; $B6 &amp; "'!" &amp; M$1),0)</f>
        <v>0</v>
      </c>
      <c r="N6" s="409" t="n">
        <f aca="false">SUMIFS('UW Drivers'!$AC$9:$AC$38,'UW Drivers'!$D$9:$D$38, 'SSP UW Summary'!$D6)</f>
        <v>0</v>
      </c>
      <c r="O6" s="406" t="n">
        <f aca="true">IFERROR(INDIRECT("'" &amp; $B6 &amp; "'!" &amp; O$1),0)</f>
        <v>0</v>
      </c>
      <c r="P6" s="408" t="n">
        <f aca="true">IFERROR(INDIRECT("'" &amp; $B6 &amp; "'!" &amp; P$1),0)</f>
        <v>0</v>
      </c>
      <c r="Q6" s="409" t="n">
        <f aca="false">SUMIFS('UW Drivers'!$AD$9:$AD$38,'UW Drivers'!$D$9:$D$38, 'SSP UW Summary'!D6)</f>
        <v>0</v>
      </c>
      <c r="R6" s="409" t="n">
        <f aca="false">IFERROR(Q6/G6,0)</f>
        <v>0</v>
      </c>
      <c r="S6" s="411" t="n">
        <f aca="false">IFERROR(O6/$O$36,0)</f>
        <v>0</v>
      </c>
      <c r="T6" s="409" t="n">
        <f aca="false">SUMIFS('UW Drivers'!$W$9:$W$38,'UW Drivers'!$D$9:$D$38,'SSP UW Summary'!D6)</f>
        <v>0</v>
      </c>
      <c r="U6" s="408" t="n">
        <f aca="false">SUMIFS('UW Drivers'!$Y$9:$Y$38,'UW Drivers'!$D$9:$D$38,'SSP UW Summary'!D6)</f>
        <v>0</v>
      </c>
      <c r="V6" s="409" t="n">
        <f aca="false">SUMIFS('UW Drivers'!$AE$9:$AE$38,'UW Drivers'!$D$9:$D$38,D6)</f>
        <v>0</v>
      </c>
      <c r="W6" s="409" t="n">
        <f aca="false">IFERROR(V6/G6,0)</f>
        <v>0</v>
      </c>
      <c r="X6" s="411" t="n">
        <f aca="false">IFERROR(T6/$T$36,0)</f>
        <v>0</v>
      </c>
      <c r="AA6" s="381" t="n">
        <f aca="true">IFERROR(INDIRECT("'" &amp; $B6 &amp; "'!" &amp; AA$1),0)</f>
        <v>0</v>
      </c>
      <c r="AC6" s="355"/>
    </row>
    <row r="7" customFormat="false" ht="15.75" hidden="false" customHeight="true" outlineLevel="0" collapsed="false">
      <c r="B7" s="358" t="n">
        <f aca="false">IFERROR(INDEX('UW Drivers'!$C$9:$C$38,MATCH('SSP UW Summary'!$D7,'UW Drivers'!$D$9:$D$38,0)),0)</f>
        <v>1</v>
      </c>
      <c r="D7" s="403" t="str">
        <f aca="false">'UW Drivers'!D10</f>
        <v/>
      </c>
      <c r="E7" s="404" t="str">
        <f aca="false">IFERROR(INDEX($G$42:$G$71,MATCH(D7,$D$42:$D$71,0)),"")</f>
        <v/>
      </c>
      <c r="F7" s="404" t="str">
        <f aca="false">IFERROR(INDEX($H$42:$H$71,MATCH(D7,$D$42:$D$71,0)),"")</f>
        <v/>
      </c>
      <c r="G7" s="405" t="n">
        <f aca="false">SUMIFS(Tape!$M$7:$M$36,Tape!$C$7:$C$36,'SSP UW Summary'!D7)</f>
        <v>0</v>
      </c>
      <c r="H7" s="406" t="n">
        <f aca="true">IFERROR(INDIRECT("'" &amp; $B7 &amp; "'!" &amp; H$1),0)</f>
        <v>0</v>
      </c>
      <c r="I7" s="407" t="n">
        <f aca="true">IFERROR(INDIRECT("'" &amp; $B7 &amp; "'!" &amp; I$1),0)</f>
        <v>0</v>
      </c>
      <c r="J7" s="408" t="n">
        <f aca="true">IFERROR(INDIRECT("'" &amp; $B7 &amp; "'!" &amp; J$1),0)</f>
        <v>0</v>
      </c>
      <c r="K7" s="409" t="n">
        <f aca="true">IFERROR(INDIRECT("'" &amp; $B7 &amp; "'!" &amp; K$1),0)</f>
        <v>0</v>
      </c>
      <c r="L7" s="409" t="n">
        <f aca="true">IFERROR(INDIRECT("'" &amp; $B7 &amp; "'!" &amp; L$1),0)</f>
        <v>0</v>
      </c>
      <c r="M7" s="410" t="n">
        <f aca="true">IFERROR(INDIRECT("'" &amp; $B7 &amp; "'!" &amp; M$1),0)</f>
        <v>0</v>
      </c>
      <c r="N7" s="409" t="n">
        <f aca="false">SUMIFS('UW Drivers'!$AC$9:$AC$38,'UW Drivers'!$D$9:$D$38, 'SSP UW Summary'!$D7)</f>
        <v>0</v>
      </c>
      <c r="O7" s="406" t="n">
        <f aca="true">IFERROR(INDIRECT("'" &amp; $B7 &amp; "'!" &amp; O$1),0)</f>
        <v>0</v>
      </c>
      <c r="P7" s="408" t="n">
        <f aca="true">IFERROR(INDIRECT("'" &amp; $B7 &amp; "'!" &amp; P$1),0)</f>
        <v>0</v>
      </c>
      <c r="Q7" s="409" t="n">
        <f aca="false">SUMIFS('UW Drivers'!$AD$9:$AD$38,'UW Drivers'!$D$9:$D$38, 'SSP UW Summary'!D7)</f>
        <v>0</v>
      </c>
      <c r="R7" s="409" t="n">
        <f aca="false">IFERROR(Q7/G7,0)</f>
        <v>0</v>
      </c>
      <c r="S7" s="411" t="n">
        <f aca="false">IFERROR(O7/$O$36,0)</f>
        <v>0</v>
      </c>
      <c r="T7" s="409" t="n">
        <f aca="false">SUMIFS('UW Drivers'!$W$9:$W$38,'UW Drivers'!$D$9:$D$38,'SSP UW Summary'!D7)</f>
        <v>0</v>
      </c>
      <c r="U7" s="408" t="n">
        <f aca="false">SUMIFS('UW Drivers'!$Y$9:$Y$38,'UW Drivers'!$D$9:$D$38,'SSP UW Summary'!D7)</f>
        <v>0</v>
      </c>
      <c r="V7" s="409" t="n">
        <f aca="false">SUMIFS('UW Drivers'!$AE$9:$AE$38,'UW Drivers'!$D$9:$D$38,D7)</f>
        <v>0</v>
      </c>
      <c r="W7" s="409" t="n">
        <f aca="false">IFERROR(V7/G7,0)</f>
        <v>0</v>
      </c>
      <c r="X7" s="411" t="n">
        <f aca="false">IFERROR(T7/$T$36,0)</f>
        <v>0</v>
      </c>
      <c r="AA7" s="381" t="n">
        <f aca="true">IFERROR(INDIRECT("'" &amp; $B7 &amp; "'!" &amp; AA$1),0)</f>
        <v>0</v>
      </c>
      <c r="AC7" s="355"/>
    </row>
    <row r="8" customFormat="false" ht="15.75" hidden="false" customHeight="true" outlineLevel="0" collapsed="false">
      <c r="B8" s="358" t="n">
        <f aca="false">IFERROR(INDEX('UW Drivers'!$C$9:$C$38,MATCH('SSP UW Summary'!$D8,'UW Drivers'!$D$9:$D$38,0)),0)</f>
        <v>1</v>
      </c>
      <c r="D8" s="403" t="str">
        <f aca="false">'UW Drivers'!D11</f>
        <v/>
      </c>
      <c r="E8" s="404" t="str">
        <f aca="false">IFERROR(INDEX($G$42:$G$71,MATCH(D8,$D$42:$D$71,0)),"")</f>
        <v/>
      </c>
      <c r="F8" s="404" t="str">
        <f aca="false">IFERROR(INDEX($H$42:$H$71,MATCH(D8,$D$42:$D$71,0)),"")</f>
        <v/>
      </c>
      <c r="G8" s="405" t="n">
        <f aca="false">SUMIFS(Tape!$M$7:$M$36,Tape!$C$7:$C$36,'SSP UW Summary'!D8)</f>
        <v>0</v>
      </c>
      <c r="H8" s="406" t="n">
        <f aca="true">IFERROR(INDIRECT("'" &amp; $B8 &amp; "'!" &amp; H$1),0)</f>
        <v>0</v>
      </c>
      <c r="I8" s="407" t="n">
        <f aca="true">IFERROR(INDIRECT("'" &amp; $B8 &amp; "'!" &amp; I$1),0)</f>
        <v>0</v>
      </c>
      <c r="J8" s="408" t="n">
        <f aca="true">IFERROR(INDIRECT("'" &amp; $B8 &amp; "'!" &amp; J$1),0)</f>
        <v>0</v>
      </c>
      <c r="K8" s="409" t="n">
        <f aca="true">IFERROR(INDIRECT("'" &amp; $B8 &amp; "'!" &amp; K$1),0)</f>
        <v>0</v>
      </c>
      <c r="L8" s="409" t="n">
        <f aca="true">IFERROR(INDIRECT("'" &amp; $B8 &amp; "'!" &amp; L$1),0)</f>
        <v>0</v>
      </c>
      <c r="M8" s="410" t="n">
        <f aca="true">IFERROR(INDIRECT("'" &amp; $B8 &amp; "'!" &amp; M$1),0)</f>
        <v>0</v>
      </c>
      <c r="N8" s="409" t="n">
        <f aca="false">SUMIFS('UW Drivers'!$AC$9:$AC$38,'UW Drivers'!$D$9:$D$38, 'SSP UW Summary'!$D8)</f>
        <v>0</v>
      </c>
      <c r="O8" s="406" t="n">
        <f aca="true">IFERROR(INDIRECT("'" &amp; $B8 &amp; "'!" &amp; O$1),0)</f>
        <v>0</v>
      </c>
      <c r="P8" s="408" t="n">
        <f aca="true">IFERROR(INDIRECT("'" &amp; $B8 &amp; "'!" &amp; P$1),0)</f>
        <v>0</v>
      </c>
      <c r="Q8" s="409" t="n">
        <f aca="false">SUMIFS('UW Drivers'!$AD$9:$AD$38,'UW Drivers'!$D$9:$D$38, 'SSP UW Summary'!D8)</f>
        <v>0</v>
      </c>
      <c r="R8" s="409" t="n">
        <f aca="false">IFERROR(Q8/G8,0)</f>
        <v>0</v>
      </c>
      <c r="S8" s="411" t="n">
        <f aca="false">IFERROR(O8/$O$36,0)</f>
        <v>0</v>
      </c>
      <c r="T8" s="409" t="n">
        <f aca="false">SUMIFS('UW Drivers'!$W$9:$W$38,'UW Drivers'!$D$9:$D$38,'SSP UW Summary'!D8)</f>
        <v>0</v>
      </c>
      <c r="U8" s="408" t="n">
        <f aca="false">SUMIFS('UW Drivers'!$Y$9:$Y$38,'UW Drivers'!$D$9:$D$38,'SSP UW Summary'!D8)</f>
        <v>0</v>
      </c>
      <c r="V8" s="409" t="n">
        <f aca="false">SUMIFS('UW Drivers'!$AE$9:$AE$38,'UW Drivers'!$D$9:$D$38,D8)</f>
        <v>0</v>
      </c>
      <c r="W8" s="409" t="n">
        <f aca="false">IFERROR(V8/G8,0)</f>
        <v>0</v>
      </c>
      <c r="X8" s="411" t="n">
        <f aca="false">IFERROR(T8/$T$36,0)</f>
        <v>0</v>
      </c>
      <c r="AA8" s="381" t="n">
        <f aca="true">IFERROR(INDIRECT("'" &amp; $B8 &amp; "'!" &amp; AA$1),0)</f>
        <v>0</v>
      </c>
      <c r="AC8" s="355"/>
    </row>
    <row r="9" customFormat="false" ht="15.75" hidden="false" customHeight="true" outlineLevel="0" collapsed="false">
      <c r="B9" s="358" t="n">
        <f aca="false">IFERROR(INDEX('UW Drivers'!$C$9:$C$38,MATCH('SSP UW Summary'!$D9,'UW Drivers'!$D$9:$D$38,0)),0)</f>
        <v>1</v>
      </c>
      <c r="D9" s="403" t="str">
        <f aca="false">'UW Drivers'!D12</f>
        <v/>
      </c>
      <c r="E9" s="404" t="str">
        <f aca="false">IFERROR(INDEX($G$42:$G$71,MATCH(D9,$D$42:$D$71,0)),"")</f>
        <v/>
      </c>
      <c r="F9" s="404" t="str">
        <f aca="false">IFERROR(INDEX($H$42:$H$71,MATCH(D9,$D$42:$D$71,0)),"")</f>
        <v/>
      </c>
      <c r="G9" s="405" t="n">
        <f aca="false">SUMIFS(Tape!$M$7:$M$36,Tape!$C$7:$C$36,'SSP UW Summary'!D9)</f>
        <v>0</v>
      </c>
      <c r="H9" s="406" t="n">
        <f aca="true">IFERROR(INDIRECT("'" &amp; $B9 &amp; "'!" &amp; H$1),0)</f>
        <v>0</v>
      </c>
      <c r="I9" s="407" t="n">
        <f aca="true">IFERROR(INDIRECT("'" &amp; $B9 &amp; "'!" &amp; I$1),0)</f>
        <v>0</v>
      </c>
      <c r="J9" s="408" t="n">
        <f aca="true">IFERROR(INDIRECT("'" &amp; $B9 &amp; "'!" &amp; J$1),0)</f>
        <v>0</v>
      </c>
      <c r="K9" s="409" t="n">
        <f aca="true">IFERROR(INDIRECT("'" &amp; $B9 &amp; "'!" &amp; K$1),0)</f>
        <v>0</v>
      </c>
      <c r="L9" s="409" t="n">
        <f aca="true">IFERROR(INDIRECT("'" &amp; $B9 &amp; "'!" &amp; L$1),0)</f>
        <v>0</v>
      </c>
      <c r="M9" s="410" t="n">
        <f aca="true">IFERROR(INDIRECT("'" &amp; $B9 &amp; "'!" &amp; M$1),0)</f>
        <v>0</v>
      </c>
      <c r="N9" s="409" t="n">
        <f aca="false">SUMIFS('UW Drivers'!$AC$9:$AC$38,'UW Drivers'!$D$9:$D$38, 'SSP UW Summary'!$D9)</f>
        <v>0</v>
      </c>
      <c r="O9" s="406" t="n">
        <f aca="true">IFERROR(INDIRECT("'" &amp; $B9 &amp; "'!" &amp; O$1),0)</f>
        <v>0</v>
      </c>
      <c r="P9" s="408" t="n">
        <f aca="true">IFERROR(INDIRECT("'" &amp; $B9 &amp; "'!" &amp; P$1),0)</f>
        <v>0</v>
      </c>
      <c r="Q9" s="409" t="n">
        <f aca="false">SUMIFS('UW Drivers'!$AD$9:$AD$38,'UW Drivers'!$D$9:$D$38, 'SSP UW Summary'!D9)</f>
        <v>0</v>
      </c>
      <c r="R9" s="409" t="n">
        <f aca="false">IFERROR(Q9/G9,0)</f>
        <v>0</v>
      </c>
      <c r="S9" s="411" t="n">
        <f aca="false">IFERROR(O9/$O$36,0)</f>
        <v>0</v>
      </c>
      <c r="T9" s="409" t="n">
        <f aca="false">SUMIFS('UW Drivers'!$W$9:$W$38,'UW Drivers'!$D$9:$D$38,'SSP UW Summary'!D9)</f>
        <v>0</v>
      </c>
      <c r="U9" s="408" t="n">
        <f aca="false">SUMIFS('UW Drivers'!$Y$9:$Y$38,'UW Drivers'!$D$9:$D$38,'SSP UW Summary'!D9)</f>
        <v>0</v>
      </c>
      <c r="V9" s="409" t="n">
        <f aca="false">SUMIFS('UW Drivers'!$AE$9:$AE$38,'UW Drivers'!$D$9:$D$38,D9)</f>
        <v>0</v>
      </c>
      <c r="W9" s="409" t="n">
        <f aca="false">IFERROR(V9/G9,0)</f>
        <v>0</v>
      </c>
      <c r="X9" s="411" t="n">
        <f aca="false">IFERROR(T9/$T$36,0)</f>
        <v>0</v>
      </c>
      <c r="AA9" s="381" t="n">
        <f aca="true">IFERROR(INDIRECT("'" &amp; $B9 &amp; "'!" &amp; AA$1),0)</f>
        <v>0</v>
      </c>
      <c r="AC9" s="355"/>
    </row>
    <row r="10" customFormat="false" ht="15.75" hidden="false" customHeight="true" outlineLevel="0" collapsed="false">
      <c r="B10" s="358" t="n">
        <f aca="false">IFERROR(INDEX('UW Drivers'!$C$9:$C$38,MATCH('SSP UW Summary'!$D10,'UW Drivers'!$D$9:$D$38,0)),0)</f>
        <v>1</v>
      </c>
      <c r="D10" s="403" t="str">
        <f aca="false">'UW Drivers'!D13</f>
        <v/>
      </c>
      <c r="E10" s="404" t="str">
        <f aca="false">IFERROR(INDEX($G$42:$G$71,MATCH(D10,$D$42:$D$71,0)),"")</f>
        <v/>
      </c>
      <c r="F10" s="404" t="str">
        <f aca="false">IFERROR(INDEX($H$42:$H$71,MATCH(D10,$D$42:$D$71,0)),"")</f>
        <v/>
      </c>
      <c r="G10" s="405" t="n">
        <f aca="false">SUMIFS(Tape!$M$7:$M$36,Tape!$C$7:$C$36,'SSP UW Summary'!D10)</f>
        <v>0</v>
      </c>
      <c r="H10" s="406" t="n">
        <f aca="true">IFERROR(INDIRECT("'" &amp; $B10 &amp; "'!" &amp; H$1),0)</f>
        <v>0</v>
      </c>
      <c r="I10" s="407" t="n">
        <f aca="true">IFERROR(INDIRECT("'" &amp; $B10 &amp; "'!" &amp; I$1),0)</f>
        <v>0</v>
      </c>
      <c r="J10" s="408" t="n">
        <f aca="true">IFERROR(INDIRECT("'" &amp; $B10 &amp; "'!" &amp; J$1),0)</f>
        <v>0</v>
      </c>
      <c r="K10" s="409" t="n">
        <f aca="true">IFERROR(INDIRECT("'" &amp; $B10 &amp; "'!" &amp; K$1),0)</f>
        <v>0</v>
      </c>
      <c r="L10" s="409" t="n">
        <f aca="true">IFERROR(INDIRECT("'" &amp; $B10 &amp; "'!" &amp; L$1),0)</f>
        <v>0</v>
      </c>
      <c r="M10" s="410" t="n">
        <f aca="true">IFERROR(INDIRECT("'" &amp; $B10 &amp; "'!" &amp; M$1),0)</f>
        <v>0</v>
      </c>
      <c r="N10" s="409" t="n">
        <f aca="false">SUMIFS('UW Drivers'!$AC$9:$AC$38,'UW Drivers'!$D$9:$D$38, 'SSP UW Summary'!$D10)</f>
        <v>0</v>
      </c>
      <c r="O10" s="406" t="n">
        <f aca="true">IFERROR(INDIRECT("'" &amp; $B10 &amp; "'!" &amp; O$1),0)</f>
        <v>0</v>
      </c>
      <c r="P10" s="408" t="n">
        <f aca="true">IFERROR(INDIRECT("'" &amp; $B10 &amp; "'!" &amp; P$1),0)</f>
        <v>0</v>
      </c>
      <c r="Q10" s="409" t="n">
        <f aca="false">SUMIFS('UW Drivers'!$AD$9:$AD$38,'UW Drivers'!$D$9:$D$38, 'SSP UW Summary'!D10)</f>
        <v>0</v>
      </c>
      <c r="R10" s="409" t="n">
        <f aca="false">IFERROR(Q10/G10,0)</f>
        <v>0</v>
      </c>
      <c r="S10" s="411" t="n">
        <f aca="false">IFERROR(O10/$O$36,0)</f>
        <v>0</v>
      </c>
      <c r="T10" s="409" t="n">
        <f aca="false">SUMIFS('UW Drivers'!$W$9:$W$38,'UW Drivers'!$D$9:$D$38,'SSP UW Summary'!D10)</f>
        <v>0</v>
      </c>
      <c r="U10" s="408" t="n">
        <f aca="false">SUMIFS('UW Drivers'!$Y$9:$Y$38,'UW Drivers'!$D$9:$D$38,'SSP UW Summary'!D10)</f>
        <v>0</v>
      </c>
      <c r="V10" s="409" t="n">
        <f aca="false">SUMIFS('UW Drivers'!$AE$9:$AE$38,'UW Drivers'!$D$9:$D$38,D10)</f>
        <v>0</v>
      </c>
      <c r="W10" s="409" t="n">
        <f aca="false">IFERROR(V10/G10,0)</f>
        <v>0</v>
      </c>
      <c r="X10" s="411" t="n">
        <f aca="false">IFERROR(T10/$T$36,0)</f>
        <v>0</v>
      </c>
      <c r="AA10" s="381" t="n">
        <f aca="true">IFERROR(INDIRECT("'" &amp; $B10 &amp; "'!" &amp; AA$1),0)</f>
        <v>0</v>
      </c>
      <c r="AC10" s="355"/>
    </row>
    <row r="11" customFormat="false" ht="15.75" hidden="false" customHeight="true" outlineLevel="0" collapsed="false">
      <c r="B11" s="358" t="n">
        <f aca="false">IFERROR(INDEX('UW Drivers'!$C$9:$C$38,MATCH('SSP UW Summary'!$D11,'UW Drivers'!$D$9:$D$38,0)),0)</f>
        <v>1</v>
      </c>
      <c r="D11" s="403" t="str">
        <f aca="false">'UW Drivers'!D14</f>
        <v/>
      </c>
      <c r="E11" s="404" t="str">
        <f aca="false">IFERROR(INDEX($G$42:$G$71,MATCH(D11,$D$42:$D$71,0)),"")</f>
        <v/>
      </c>
      <c r="F11" s="404" t="str">
        <f aca="false">IFERROR(INDEX($H$42:$H$71,MATCH(D11,$D$42:$D$71,0)),"")</f>
        <v/>
      </c>
      <c r="G11" s="405" t="n">
        <f aca="false">SUMIFS(Tape!$M$7:$M$36,Tape!$C$7:$C$36,'SSP UW Summary'!D11)</f>
        <v>0</v>
      </c>
      <c r="H11" s="406" t="n">
        <f aca="true">IFERROR(INDIRECT("'" &amp; $B11 &amp; "'!" &amp; H$1),0)</f>
        <v>0</v>
      </c>
      <c r="I11" s="407" t="n">
        <f aca="true">IFERROR(INDIRECT("'" &amp; $B11 &amp; "'!" &amp; I$1),0)</f>
        <v>0</v>
      </c>
      <c r="J11" s="408" t="n">
        <f aca="true">IFERROR(INDIRECT("'" &amp; $B11 &amp; "'!" &amp; J$1),0)</f>
        <v>0</v>
      </c>
      <c r="K11" s="409" t="n">
        <f aca="true">IFERROR(INDIRECT("'" &amp; $B11 &amp; "'!" &amp; K$1),0)</f>
        <v>0</v>
      </c>
      <c r="L11" s="409" t="n">
        <f aca="true">IFERROR(INDIRECT("'" &amp; $B11 &amp; "'!" &amp; L$1),0)</f>
        <v>0</v>
      </c>
      <c r="M11" s="410" t="n">
        <f aca="true">IFERROR(INDIRECT("'" &amp; $B11 &amp; "'!" &amp; M$1),0)</f>
        <v>0</v>
      </c>
      <c r="N11" s="409" t="n">
        <f aca="false">SUMIFS('UW Drivers'!$AC$9:$AC$38,'UW Drivers'!$D$9:$D$38, 'SSP UW Summary'!$D11)</f>
        <v>0</v>
      </c>
      <c r="O11" s="406" t="n">
        <f aca="true">IFERROR(INDIRECT("'" &amp; $B11 &amp; "'!" &amp; O$1),0)</f>
        <v>0</v>
      </c>
      <c r="P11" s="408" t="n">
        <f aca="true">IFERROR(INDIRECT("'" &amp; $B11 &amp; "'!" &amp; P$1),0)</f>
        <v>0</v>
      </c>
      <c r="Q11" s="409" t="n">
        <f aca="false">SUMIFS('UW Drivers'!$AD$9:$AD$38,'UW Drivers'!$D$9:$D$38, 'SSP UW Summary'!D11)</f>
        <v>0</v>
      </c>
      <c r="R11" s="409" t="n">
        <f aca="false">IFERROR(Q11/G11,0)</f>
        <v>0</v>
      </c>
      <c r="S11" s="411" t="n">
        <f aca="false">IFERROR(O11/$O$36,0)</f>
        <v>0</v>
      </c>
      <c r="T11" s="409" t="n">
        <f aca="false">SUMIFS('UW Drivers'!$W$9:$W$38,'UW Drivers'!$D$9:$D$38,'SSP UW Summary'!D11)</f>
        <v>0</v>
      </c>
      <c r="U11" s="408" t="n">
        <f aca="false">SUMIFS('UW Drivers'!$Y$9:$Y$38,'UW Drivers'!$D$9:$D$38,'SSP UW Summary'!D11)</f>
        <v>0</v>
      </c>
      <c r="V11" s="409" t="n">
        <f aca="false">SUMIFS('UW Drivers'!$AE$9:$AE$38,'UW Drivers'!$D$9:$D$38,D11)</f>
        <v>0</v>
      </c>
      <c r="W11" s="409" t="n">
        <f aca="false">IFERROR(V11/G11,0)</f>
        <v>0</v>
      </c>
      <c r="X11" s="411" t="n">
        <f aca="false">IFERROR(T11/$T$36,0)</f>
        <v>0</v>
      </c>
      <c r="AA11" s="381" t="n">
        <f aca="true">IFERROR(INDIRECT("'" &amp; $B11 &amp; "'!" &amp; AA$1),0)</f>
        <v>0</v>
      </c>
      <c r="AC11" s="355"/>
    </row>
    <row r="12" customFormat="false" ht="15.75" hidden="false" customHeight="true" outlineLevel="0" collapsed="false">
      <c r="B12" s="358" t="n">
        <f aca="false">IFERROR(INDEX('UW Drivers'!$C$9:$C$38,MATCH('SSP UW Summary'!$D12,'UW Drivers'!$D$9:$D$38,0)),0)</f>
        <v>1</v>
      </c>
      <c r="D12" s="403" t="str">
        <f aca="false">'UW Drivers'!D15</f>
        <v/>
      </c>
      <c r="E12" s="404" t="str">
        <f aca="false">IFERROR(INDEX($G$42:$G$71,MATCH(D12,$D$42:$D$71,0)),"")</f>
        <v/>
      </c>
      <c r="F12" s="404" t="str">
        <f aca="false">IFERROR(INDEX($H$42:$H$71,MATCH(D12,$D$42:$D$71,0)),"")</f>
        <v/>
      </c>
      <c r="G12" s="405" t="n">
        <f aca="false">SUMIFS(Tape!$M$7:$M$36,Tape!$C$7:$C$36,'SSP UW Summary'!D12)</f>
        <v>0</v>
      </c>
      <c r="H12" s="406" t="n">
        <f aca="true">IFERROR(INDIRECT("'" &amp; $B12 &amp; "'!" &amp; H$1),0)</f>
        <v>0</v>
      </c>
      <c r="I12" s="407" t="n">
        <f aca="true">IFERROR(INDIRECT("'" &amp; $B12 &amp; "'!" &amp; I$1),0)</f>
        <v>0</v>
      </c>
      <c r="J12" s="408" t="n">
        <f aca="true">IFERROR(INDIRECT("'" &amp; $B12 &amp; "'!" &amp; J$1),0)</f>
        <v>0</v>
      </c>
      <c r="K12" s="409" t="n">
        <f aca="true">IFERROR(INDIRECT("'" &amp; $B12 &amp; "'!" &amp; K$1),0)</f>
        <v>0</v>
      </c>
      <c r="L12" s="409" t="n">
        <f aca="true">IFERROR(INDIRECT("'" &amp; $B12 &amp; "'!" &amp; L$1),0)</f>
        <v>0</v>
      </c>
      <c r="M12" s="410" t="n">
        <f aca="true">IFERROR(INDIRECT("'" &amp; $B12 &amp; "'!" &amp; M$1),0)</f>
        <v>0</v>
      </c>
      <c r="N12" s="409" t="n">
        <f aca="false">SUMIFS('UW Drivers'!$AC$9:$AC$38,'UW Drivers'!$D$9:$D$38, 'SSP UW Summary'!$D12)</f>
        <v>0</v>
      </c>
      <c r="O12" s="406" t="n">
        <f aca="true">IFERROR(INDIRECT("'" &amp; $B12 &amp; "'!" &amp; O$1),0)</f>
        <v>0</v>
      </c>
      <c r="P12" s="408" t="n">
        <f aca="true">IFERROR(INDIRECT("'" &amp; $B12 &amp; "'!" &amp; P$1),0)</f>
        <v>0</v>
      </c>
      <c r="Q12" s="409" t="n">
        <f aca="false">SUMIFS('UW Drivers'!$AD$9:$AD$38,'UW Drivers'!$D$9:$D$38, 'SSP UW Summary'!D12)</f>
        <v>0</v>
      </c>
      <c r="R12" s="409" t="n">
        <f aca="false">IFERROR(Q12/G12,0)</f>
        <v>0</v>
      </c>
      <c r="S12" s="411" t="n">
        <f aca="false">IFERROR(O12/$O$36,0)</f>
        <v>0</v>
      </c>
      <c r="T12" s="409" t="n">
        <f aca="false">SUMIFS('UW Drivers'!$W$9:$W$38,'UW Drivers'!$D$9:$D$38,'SSP UW Summary'!D12)</f>
        <v>0</v>
      </c>
      <c r="U12" s="408" t="n">
        <f aca="false">SUMIFS('UW Drivers'!$Y$9:$Y$38,'UW Drivers'!$D$9:$D$38,'SSP UW Summary'!D12)</f>
        <v>0</v>
      </c>
      <c r="V12" s="409" t="n">
        <f aca="false">SUMIFS('UW Drivers'!$AE$9:$AE$38,'UW Drivers'!$D$9:$D$38,D12)</f>
        <v>0</v>
      </c>
      <c r="W12" s="409" t="n">
        <f aca="false">IFERROR(V12/G12,0)</f>
        <v>0</v>
      </c>
      <c r="X12" s="411" t="n">
        <f aca="false">IFERROR(T12/$T$36,0)</f>
        <v>0</v>
      </c>
      <c r="AA12" s="381" t="n">
        <f aca="true">IFERROR(INDIRECT("'" &amp; $B12 &amp; "'!" &amp; AA$1),0)</f>
        <v>0</v>
      </c>
      <c r="AC12" s="355"/>
    </row>
    <row r="13" customFormat="false" ht="15.75" hidden="false" customHeight="true" outlineLevel="0" collapsed="false">
      <c r="B13" s="358" t="n">
        <f aca="false">IFERROR(INDEX('UW Drivers'!$C$9:$C$38,MATCH('SSP UW Summary'!$D13,'UW Drivers'!$D$9:$D$38,0)),0)</f>
        <v>1</v>
      </c>
      <c r="D13" s="403" t="str">
        <f aca="false">'UW Drivers'!D16</f>
        <v/>
      </c>
      <c r="E13" s="404" t="str">
        <f aca="false">IFERROR(INDEX($G$42:$G$71,MATCH(D13,$D$42:$D$71,0)),"")</f>
        <v/>
      </c>
      <c r="F13" s="404" t="str">
        <f aca="false">IFERROR(INDEX($H$42:$H$71,MATCH(D13,$D$42:$D$71,0)),"")</f>
        <v/>
      </c>
      <c r="G13" s="405" t="n">
        <f aca="false">SUMIFS(Tape!$M$7:$M$36,Tape!$C$7:$C$36,'SSP UW Summary'!D13)</f>
        <v>0</v>
      </c>
      <c r="H13" s="406" t="n">
        <f aca="true">IFERROR(INDIRECT("'" &amp; $B13 &amp; "'!" &amp; H$1),0)</f>
        <v>0</v>
      </c>
      <c r="I13" s="407" t="n">
        <f aca="true">IFERROR(INDIRECT("'" &amp; $B13 &amp; "'!" &amp; I$1),0)</f>
        <v>0</v>
      </c>
      <c r="J13" s="408" t="n">
        <f aca="true">IFERROR(INDIRECT("'" &amp; $B13 &amp; "'!" &amp; J$1),0)</f>
        <v>0</v>
      </c>
      <c r="K13" s="409" t="n">
        <f aca="true">IFERROR(INDIRECT("'" &amp; $B13 &amp; "'!" &amp; K$1),0)</f>
        <v>0</v>
      </c>
      <c r="L13" s="409" t="n">
        <f aca="true">IFERROR(INDIRECT("'" &amp; $B13 &amp; "'!" &amp; L$1),0)</f>
        <v>0</v>
      </c>
      <c r="M13" s="410" t="n">
        <f aca="true">IFERROR(INDIRECT("'" &amp; $B13 &amp; "'!" &amp; M$1),0)</f>
        <v>0</v>
      </c>
      <c r="N13" s="409" t="n">
        <f aca="false">SUMIFS('UW Drivers'!$AC$9:$AC$38,'UW Drivers'!$D$9:$D$38, 'SSP UW Summary'!$D13)</f>
        <v>0</v>
      </c>
      <c r="O13" s="406" t="n">
        <f aca="true">IFERROR(INDIRECT("'" &amp; $B13 &amp; "'!" &amp; O$1),0)</f>
        <v>0</v>
      </c>
      <c r="P13" s="408" t="n">
        <f aca="true">IFERROR(INDIRECT("'" &amp; $B13 &amp; "'!" &amp; P$1),0)</f>
        <v>0</v>
      </c>
      <c r="Q13" s="409" t="n">
        <f aca="false">SUMIFS('UW Drivers'!$AD$9:$AD$38,'UW Drivers'!$D$9:$D$38, 'SSP UW Summary'!D13)</f>
        <v>0</v>
      </c>
      <c r="R13" s="409" t="n">
        <f aca="false">IFERROR(Q13/G13,0)</f>
        <v>0</v>
      </c>
      <c r="S13" s="411" t="n">
        <f aca="false">IFERROR(O13/$O$36,0)</f>
        <v>0</v>
      </c>
      <c r="T13" s="409" t="n">
        <f aca="false">SUMIFS('UW Drivers'!$W$9:$W$38,'UW Drivers'!$D$9:$D$38,'SSP UW Summary'!D13)</f>
        <v>0</v>
      </c>
      <c r="U13" s="408" t="n">
        <f aca="false">SUMIFS('UW Drivers'!$Y$9:$Y$38,'UW Drivers'!$D$9:$D$38,'SSP UW Summary'!D13)</f>
        <v>0</v>
      </c>
      <c r="V13" s="409" t="n">
        <f aca="false">SUMIFS('UW Drivers'!$AE$9:$AE$38,'UW Drivers'!$D$9:$D$38,D13)</f>
        <v>0</v>
      </c>
      <c r="W13" s="409" t="n">
        <f aca="false">IFERROR(V13/G13,0)</f>
        <v>0</v>
      </c>
      <c r="X13" s="411" t="n">
        <f aca="false">IFERROR(T13/$T$36,0)</f>
        <v>0</v>
      </c>
      <c r="AA13" s="381" t="n">
        <f aca="true">IFERROR(INDIRECT("'" &amp; $B13 &amp; "'!" &amp; AA$1),0)</f>
        <v>0</v>
      </c>
      <c r="AC13" s="355"/>
    </row>
    <row r="14" customFormat="false" ht="15.75" hidden="false" customHeight="true" outlineLevel="0" collapsed="false">
      <c r="B14" s="358" t="n">
        <f aca="false">IFERROR(INDEX('UW Drivers'!$C$9:$C$38,MATCH('SSP UW Summary'!$D14,'UW Drivers'!$D$9:$D$38,0)),0)</f>
        <v>1</v>
      </c>
      <c r="D14" s="403" t="str">
        <f aca="false">'UW Drivers'!D17</f>
        <v/>
      </c>
      <c r="E14" s="404" t="str">
        <f aca="false">IFERROR(INDEX($G$42:$G$71,MATCH(D14,$D$42:$D$71,0)),"")</f>
        <v/>
      </c>
      <c r="F14" s="404" t="str">
        <f aca="false">IFERROR(INDEX($H$42:$H$71,MATCH(D14,$D$42:$D$71,0)),"")</f>
        <v/>
      </c>
      <c r="G14" s="405" t="n">
        <f aca="false">SUMIFS(Tape!$M$7:$M$36,Tape!$C$7:$C$36,'SSP UW Summary'!D14)</f>
        <v>0</v>
      </c>
      <c r="H14" s="406" t="n">
        <f aca="true">IFERROR(INDIRECT("'" &amp; $B14 &amp; "'!" &amp; H$1),0)</f>
        <v>0</v>
      </c>
      <c r="I14" s="407" t="n">
        <f aca="true">IFERROR(INDIRECT("'" &amp; $B14 &amp; "'!" &amp; I$1),0)</f>
        <v>0</v>
      </c>
      <c r="J14" s="408" t="n">
        <f aca="true">IFERROR(INDIRECT("'" &amp; $B14 &amp; "'!" &amp; J$1),0)</f>
        <v>0</v>
      </c>
      <c r="K14" s="409" t="n">
        <f aca="true">IFERROR(INDIRECT("'" &amp; $B14 &amp; "'!" &amp; K$1),0)</f>
        <v>0</v>
      </c>
      <c r="L14" s="409" t="n">
        <f aca="true">IFERROR(INDIRECT("'" &amp; $B14 &amp; "'!" &amp; L$1),0)</f>
        <v>0</v>
      </c>
      <c r="M14" s="410" t="n">
        <f aca="true">IFERROR(INDIRECT("'" &amp; $B14 &amp; "'!" &amp; M$1),0)</f>
        <v>0</v>
      </c>
      <c r="N14" s="409" t="n">
        <f aca="false">SUMIFS('UW Drivers'!$AC$9:$AC$38,'UW Drivers'!$D$9:$D$38, 'SSP UW Summary'!$D14)</f>
        <v>0</v>
      </c>
      <c r="O14" s="406" t="n">
        <f aca="true">IFERROR(INDIRECT("'" &amp; $B14 &amp; "'!" &amp; O$1),0)</f>
        <v>0</v>
      </c>
      <c r="P14" s="408" t="n">
        <f aca="true">IFERROR(INDIRECT("'" &amp; $B14 &amp; "'!" &amp; P$1),0)</f>
        <v>0</v>
      </c>
      <c r="Q14" s="409" t="n">
        <f aca="false">SUMIFS('UW Drivers'!$AD$9:$AD$38,'UW Drivers'!$D$9:$D$38, 'SSP UW Summary'!D14)</f>
        <v>0</v>
      </c>
      <c r="R14" s="409" t="n">
        <f aca="false">IFERROR(Q14/G14,0)</f>
        <v>0</v>
      </c>
      <c r="S14" s="411" t="n">
        <f aca="false">IFERROR(O14/$O$36,0)</f>
        <v>0</v>
      </c>
      <c r="T14" s="409" t="n">
        <f aca="false">SUMIFS('UW Drivers'!$W$9:$W$38,'UW Drivers'!$D$9:$D$38,'SSP UW Summary'!D14)</f>
        <v>0</v>
      </c>
      <c r="U14" s="408" t="n">
        <f aca="false">SUMIFS('UW Drivers'!$Y$9:$Y$38,'UW Drivers'!$D$9:$D$38,'SSP UW Summary'!D14)</f>
        <v>0</v>
      </c>
      <c r="V14" s="409" t="n">
        <f aca="false">SUMIFS('UW Drivers'!$AE$9:$AE$38,'UW Drivers'!$D$9:$D$38,D14)</f>
        <v>0</v>
      </c>
      <c r="W14" s="409" t="n">
        <f aca="false">IFERROR(V14/G14,0)</f>
        <v>0</v>
      </c>
      <c r="X14" s="411" t="n">
        <f aca="false">IFERROR(T14/$T$36,0)</f>
        <v>0</v>
      </c>
      <c r="AA14" s="381" t="n">
        <f aca="true">IFERROR(INDIRECT("'" &amp; $B14 &amp; "'!" &amp; AA$1),0)</f>
        <v>0</v>
      </c>
      <c r="AC14" s="355"/>
    </row>
    <row r="15" customFormat="false" ht="15.75" hidden="false" customHeight="true" outlineLevel="0" collapsed="false">
      <c r="B15" s="358" t="n">
        <f aca="false">IFERROR(INDEX('UW Drivers'!$C$9:$C$38,MATCH('SSP UW Summary'!$D15,'UW Drivers'!$D$9:$D$38,0)),0)</f>
        <v>1</v>
      </c>
      <c r="D15" s="403" t="str">
        <f aca="false">'UW Drivers'!D18</f>
        <v/>
      </c>
      <c r="E15" s="404" t="str">
        <f aca="false">IFERROR(INDEX($G$42:$G$71,MATCH(D15,$D$42:$D$71,0)),"")</f>
        <v/>
      </c>
      <c r="F15" s="404" t="str">
        <f aca="false">IFERROR(INDEX($H$42:$H$71,MATCH(D15,$D$42:$D$71,0)),"")</f>
        <v/>
      </c>
      <c r="G15" s="405" t="n">
        <f aca="false">SUMIFS(Tape!$M$7:$M$36,Tape!$C$7:$C$36,'SSP UW Summary'!D15)</f>
        <v>0</v>
      </c>
      <c r="H15" s="406" t="n">
        <f aca="true">IFERROR(INDIRECT("'" &amp; $B15 &amp; "'!" &amp; H$1),0)</f>
        <v>0</v>
      </c>
      <c r="I15" s="407" t="n">
        <f aca="true">IFERROR(INDIRECT("'" &amp; $B15 &amp; "'!" &amp; I$1),0)</f>
        <v>0</v>
      </c>
      <c r="J15" s="408" t="n">
        <f aca="true">IFERROR(INDIRECT("'" &amp; $B15 &amp; "'!" &amp; J$1),0)</f>
        <v>0</v>
      </c>
      <c r="K15" s="409" t="n">
        <f aca="true">IFERROR(INDIRECT("'" &amp; $B15 &amp; "'!" &amp; K$1),0)</f>
        <v>0</v>
      </c>
      <c r="L15" s="409" t="n">
        <f aca="true">IFERROR(INDIRECT("'" &amp; $B15 &amp; "'!" &amp; L$1),0)</f>
        <v>0</v>
      </c>
      <c r="M15" s="410" t="n">
        <f aca="true">IFERROR(INDIRECT("'" &amp; $B15 &amp; "'!" &amp; M$1),0)</f>
        <v>0</v>
      </c>
      <c r="N15" s="409" t="n">
        <f aca="false">SUMIFS('UW Drivers'!$AC$9:$AC$38,'UW Drivers'!$D$9:$D$38, 'SSP UW Summary'!$D15)</f>
        <v>0</v>
      </c>
      <c r="O15" s="406" t="n">
        <f aca="true">IFERROR(INDIRECT("'" &amp; $B15 &amp; "'!" &amp; O$1),0)</f>
        <v>0</v>
      </c>
      <c r="P15" s="408" t="n">
        <f aca="true">IFERROR(INDIRECT("'" &amp; $B15 &amp; "'!" &amp; P$1),0)</f>
        <v>0</v>
      </c>
      <c r="Q15" s="409" t="n">
        <f aca="false">SUMIFS('UW Drivers'!$AD$9:$AD$38,'UW Drivers'!$D$9:$D$38, 'SSP UW Summary'!D15)</f>
        <v>0</v>
      </c>
      <c r="R15" s="409" t="n">
        <f aca="false">IFERROR(Q15/G15,0)</f>
        <v>0</v>
      </c>
      <c r="S15" s="411" t="n">
        <f aca="false">IFERROR(O15/$O$36,0)</f>
        <v>0</v>
      </c>
      <c r="T15" s="409" t="n">
        <f aca="false">SUMIFS('UW Drivers'!$W$9:$W$38,'UW Drivers'!$D$9:$D$38,'SSP UW Summary'!D15)</f>
        <v>0</v>
      </c>
      <c r="U15" s="408" t="n">
        <f aca="false">SUMIFS('UW Drivers'!$Y$9:$Y$38,'UW Drivers'!$D$9:$D$38,'SSP UW Summary'!D15)</f>
        <v>0</v>
      </c>
      <c r="V15" s="409" t="n">
        <f aca="false">SUMIFS('UW Drivers'!$AE$9:$AE$38,'UW Drivers'!$D$9:$D$38,D15)</f>
        <v>0</v>
      </c>
      <c r="W15" s="409" t="n">
        <f aca="false">IFERROR(V15/G15,0)</f>
        <v>0</v>
      </c>
      <c r="X15" s="411" t="n">
        <f aca="false">IFERROR(T15/$T$36,0)</f>
        <v>0</v>
      </c>
      <c r="AA15" s="381" t="n">
        <f aca="true">IFERROR(INDIRECT("'" &amp; $B15 &amp; "'!" &amp; AA$1),0)</f>
        <v>0</v>
      </c>
      <c r="AC15" s="355"/>
    </row>
    <row r="16" customFormat="false" ht="15.75" hidden="false" customHeight="true" outlineLevel="0" collapsed="false">
      <c r="B16" s="358" t="n">
        <f aca="false">IFERROR(INDEX('UW Drivers'!$C$9:$C$38,MATCH('SSP UW Summary'!$D16,'UW Drivers'!$D$9:$D$38,0)),0)</f>
        <v>1</v>
      </c>
      <c r="D16" s="403" t="str">
        <f aca="false">'UW Drivers'!D19</f>
        <v/>
      </c>
      <c r="E16" s="404" t="str">
        <f aca="false">IFERROR(INDEX($G$42:$G$71,MATCH(D16,$D$42:$D$71,0)),"")</f>
        <v/>
      </c>
      <c r="F16" s="404" t="str">
        <f aca="false">IFERROR(INDEX($H$42:$H$71,MATCH(D16,$D$42:$D$71,0)),"")</f>
        <v/>
      </c>
      <c r="G16" s="405" t="n">
        <f aca="false">SUMIFS(Tape!$M$7:$M$36,Tape!$C$7:$C$36,'SSP UW Summary'!D16)</f>
        <v>0</v>
      </c>
      <c r="H16" s="406" t="n">
        <f aca="true">IFERROR(INDIRECT("'" &amp; $B16 &amp; "'!" &amp; H$1),0)</f>
        <v>0</v>
      </c>
      <c r="I16" s="407" t="n">
        <f aca="true">IFERROR(INDIRECT("'" &amp; $B16 &amp; "'!" &amp; I$1),0)</f>
        <v>0</v>
      </c>
      <c r="J16" s="408" t="n">
        <f aca="true">IFERROR(INDIRECT("'" &amp; $B16 &amp; "'!" &amp; J$1),0)</f>
        <v>0</v>
      </c>
      <c r="K16" s="409" t="n">
        <f aca="true">IFERROR(INDIRECT("'" &amp; $B16 &amp; "'!" &amp; K$1),0)</f>
        <v>0</v>
      </c>
      <c r="L16" s="409" t="n">
        <f aca="true">IFERROR(INDIRECT("'" &amp; $B16 &amp; "'!" &amp; L$1),0)</f>
        <v>0</v>
      </c>
      <c r="M16" s="410" t="n">
        <f aca="true">IFERROR(INDIRECT("'" &amp; $B16 &amp; "'!" &amp; M$1),0)</f>
        <v>0</v>
      </c>
      <c r="N16" s="409" t="n">
        <f aca="false">SUMIFS('UW Drivers'!$AC$9:$AC$38,'UW Drivers'!$D$9:$D$38, 'SSP UW Summary'!$D16)</f>
        <v>0</v>
      </c>
      <c r="O16" s="406" t="n">
        <f aca="true">IFERROR(INDIRECT("'" &amp; $B16 &amp; "'!" &amp; O$1),0)</f>
        <v>0</v>
      </c>
      <c r="P16" s="408" t="n">
        <f aca="true">IFERROR(INDIRECT("'" &amp; $B16 &amp; "'!" &amp; P$1),0)</f>
        <v>0</v>
      </c>
      <c r="Q16" s="409" t="n">
        <f aca="false">SUMIFS('UW Drivers'!$AD$9:$AD$38,'UW Drivers'!$D$9:$D$38, 'SSP UW Summary'!D16)</f>
        <v>0</v>
      </c>
      <c r="R16" s="409" t="n">
        <f aca="false">IFERROR(Q16/G16,0)</f>
        <v>0</v>
      </c>
      <c r="S16" s="411" t="n">
        <f aca="false">IFERROR(O16/$O$36,0)</f>
        <v>0</v>
      </c>
      <c r="T16" s="409" t="n">
        <f aca="false">SUMIFS('UW Drivers'!$W$9:$W$38,'UW Drivers'!$D$9:$D$38,'SSP UW Summary'!D16)</f>
        <v>0</v>
      </c>
      <c r="U16" s="408" t="n">
        <f aca="false">SUMIFS('UW Drivers'!$Y$9:$Y$38,'UW Drivers'!$D$9:$D$38,'SSP UW Summary'!D16)</f>
        <v>0</v>
      </c>
      <c r="V16" s="409" t="n">
        <f aca="false">SUMIFS('UW Drivers'!$AE$9:$AE$38,'UW Drivers'!$D$9:$D$38,D16)</f>
        <v>0</v>
      </c>
      <c r="W16" s="409" t="n">
        <f aca="false">IFERROR(V16/G16,0)</f>
        <v>0</v>
      </c>
      <c r="X16" s="411" t="n">
        <f aca="false">IFERROR(T16/$T$36,0)</f>
        <v>0</v>
      </c>
      <c r="AA16" s="381" t="n">
        <f aca="true">IFERROR(INDIRECT("'" &amp; $B16 &amp; "'!" &amp; AA$1),0)</f>
        <v>0</v>
      </c>
      <c r="AC16" s="355"/>
    </row>
    <row r="17" customFormat="false" ht="15.75" hidden="false" customHeight="true" outlineLevel="0" collapsed="false">
      <c r="B17" s="358" t="n">
        <f aca="false">IFERROR(INDEX('UW Drivers'!$C$9:$C$38,MATCH('SSP UW Summary'!$D17,'UW Drivers'!$D$9:$D$38,0)),0)</f>
        <v>1</v>
      </c>
      <c r="D17" s="403" t="str">
        <f aca="false">'UW Drivers'!D20</f>
        <v/>
      </c>
      <c r="E17" s="404" t="str">
        <f aca="false">IFERROR(INDEX($G$42:$G$71,MATCH(D17,$D$42:$D$71,0)),"")</f>
        <v/>
      </c>
      <c r="F17" s="404" t="str">
        <f aca="false">IFERROR(INDEX($H$42:$H$71,MATCH(D17,$D$42:$D$71,0)),"")</f>
        <v/>
      </c>
      <c r="G17" s="405" t="n">
        <f aca="false">SUMIFS(Tape!$M$7:$M$36,Tape!$C$7:$C$36,'SSP UW Summary'!D17)</f>
        <v>0</v>
      </c>
      <c r="H17" s="406" t="n">
        <f aca="true">IFERROR(INDIRECT("'" &amp; $B17 &amp; "'!" &amp; H$1),0)</f>
        <v>0</v>
      </c>
      <c r="I17" s="407" t="n">
        <f aca="true">IFERROR(INDIRECT("'" &amp; $B17 &amp; "'!" &amp; I$1),0)</f>
        <v>0</v>
      </c>
      <c r="J17" s="408" t="n">
        <f aca="true">IFERROR(INDIRECT("'" &amp; $B17 &amp; "'!" &amp; J$1),0)</f>
        <v>0</v>
      </c>
      <c r="K17" s="409" t="n">
        <f aca="true">IFERROR(INDIRECT("'" &amp; $B17 &amp; "'!" &amp; K$1),0)</f>
        <v>0</v>
      </c>
      <c r="L17" s="409" t="n">
        <f aca="true">IFERROR(INDIRECT("'" &amp; $B17 &amp; "'!" &amp; L$1),0)</f>
        <v>0</v>
      </c>
      <c r="M17" s="410" t="n">
        <f aca="true">IFERROR(INDIRECT("'" &amp; $B17 &amp; "'!" &amp; M$1),0)</f>
        <v>0</v>
      </c>
      <c r="N17" s="409" t="n">
        <f aca="false">SUMIFS('UW Drivers'!$AC$9:$AC$38,'UW Drivers'!$D$9:$D$38, 'SSP UW Summary'!$D17)</f>
        <v>0</v>
      </c>
      <c r="O17" s="406" t="n">
        <f aca="true">IFERROR(INDIRECT("'" &amp; $B17 &amp; "'!" &amp; O$1),0)</f>
        <v>0</v>
      </c>
      <c r="P17" s="408" t="n">
        <f aca="true">IFERROR(INDIRECT("'" &amp; $B17 &amp; "'!" &amp; P$1),0)</f>
        <v>0</v>
      </c>
      <c r="Q17" s="409" t="n">
        <f aca="false">SUMIFS('UW Drivers'!$AD$9:$AD$38,'UW Drivers'!$D$9:$D$38, 'SSP UW Summary'!D17)</f>
        <v>0</v>
      </c>
      <c r="R17" s="409" t="n">
        <f aca="false">IFERROR(Q17/G17,0)</f>
        <v>0</v>
      </c>
      <c r="S17" s="411" t="n">
        <f aca="false">IFERROR(O17/$O$36,0)</f>
        <v>0</v>
      </c>
      <c r="T17" s="409" t="n">
        <f aca="false">SUMIFS('UW Drivers'!$W$9:$W$38,'UW Drivers'!$D$9:$D$38,'SSP UW Summary'!D17)</f>
        <v>0</v>
      </c>
      <c r="U17" s="408" t="n">
        <f aca="false">SUMIFS('UW Drivers'!$Y$9:$Y$38,'UW Drivers'!$D$9:$D$38,'SSP UW Summary'!D17)</f>
        <v>0</v>
      </c>
      <c r="V17" s="409" t="n">
        <f aca="false">SUMIFS('UW Drivers'!$AE$9:$AE$38,'UW Drivers'!$D$9:$D$38,D17)</f>
        <v>0</v>
      </c>
      <c r="W17" s="409" t="n">
        <f aca="false">IFERROR(V17/G17,0)</f>
        <v>0</v>
      </c>
      <c r="X17" s="411" t="n">
        <f aca="false">IFERROR(T17/$T$36,0)</f>
        <v>0</v>
      </c>
      <c r="AA17" s="381" t="n">
        <f aca="true">IFERROR(INDIRECT("'" &amp; $B17 &amp; "'!" &amp; AA$1),0)</f>
        <v>0</v>
      </c>
      <c r="AC17" s="355"/>
    </row>
    <row r="18" customFormat="false" ht="15.75" hidden="false" customHeight="true" outlineLevel="0" collapsed="false">
      <c r="B18" s="358" t="n">
        <f aca="false">IFERROR(INDEX('UW Drivers'!$C$9:$C$38,MATCH('SSP UW Summary'!$D18,'UW Drivers'!$D$9:$D$38,0)),0)</f>
        <v>1</v>
      </c>
      <c r="D18" s="403" t="str">
        <f aca="false">'UW Drivers'!D21</f>
        <v/>
      </c>
      <c r="E18" s="404" t="str">
        <f aca="false">IFERROR(INDEX($G$42:$G$71,MATCH(D18,$D$42:$D$71,0)),"")</f>
        <v/>
      </c>
      <c r="F18" s="404" t="str">
        <f aca="false">IFERROR(INDEX($H$42:$H$71,MATCH(D18,$D$42:$D$71,0)),"")</f>
        <v/>
      </c>
      <c r="G18" s="405" t="n">
        <f aca="false">SUMIFS(Tape!$M$7:$M$36,Tape!$C$7:$C$36,'SSP UW Summary'!D18)</f>
        <v>0</v>
      </c>
      <c r="H18" s="406" t="n">
        <f aca="true">IFERROR(INDIRECT("'" &amp; $B18 &amp; "'!" &amp; H$1),0)</f>
        <v>0</v>
      </c>
      <c r="I18" s="407" t="n">
        <f aca="true">IFERROR(INDIRECT("'" &amp; $B18 &amp; "'!" &amp; I$1),0)</f>
        <v>0</v>
      </c>
      <c r="J18" s="408" t="n">
        <f aca="true">IFERROR(INDIRECT("'" &amp; $B18 &amp; "'!" &amp; J$1),0)</f>
        <v>0</v>
      </c>
      <c r="K18" s="409" t="n">
        <f aca="true">IFERROR(INDIRECT("'" &amp; $B18 &amp; "'!" &amp; K$1),0)</f>
        <v>0</v>
      </c>
      <c r="L18" s="409" t="n">
        <f aca="true">IFERROR(INDIRECT("'" &amp; $B18 &amp; "'!" &amp; L$1),0)</f>
        <v>0</v>
      </c>
      <c r="M18" s="410" t="n">
        <f aca="true">IFERROR(INDIRECT("'" &amp; $B18 &amp; "'!" &amp; M$1),0)</f>
        <v>0</v>
      </c>
      <c r="N18" s="409" t="n">
        <f aca="false">SUMIFS('UW Drivers'!$AC$9:$AC$38,'UW Drivers'!$D$9:$D$38, 'SSP UW Summary'!$D18)</f>
        <v>0</v>
      </c>
      <c r="O18" s="406" t="n">
        <f aca="true">IFERROR(INDIRECT("'" &amp; $B18 &amp; "'!" &amp; O$1),0)</f>
        <v>0</v>
      </c>
      <c r="P18" s="408" t="n">
        <f aca="true">IFERROR(INDIRECT("'" &amp; $B18 &amp; "'!" &amp; P$1),0)</f>
        <v>0</v>
      </c>
      <c r="Q18" s="409" t="n">
        <f aca="false">SUMIFS('UW Drivers'!$AD$9:$AD$38,'UW Drivers'!$D$9:$D$38, 'SSP UW Summary'!D18)</f>
        <v>0</v>
      </c>
      <c r="R18" s="409" t="n">
        <f aca="false">IFERROR(Q18/G18,0)</f>
        <v>0</v>
      </c>
      <c r="S18" s="411" t="n">
        <f aca="false">IFERROR(O18/$O$36,0)</f>
        <v>0</v>
      </c>
      <c r="T18" s="409" t="n">
        <f aca="false">SUMIFS('UW Drivers'!$W$9:$W$38,'UW Drivers'!$D$9:$D$38,'SSP UW Summary'!D18)</f>
        <v>0</v>
      </c>
      <c r="U18" s="408" t="n">
        <f aca="false">SUMIFS('UW Drivers'!$Y$9:$Y$38,'UW Drivers'!$D$9:$D$38,'SSP UW Summary'!D18)</f>
        <v>0</v>
      </c>
      <c r="V18" s="409" t="n">
        <f aca="false">SUMIFS('UW Drivers'!$AE$9:$AE$38,'UW Drivers'!$D$9:$D$38,D18)</f>
        <v>0</v>
      </c>
      <c r="W18" s="409" t="n">
        <f aca="false">IFERROR(V18/G18,0)</f>
        <v>0</v>
      </c>
      <c r="X18" s="411" t="n">
        <f aca="false">IFERROR(T18/$T$36,0)</f>
        <v>0</v>
      </c>
      <c r="AA18" s="381" t="n">
        <f aca="true">IFERROR(INDIRECT("'" &amp; $B18 &amp; "'!" &amp; AA$1),0)</f>
        <v>0</v>
      </c>
      <c r="AC18" s="355"/>
    </row>
    <row r="19" customFormat="false" ht="15.75" hidden="false" customHeight="true" outlineLevel="0" collapsed="false">
      <c r="B19" s="358" t="n">
        <f aca="false">IFERROR(INDEX('UW Drivers'!$C$9:$C$38,MATCH('SSP UW Summary'!$D19,'UW Drivers'!$D$9:$D$38,0)),0)</f>
        <v>1</v>
      </c>
      <c r="D19" s="403" t="str">
        <f aca="false">'UW Drivers'!D22</f>
        <v/>
      </c>
      <c r="E19" s="404" t="str">
        <f aca="false">IFERROR(INDEX($G$42:$G$71,MATCH(D19,$D$42:$D$71,0)),"")</f>
        <v/>
      </c>
      <c r="F19" s="404" t="str">
        <f aca="false">IFERROR(INDEX($H$42:$H$71,MATCH(D19,$D$42:$D$71,0)),"")</f>
        <v/>
      </c>
      <c r="G19" s="405" t="n">
        <f aca="false">SUMIFS(Tape!$M$7:$M$36,Tape!$C$7:$C$36,'SSP UW Summary'!D19)</f>
        <v>0</v>
      </c>
      <c r="H19" s="406" t="n">
        <f aca="true">IFERROR(INDIRECT("'" &amp; $B19 &amp; "'!" &amp; H$1),0)</f>
        <v>0</v>
      </c>
      <c r="I19" s="407" t="n">
        <f aca="true">IFERROR(INDIRECT("'" &amp; $B19 &amp; "'!" &amp; I$1),0)</f>
        <v>0</v>
      </c>
      <c r="J19" s="408" t="n">
        <f aca="true">IFERROR(INDIRECT("'" &amp; $B19 &amp; "'!" &amp; J$1),0)</f>
        <v>0</v>
      </c>
      <c r="K19" s="409" t="n">
        <f aca="true">IFERROR(INDIRECT("'" &amp; $B19 &amp; "'!" &amp; K$1),0)</f>
        <v>0</v>
      </c>
      <c r="L19" s="409" t="n">
        <f aca="true">IFERROR(INDIRECT("'" &amp; $B19 &amp; "'!" &amp; L$1),0)</f>
        <v>0</v>
      </c>
      <c r="M19" s="410" t="n">
        <f aca="true">IFERROR(INDIRECT("'" &amp; $B19 &amp; "'!" &amp; M$1),0)</f>
        <v>0</v>
      </c>
      <c r="N19" s="409" t="n">
        <f aca="false">SUMIFS('UW Drivers'!$AC$9:$AC$38,'UW Drivers'!$D$9:$D$38, 'SSP UW Summary'!$D19)</f>
        <v>0</v>
      </c>
      <c r="O19" s="406" t="n">
        <f aca="true">IFERROR(INDIRECT("'" &amp; $B19 &amp; "'!" &amp; O$1),0)</f>
        <v>0</v>
      </c>
      <c r="P19" s="408" t="n">
        <f aca="true">IFERROR(INDIRECT("'" &amp; $B19 &amp; "'!" &amp; P$1),0)</f>
        <v>0</v>
      </c>
      <c r="Q19" s="409" t="n">
        <f aca="false">SUMIFS('UW Drivers'!$AD$9:$AD$38,'UW Drivers'!$D$9:$D$38, 'SSP UW Summary'!D19)</f>
        <v>0</v>
      </c>
      <c r="R19" s="409" t="n">
        <f aca="false">IFERROR(Q19/G19,0)</f>
        <v>0</v>
      </c>
      <c r="S19" s="411" t="n">
        <f aca="false">IFERROR(O19/$O$36,0)</f>
        <v>0</v>
      </c>
      <c r="T19" s="409" t="n">
        <f aca="false">SUMIFS('UW Drivers'!$W$9:$W$38,'UW Drivers'!$D$9:$D$38,'SSP UW Summary'!D19)</f>
        <v>0</v>
      </c>
      <c r="U19" s="408" t="n">
        <f aca="false">SUMIFS('UW Drivers'!$Y$9:$Y$38,'UW Drivers'!$D$9:$D$38,'SSP UW Summary'!D19)</f>
        <v>0</v>
      </c>
      <c r="V19" s="409" t="n">
        <f aca="false">SUMIFS('UW Drivers'!$AE$9:$AE$38,'UW Drivers'!$D$9:$D$38,D19)</f>
        <v>0</v>
      </c>
      <c r="W19" s="409" t="n">
        <f aca="false">IFERROR(V19/G19,0)</f>
        <v>0</v>
      </c>
      <c r="X19" s="411" t="n">
        <f aca="false">IFERROR(T19/$T$36,0)</f>
        <v>0</v>
      </c>
      <c r="AA19" s="381" t="n">
        <f aca="true">IFERROR(INDIRECT("'" &amp; $B19 &amp; "'!" &amp; AA$1),0)</f>
        <v>0</v>
      </c>
      <c r="AC19" s="355"/>
    </row>
    <row r="20" customFormat="false" ht="15.75" hidden="false" customHeight="true" outlineLevel="0" collapsed="false">
      <c r="B20" s="358" t="n">
        <f aca="false">IFERROR(INDEX('UW Drivers'!$C$9:$C$38,MATCH('SSP UW Summary'!$D20,'UW Drivers'!$D$9:$D$38,0)),0)</f>
        <v>1</v>
      </c>
      <c r="D20" s="403" t="str">
        <f aca="false">'UW Drivers'!D23</f>
        <v/>
      </c>
      <c r="E20" s="404" t="str">
        <f aca="false">IFERROR(INDEX($G$42:$G$71,MATCH(D20,$D$42:$D$71,0)),"")</f>
        <v/>
      </c>
      <c r="F20" s="404" t="str">
        <f aca="false">IFERROR(INDEX($H$42:$H$71,MATCH(D20,$D$42:$D$71,0)),"")</f>
        <v/>
      </c>
      <c r="G20" s="405" t="n">
        <f aca="false">SUMIFS(Tape!$M$7:$M$36,Tape!$C$7:$C$36,'SSP UW Summary'!D20)</f>
        <v>0</v>
      </c>
      <c r="H20" s="406" t="n">
        <f aca="true">IFERROR(INDIRECT("'" &amp; $B20 &amp; "'!" &amp; H$1),0)</f>
        <v>0</v>
      </c>
      <c r="I20" s="407" t="n">
        <f aca="true">IFERROR(INDIRECT("'" &amp; $B20 &amp; "'!" &amp; I$1),0)</f>
        <v>0</v>
      </c>
      <c r="J20" s="408" t="n">
        <f aca="true">IFERROR(INDIRECT("'" &amp; $B20 &amp; "'!" &amp; J$1),0)</f>
        <v>0</v>
      </c>
      <c r="K20" s="409" t="n">
        <f aca="true">IFERROR(INDIRECT("'" &amp; $B20 &amp; "'!" &amp; K$1),0)</f>
        <v>0</v>
      </c>
      <c r="L20" s="409" t="n">
        <f aca="true">IFERROR(INDIRECT("'" &amp; $B20 &amp; "'!" &amp; L$1),0)</f>
        <v>0</v>
      </c>
      <c r="M20" s="410" t="n">
        <f aca="true">IFERROR(INDIRECT("'" &amp; $B20 &amp; "'!" &amp; M$1),0)</f>
        <v>0</v>
      </c>
      <c r="N20" s="409" t="n">
        <f aca="false">SUMIFS('UW Drivers'!$AC$9:$AC$38,'UW Drivers'!$D$9:$D$38, 'SSP UW Summary'!$D20)</f>
        <v>0</v>
      </c>
      <c r="O20" s="406" t="n">
        <f aca="true">IFERROR(INDIRECT("'" &amp; $B20 &amp; "'!" &amp; O$1),0)</f>
        <v>0</v>
      </c>
      <c r="P20" s="408" t="n">
        <f aca="true">IFERROR(INDIRECT("'" &amp; $B20 &amp; "'!" &amp; P$1),0)</f>
        <v>0</v>
      </c>
      <c r="Q20" s="409" t="n">
        <f aca="false">SUMIFS('UW Drivers'!$AD$9:$AD$38,'UW Drivers'!$D$9:$D$38, 'SSP UW Summary'!D20)</f>
        <v>0</v>
      </c>
      <c r="R20" s="409" t="n">
        <f aca="false">IFERROR(Q20/G20,0)</f>
        <v>0</v>
      </c>
      <c r="S20" s="411" t="n">
        <f aca="false">IFERROR(O20/$O$36,0)</f>
        <v>0</v>
      </c>
      <c r="T20" s="409" t="n">
        <f aca="false">SUMIFS('UW Drivers'!$W$9:$W$38,'UW Drivers'!$D$9:$D$38,'SSP UW Summary'!D20)</f>
        <v>0</v>
      </c>
      <c r="U20" s="408" t="n">
        <f aca="false">SUMIFS('UW Drivers'!$Y$9:$Y$38,'UW Drivers'!$D$9:$D$38,'SSP UW Summary'!D20)</f>
        <v>0</v>
      </c>
      <c r="V20" s="409" t="n">
        <f aca="false">SUMIFS('UW Drivers'!$AE$9:$AE$38,'UW Drivers'!$D$9:$D$38,D20)</f>
        <v>0</v>
      </c>
      <c r="W20" s="409" t="n">
        <f aca="false">IFERROR(V20/G20,0)</f>
        <v>0</v>
      </c>
      <c r="X20" s="411" t="n">
        <f aca="false">IFERROR(T20/$T$36,0)</f>
        <v>0</v>
      </c>
      <c r="AA20" s="381" t="n">
        <f aca="true">IFERROR(INDIRECT("'" &amp; $B20 &amp; "'!" &amp; AA$1),0)</f>
        <v>0</v>
      </c>
      <c r="AC20" s="355"/>
    </row>
    <row r="21" customFormat="false" ht="15.75" hidden="false" customHeight="true" outlineLevel="0" collapsed="false">
      <c r="B21" s="358" t="n">
        <f aca="false">IFERROR(INDEX('UW Drivers'!$C$9:$C$38,MATCH('SSP UW Summary'!$D21,'UW Drivers'!$D$9:$D$38,0)),0)</f>
        <v>1</v>
      </c>
      <c r="D21" s="403" t="str">
        <f aca="false">'UW Drivers'!D24</f>
        <v/>
      </c>
      <c r="E21" s="404" t="str">
        <f aca="false">IFERROR(INDEX($G$42:$G$71,MATCH(D21,$D$42:$D$71,0)),"")</f>
        <v/>
      </c>
      <c r="F21" s="404" t="str">
        <f aca="false">IFERROR(INDEX($H$42:$H$71,MATCH(D21,$D$42:$D$71,0)),"")</f>
        <v/>
      </c>
      <c r="G21" s="405" t="n">
        <f aca="false">SUMIFS(Tape!$M$7:$M$36,Tape!$C$7:$C$36,'SSP UW Summary'!D21)</f>
        <v>0</v>
      </c>
      <c r="H21" s="406" t="n">
        <f aca="true">IFERROR(INDIRECT("'" &amp; $B21 &amp; "'!" &amp; H$1),0)</f>
        <v>0</v>
      </c>
      <c r="I21" s="407" t="n">
        <f aca="true">IFERROR(INDIRECT("'" &amp; $B21 &amp; "'!" &amp; I$1),0)</f>
        <v>0</v>
      </c>
      <c r="J21" s="408" t="n">
        <f aca="true">IFERROR(INDIRECT("'" &amp; $B21 &amp; "'!" &amp; J$1),0)</f>
        <v>0</v>
      </c>
      <c r="K21" s="409" t="n">
        <f aca="true">IFERROR(INDIRECT("'" &amp; $B21 &amp; "'!" &amp; K$1),0)</f>
        <v>0</v>
      </c>
      <c r="L21" s="409" t="n">
        <f aca="true">IFERROR(INDIRECT("'" &amp; $B21 &amp; "'!" &amp; L$1),0)</f>
        <v>0</v>
      </c>
      <c r="M21" s="410" t="n">
        <f aca="true">IFERROR(INDIRECT("'" &amp; $B21 &amp; "'!" &amp; M$1),0)</f>
        <v>0</v>
      </c>
      <c r="N21" s="409" t="n">
        <f aca="false">SUMIFS('UW Drivers'!$AC$9:$AC$38,'UW Drivers'!$D$9:$D$38, 'SSP UW Summary'!$D21)</f>
        <v>0</v>
      </c>
      <c r="O21" s="406" t="n">
        <f aca="true">IFERROR(INDIRECT("'" &amp; $B21 &amp; "'!" &amp; O$1),0)</f>
        <v>0</v>
      </c>
      <c r="P21" s="408" t="n">
        <f aca="true">IFERROR(INDIRECT("'" &amp; $B21 &amp; "'!" &amp; P$1),0)</f>
        <v>0</v>
      </c>
      <c r="Q21" s="409" t="n">
        <f aca="false">SUMIFS('UW Drivers'!$AD$9:$AD$38,'UW Drivers'!$D$9:$D$38, 'SSP UW Summary'!D21)</f>
        <v>0</v>
      </c>
      <c r="R21" s="409" t="n">
        <f aca="false">IFERROR(Q21/G21,0)</f>
        <v>0</v>
      </c>
      <c r="S21" s="411" t="n">
        <f aca="false">IFERROR(O21/$O$36,0)</f>
        <v>0</v>
      </c>
      <c r="T21" s="409" t="n">
        <f aca="false">SUMIFS('UW Drivers'!$W$9:$W$38,'UW Drivers'!$D$9:$D$38,'SSP UW Summary'!D21)</f>
        <v>0</v>
      </c>
      <c r="U21" s="408" t="n">
        <f aca="false">SUMIFS('UW Drivers'!$Y$9:$Y$38,'UW Drivers'!$D$9:$D$38,'SSP UW Summary'!D21)</f>
        <v>0</v>
      </c>
      <c r="V21" s="409" t="n">
        <f aca="false">SUMIFS('UW Drivers'!$AE$9:$AE$38,'UW Drivers'!$D$9:$D$38,D21)</f>
        <v>0</v>
      </c>
      <c r="W21" s="409" t="n">
        <f aca="false">IFERROR(V21/G21,0)</f>
        <v>0</v>
      </c>
      <c r="X21" s="411" t="n">
        <f aca="false">IFERROR(T21/$T$36,0)</f>
        <v>0</v>
      </c>
      <c r="AA21" s="381" t="n">
        <f aca="true">IFERROR(INDIRECT("'" &amp; $B21 &amp; "'!" &amp; AA$1),0)</f>
        <v>0</v>
      </c>
      <c r="AC21" s="355"/>
    </row>
    <row r="22" customFormat="false" ht="15.75" hidden="false" customHeight="true" outlineLevel="0" collapsed="false">
      <c r="B22" s="358" t="n">
        <f aca="false">IFERROR(INDEX('UW Drivers'!$C$9:$C$38,MATCH('SSP UW Summary'!$D22,'UW Drivers'!$D$9:$D$38,0)),0)</f>
        <v>1</v>
      </c>
      <c r="D22" s="403" t="str">
        <f aca="false">'UW Drivers'!D25</f>
        <v/>
      </c>
      <c r="E22" s="404" t="str">
        <f aca="false">IFERROR(INDEX($G$42:$G$71,MATCH(D22,$D$42:$D$71,0)),"")</f>
        <v/>
      </c>
      <c r="F22" s="404" t="str">
        <f aca="false">IFERROR(INDEX($H$42:$H$71,MATCH(D22,$D$42:$D$71,0)),"")</f>
        <v/>
      </c>
      <c r="G22" s="405" t="n">
        <f aca="false">SUMIFS(Tape!$M$7:$M$36,Tape!$C$7:$C$36,'SSP UW Summary'!D22)</f>
        <v>0</v>
      </c>
      <c r="H22" s="406" t="n">
        <f aca="true">IFERROR(INDIRECT("'" &amp; $B22 &amp; "'!" &amp; H$1),0)</f>
        <v>0</v>
      </c>
      <c r="I22" s="407" t="n">
        <f aca="true">IFERROR(INDIRECT("'" &amp; $B22 &amp; "'!" &amp; I$1),0)</f>
        <v>0</v>
      </c>
      <c r="J22" s="408" t="n">
        <f aca="true">IFERROR(INDIRECT("'" &amp; $B22 &amp; "'!" &amp; J$1),0)</f>
        <v>0</v>
      </c>
      <c r="K22" s="409" t="n">
        <f aca="true">IFERROR(INDIRECT("'" &amp; $B22 &amp; "'!" &amp; K$1),0)</f>
        <v>0</v>
      </c>
      <c r="L22" s="409" t="n">
        <f aca="true">IFERROR(INDIRECT("'" &amp; $B22 &amp; "'!" &amp; L$1),0)</f>
        <v>0</v>
      </c>
      <c r="M22" s="410" t="n">
        <f aca="true">IFERROR(INDIRECT("'" &amp; $B22 &amp; "'!" &amp; M$1),0)</f>
        <v>0</v>
      </c>
      <c r="N22" s="409" t="n">
        <f aca="false">SUMIFS('UW Drivers'!$AC$9:$AC$38,'UW Drivers'!$D$9:$D$38, 'SSP UW Summary'!$D22)</f>
        <v>0</v>
      </c>
      <c r="O22" s="406" t="n">
        <f aca="true">IFERROR(INDIRECT("'" &amp; $B22 &amp; "'!" &amp; O$1),0)</f>
        <v>0</v>
      </c>
      <c r="P22" s="408" t="n">
        <f aca="true">IFERROR(INDIRECT("'" &amp; $B22 &amp; "'!" &amp; P$1),0)</f>
        <v>0</v>
      </c>
      <c r="Q22" s="409" t="n">
        <f aca="false">SUMIFS('UW Drivers'!$AD$9:$AD$38,'UW Drivers'!$D$9:$D$38, 'SSP UW Summary'!D22)</f>
        <v>0</v>
      </c>
      <c r="R22" s="409" t="n">
        <f aca="false">IFERROR(Q22/G22,0)</f>
        <v>0</v>
      </c>
      <c r="S22" s="411" t="n">
        <f aca="false">IFERROR(O22/$O$36,0)</f>
        <v>0</v>
      </c>
      <c r="T22" s="409" t="n">
        <f aca="false">SUMIFS('UW Drivers'!$W$9:$W$38,'UW Drivers'!$D$9:$D$38,'SSP UW Summary'!D22)</f>
        <v>0</v>
      </c>
      <c r="U22" s="408" t="n">
        <f aca="false">SUMIFS('UW Drivers'!$Y$9:$Y$38,'UW Drivers'!$D$9:$D$38,'SSP UW Summary'!D22)</f>
        <v>0</v>
      </c>
      <c r="V22" s="409" t="n">
        <f aca="false">SUMIFS('UW Drivers'!$AE$9:$AE$38,'UW Drivers'!$D$9:$D$38,D22)</f>
        <v>0</v>
      </c>
      <c r="W22" s="409" t="n">
        <f aca="false">IFERROR(V22/G22,0)</f>
        <v>0</v>
      </c>
      <c r="X22" s="411" t="n">
        <f aca="false">IFERROR(T22/$T$36,0)</f>
        <v>0</v>
      </c>
      <c r="AA22" s="381" t="n">
        <f aca="true">IFERROR(INDIRECT("'" &amp; $B22 &amp; "'!" &amp; AA$1),0)</f>
        <v>0</v>
      </c>
      <c r="AC22" s="355"/>
    </row>
    <row r="23" customFormat="false" ht="15.75" hidden="false" customHeight="true" outlineLevel="0" collapsed="false">
      <c r="B23" s="358" t="n">
        <f aca="false">IFERROR(INDEX('UW Drivers'!$C$9:$C$38,MATCH('SSP UW Summary'!$D23,'UW Drivers'!$D$9:$D$38,0)),0)</f>
        <v>1</v>
      </c>
      <c r="D23" s="403" t="str">
        <f aca="false">'UW Drivers'!D26</f>
        <v/>
      </c>
      <c r="E23" s="404" t="str">
        <f aca="false">IFERROR(INDEX($G$42:$G$71,MATCH(D23,$D$42:$D$71,0)),"")</f>
        <v/>
      </c>
      <c r="F23" s="404" t="str">
        <f aca="false">IFERROR(INDEX($H$42:$H$71,MATCH(D23,$D$42:$D$71,0)),"")</f>
        <v/>
      </c>
      <c r="G23" s="405" t="n">
        <f aca="false">SUMIFS(Tape!$M$7:$M$36,Tape!$C$7:$C$36,'SSP UW Summary'!D23)</f>
        <v>0</v>
      </c>
      <c r="H23" s="406" t="n">
        <f aca="true">IFERROR(INDIRECT("'" &amp; $B23 &amp; "'!" &amp; H$1),0)</f>
        <v>0</v>
      </c>
      <c r="I23" s="407" t="n">
        <f aca="true">IFERROR(INDIRECT("'" &amp; $B23 &amp; "'!" &amp; I$1),0)</f>
        <v>0</v>
      </c>
      <c r="J23" s="408" t="n">
        <f aca="true">IFERROR(INDIRECT("'" &amp; $B23 &amp; "'!" &amp; J$1),0)</f>
        <v>0</v>
      </c>
      <c r="K23" s="409" t="n">
        <f aca="true">IFERROR(INDIRECT("'" &amp; $B23 &amp; "'!" &amp; K$1),0)</f>
        <v>0</v>
      </c>
      <c r="L23" s="409" t="n">
        <f aca="true">IFERROR(INDIRECT("'" &amp; $B23 &amp; "'!" &amp; L$1),0)</f>
        <v>0</v>
      </c>
      <c r="M23" s="410" t="n">
        <f aca="true">IFERROR(INDIRECT("'" &amp; $B23 &amp; "'!" &amp; M$1),0)</f>
        <v>0</v>
      </c>
      <c r="N23" s="409" t="n">
        <f aca="false">SUMIFS('UW Drivers'!$AC$9:$AC$38,'UW Drivers'!$D$9:$D$38, 'SSP UW Summary'!$D23)</f>
        <v>0</v>
      </c>
      <c r="O23" s="406" t="n">
        <f aca="true">IFERROR(INDIRECT("'" &amp; $B23 &amp; "'!" &amp; O$1),0)</f>
        <v>0</v>
      </c>
      <c r="P23" s="408" t="n">
        <f aca="true">IFERROR(INDIRECT("'" &amp; $B23 &amp; "'!" &amp; P$1),0)</f>
        <v>0</v>
      </c>
      <c r="Q23" s="409" t="n">
        <f aca="false">SUMIFS('UW Drivers'!$AD$9:$AD$38,'UW Drivers'!$D$9:$D$38, 'SSP UW Summary'!D23)</f>
        <v>0</v>
      </c>
      <c r="R23" s="409" t="n">
        <f aca="false">IFERROR(Q23/G23,0)</f>
        <v>0</v>
      </c>
      <c r="S23" s="411" t="n">
        <f aca="false">IFERROR(O23/$O$36,0)</f>
        <v>0</v>
      </c>
      <c r="T23" s="409" t="n">
        <f aca="false">SUMIFS('UW Drivers'!$W$9:$W$38,'UW Drivers'!$D$9:$D$38,'SSP UW Summary'!D23)</f>
        <v>0</v>
      </c>
      <c r="U23" s="408" t="n">
        <f aca="false">SUMIFS('UW Drivers'!$Y$9:$Y$38,'UW Drivers'!$D$9:$D$38,'SSP UW Summary'!D23)</f>
        <v>0</v>
      </c>
      <c r="V23" s="409" t="n">
        <f aca="false">SUMIFS('UW Drivers'!$AE$9:$AE$38,'UW Drivers'!$D$9:$D$38,D23)</f>
        <v>0</v>
      </c>
      <c r="W23" s="409" t="n">
        <f aca="false">IFERROR(V23/G23,0)</f>
        <v>0</v>
      </c>
      <c r="X23" s="411" t="n">
        <f aca="false">IFERROR(T23/$T$36,0)</f>
        <v>0</v>
      </c>
      <c r="AA23" s="381" t="n">
        <f aca="true">IFERROR(INDIRECT("'" &amp; $B23 &amp; "'!" &amp; AA$1),0)</f>
        <v>0</v>
      </c>
      <c r="AC23" s="355"/>
    </row>
    <row r="24" customFormat="false" ht="15.75" hidden="false" customHeight="true" outlineLevel="0" collapsed="false">
      <c r="B24" s="358" t="n">
        <f aca="false">IFERROR(INDEX('UW Drivers'!$C$9:$C$38,MATCH('SSP UW Summary'!$D24,'UW Drivers'!$D$9:$D$38,0)),0)</f>
        <v>1</v>
      </c>
      <c r="D24" s="403" t="str">
        <f aca="false">'UW Drivers'!D27</f>
        <v/>
      </c>
      <c r="E24" s="404" t="str">
        <f aca="false">IFERROR(INDEX($G$42:$G$71,MATCH(D24,$D$42:$D$71,0)),"")</f>
        <v/>
      </c>
      <c r="F24" s="404" t="str">
        <f aca="false">IFERROR(INDEX($H$42:$H$71,MATCH(D24,$D$42:$D$71,0)),"")</f>
        <v/>
      </c>
      <c r="G24" s="405" t="n">
        <f aca="false">SUMIFS(Tape!$M$7:$M$36,Tape!$C$7:$C$36,'SSP UW Summary'!D24)</f>
        <v>0</v>
      </c>
      <c r="H24" s="406" t="n">
        <f aca="true">IFERROR(INDIRECT("'" &amp; $B24 &amp; "'!" &amp; H$1),0)</f>
        <v>0</v>
      </c>
      <c r="I24" s="407" t="n">
        <f aca="true">IFERROR(INDIRECT("'" &amp; $B24 &amp; "'!" &amp; I$1),0)</f>
        <v>0</v>
      </c>
      <c r="J24" s="408" t="n">
        <f aca="true">IFERROR(INDIRECT("'" &amp; $B24 &amp; "'!" &amp; J$1),0)</f>
        <v>0</v>
      </c>
      <c r="K24" s="409" t="n">
        <f aca="true">IFERROR(INDIRECT("'" &amp; $B24 &amp; "'!" &amp; K$1),0)</f>
        <v>0</v>
      </c>
      <c r="L24" s="409" t="n">
        <f aca="true">IFERROR(INDIRECT("'" &amp; $B24 &amp; "'!" &amp; L$1),0)</f>
        <v>0</v>
      </c>
      <c r="M24" s="410" t="n">
        <f aca="true">IFERROR(INDIRECT("'" &amp; $B24 &amp; "'!" &amp; M$1),0)</f>
        <v>0</v>
      </c>
      <c r="N24" s="409" t="n">
        <f aca="false">SUMIFS('UW Drivers'!$AC$9:$AC$38,'UW Drivers'!$D$9:$D$38, 'SSP UW Summary'!$D24)</f>
        <v>0</v>
      </c>
      <c r="O24" s="406" t="n">
        <f aca="true">IFERROR(INDIRECT("'" &amp; $B24 &amp; "'!" &amp; O$1),0)</f>
        <v>0</v>
      </c>
      <c r="P24" s="408" t="n">
        <f aca="true">IFERROR(INDIRECT("'" &amp; $B24 &amp; "'!" &amp; P$1),0)</f>
        <v>0</v>
      </c>
      <c r="Q24" s="409" t="n">
        <f aca="false">SUMIFS('UW Drivers'!$AD$9:$AD$38,'UW Drivers'!$D$9:$D$38, 'SSP UW Summary'!D24)</f>
        <v>0</v>
      </c>
      <c r="R24" s="409" t="n">
        <f aca="false">IFERROR(Q24/G24,0)</f>
        <v>0</v>
      </c>
      <c r="S24" s="411" t="n">
        <f aca="false">IFERROR(O24/$O$36,0)</f>
        <v>0</v>
      </c>
      <c r="T24" s="409" t="n">
        <f aca="false">SUMIFS('UW Drivers'!$W$9:$W$38,'UW Drivers'!$D$9:$D$38,'SSP UW Summary'!D24)</f>
        <v>0</v>
      </c>
      <c r="U24" s="408" t="n">
        <f aca="false">SUMIFS('UW Drivers'!$Y$9:$Y$38,'UW Drivers'!$D$9:$D$38,'SSP UW Summary'!D24)</f>
        <v>0</v>
      </c>
      <c r="V24" s="409" t="n">
        <f aca="false">SUMIFS('UW Drivers'!$AE$9:$AE$38,'UW Drivers'!$D$9:$D$38,D24)</f>
        <v>0</v>
      </c>
      <c r="W24" s="409" t="n">
        <f aca="false">IFERROR(V24/G24,0)</f>
        <v>0</v>
      </c>
      <c r="X24" s="411" t="n">
        <f aca="false">IFERROR(T24/$T$36,0)</f>
        <v>0</v>
      </c>
      <c r="AA24" s="381" t="n">
        <f aca="true">IFERROR(INDIRECT("'" &amp; $B24 &amp; "'!" &amp; AA$1),0)</f>
        <v>0</v>
      </c>
      <c r="AC24" s="355"/>
    </row>
    <row r="25" customFormat="false" ht="15.75" hidden="false" customHeight="true" outlineLevel="0" collapsed="false">
      <c r="B25" s="358" t="n">
        <f aca="false">IFERROR(INDEX('UW Drivers'!$C$9:$C$38,MATCH('SSP UW Summary'!$D25,'UW Drivers'!$D$9:$D$38,0)),0)</f>
        <v>1</v>
      </c>
      <c r="D25" s="403" t="str">
        <f aca="false">'UW Drivers'!D28</f>
        <v/>
      </c>
      <c r="E25" s="404" t="str">
        <f aca="false">IFERROR(INDEX($G$42:$G$71,MATCH(D25,$D$42:$D$71,0)),"")</f>
        <v/>
      </c>
      <c r="F25" s="404" t="str">
        <f aca="false">IFERROR(INDEX($H$42:$H$71,MATCH(D25,$D$42:$D$71,0)),"")</f>
        <v/>
      </c>
      <c r="G25" s="405" t="n">
        <f aca="false">SUMIFS(Tape!$M$7:$M$36,Tape!$C$7:$C$36,'SSP UW Summary'!D25)</f>
        <v>0</v>
      </c>
      <c r="H25" s="406" t="n">
        <f aca="true">IFERROR(INDIRECT("'" &amp; $B25 &amp; "'!" &amp; H$1),0)</f>
        <v>0</v>
      </c>
      <c r="I25" s="407" t="n">
        <f aca="true">IFERROR(INDIRECT("'" &amp; $B25 &amp; "'!" &amp; I$1),0)</f>
        <v>0</v>
      </c>
      <c r="J25" s="408" t="n">
        <f aca="true">IFERROR(INDIRECT("'" &amp; $B25 &amp; "'!" &amp; J$1),0)</f>
        <v>0</v>
      </c>
      <c r="K25" s="409" t="n">
        <f aca="true">IFERROR(INDIRECT("'" &amp; $B25 &amp; "'!" &amp; K$1),0)</f>
        <v>0</v>
      </c>
      <c r="L25" s="409" t="n">
        <f aca="true">IFERROR(INDIRECT("'" &amp; $B25 &amp; "'!" &amp; L$1),0)</f>
        <v>0</v>
      </c>
      <c r="M25" s="410" t="n">
        <f aca="true">IFERROR(INDIRECT("'" &amp; $B25 &amp; "'!" &amp; M$1),0)</f>
        <v>0</v>
      </c>
      <c r="N25" s="409" t="n">
        <f aca="false">SUMIFS('UW Drivers'!$AC$9:$AC$38,'UW Drivers'!$D$9:$D$38, 'SSP UW Summary'!$D25)</f>
        <v>0</v>
      </c>
      <c r="O25" s="406" t="n">
        <f aca="true">IFERROR(INDIRECT("'" &amp; $B25 &amp; "'!" &amp; O$1),0)</f>
        <v>0</v>
      </c>
      <c r="P25" s="408" t="n">
        <f aca="true">IFERROR(INDIRECT("'" &amp; $B25 &amp; "'!" &amp; P$1),0)</f>
        <v>0</v>
      </c>
      <c r="Q25" s="409" t="n">
        <f aca="false">SUMIFS('UW Drivers'!$AD$9:$AD$38,'UW Drivers'!$D$9:$D$38, 'SSP UW Summary'!D25)</f>
        <v>0</v>
      </c>
      <c r="R25" s="409" t="n">
        <f aca="false">IFERROR(Q25/G25,0)</f>
        <v>0</v>
      </c>
      <c r="S25" s="411" t="n">
        <f aca="false">IFERROR(O25/$O$36,0)</f>
        <v>0</v>
      </c>
      <c r="T25" s="409" t="n">
        <f aca="false">SUMIFS('UW Drivers'!$W$9:$W$38,'UW Drivers'!$D$9:$D$38,'SSP UW Summary'!D25)</f>
        <v>0</v>
      </c>
      <c r="U25" s="408" t="n">
        <f aca="false">SUMIFS('UW Drivers'!$Y$9:$Y$38,'UW Drivers'!$D$9:$D$38,'SSP UW Summary'!D25)</f>
        <v>0</v>
      </c>
      <c r="V25" s="409" t="n">
        <f aca="false">SUMIFS('UW Drivers'!$AE$9:$AE$38,'UW Drivers'!$D$9:$D$38,D25)</f>
        <v>0</v>
      </c>
      <c r="W25" s="409" t="n">
        <f aca="false">IFERROR(V25/G25,0)</f>
        <v>0</v>
      </c>
      <c r="X25" s="411" t="n">
        <f aca="false">IFERROR(T25/$T$36,0)</f>
        <v>0</v>
      </c>
      <c r="AA25" s="381" t="n">
        <f aca="true">IFERROR(INDIRECT("'" &amp; $B25 &amp; "'!" &amp; AA$1),0)</f>
        <v>0</v>
      </c>
      <c r="AC25" s="355"/>
    </row>
    <row r="26" customFormat="false" ht="15.75" hidden="false" customHeight="true" outlineLevel="0" collapsed="false">
      <c r="B26" s="358" t="n">
        <f aca="false">IFERROR(INDEX('UW Drivers'!$C$9:$C$38,MATCH('SSP UW Summary'!$D26,'UW Drivers'!$D$9:$D$38,0)),0)</f>
        <v>1</v>
      </c>
      <c r="D26" s="403" t="str">
        <f aca="false">'UW Drivers'!D29</f>
        <v/>
      </c>
      <c r="E26" s="404" t="str">
        <f aca="false">IFERROR(INDEX($G$42:$G$71,MATCH(D26,$D$42:$D$71,0)),"")</f>
        <v/>
      </c>
      <c r="F26" s="404" t="str">
        <f aca="false">IFERROR(INDEX($H$42:$H$71,MATCH(D26,$D$42:$D$71,0)),"")</f>
        <v/>
      </c>
      <c r="G26" s="405" t="n">
        <f aca="false">SUMIFS(Tape!$M$7:$M$36,Tape!$C$7:$C$36,'SSP UW Summary'!D26)</f>
        <v>0</v>
      </c>
      <c r="H26" s="406" t="n">
        <f aca="true">IFERROR(INDIRECT("'" &amp; $B26 &amp; "'!" &amp; H$1),0)</f>
        <v>0</v>
      </c>
      <c r="I26" s="407" t="n">
        <f aca="true">IFERROR(INDIRECT("'" &amp; $B26 &amp; "'!" &amp; I$1),0)</f>
        <v>0</v>
      </c>
      <c r="J26" s="408" t="n">
        <f aca="true">IFERROR(INDIRECT("'" &amp; $B26 &amp; "'!" &amp; J$1),0)</f>
        <v>0</v>
      </c>
      <c r="K26" s="409" t="n">
        <f aca="true">IFERROR(INDIRECT("'" &amp; $B26 &amp; "'!" &amp; K$1),0)</f>
        <v>0</v>
      </c>
      <c r="L26" s="409" t="n">
        <f aca="true">IFERROR(INDIRECT("'" &amp; $B26 &amp; "'!" &amp; L$1),0)</f>
        <v>0</v>
      </c>
      <c r="M26" s="410" t="n">
        <f aca="true">IFERROR(INDIRECT("'" &amp; $B26 &amp; "'!" &amp; M$1),0)</f>
        <v>0</v>
      </c>
      <c r="N26" s="409" t="n">
        <f aca="false">SUMIFS('UW Drivers'!$AC$9:$AC$38,'UW Drivers'!$D$9:$D$38, 'SSP UW Summary'!$D26)</f>
        <v>0</v>
      </c>
      <c r="O26" s="406" t="n">
        <f aca="true">IFERROR(INDIRECT("'" &amp; $B26 &amp; "'!" &amp; O$1),0)</f>
        <v>0</v>
      </c>
      <c r="P26" s="408" t="n">
        <f aca="true">IFERROR(INDIRECT("'" &amp; $B26 &amp; "'!" &amp; P$1),0)</f>
        <v>0</v>
      </c>
      <c r="Q26" s="409" t="n">
        <f aca="false">SUMIFS('UW Drivers'!$AD$9:$AD$38,'UW Drivers'!$D$9:$D$38, 'SSP UW Summary'!D26)</f>
        <v>0</v>
      </c>
      <c r="R26" s="409" t="n">
        <f aca="false">IFERROR(Q26/G26,0)</f>
        <v>0</v>
      </c>
      <c r="S26" s="411" t="n">
        <f aca="false">IFERROR(O26/$O$36,0)</f>
        <v>0</v>
      </c>
      <c r="T26" s="409" t="n">
        <f aca="false">SUMIFS('UW Drivers'!$W$9:$W$38,'UW Drivers'!$D$9:$D$38,'SSP UW Summary'!D26)</f>
        <v>0</v>
      </c>
      <c r="U26" s="408" t="n">
        <f aca="false">SUMIFS('UW Drivers'!$Y$9:$Y$38,'UW Drivers'!$D$9:$D$38,'SSP UW Summary'!D26)</f>
        <v>0</v>
      </c>
      <c r="V26" s="409" t="n">
        <f aca="false">SUMIFS('UW Drivers'!$AE$9:$AE$38,'UW Drivers'!$D$9:$D$38,D26)</f>
        <v>0</v>
      </c>
      <c r="W26" s="409" t="n">
        <f aca="false">IFERROR(V26/G26,0)</f>
        <v>0</v>
      </c>
      <c r="X26" s="411" t="n">
        <f aca="false">IFERROR(T26/$T$36,0)</f>
        <v>0</v>
      </c>
      <c r="AA26" s="381" t="n">
        <f aca="true">IFERROR(INDIRECT("'" &amp; $B26 &amp; "'!" &amp; AA$1),0)</f>
        <v>0</v>
      </c>
      <c r="AC26" s="355"/>
    </row>
    <row r="27" customFormat="false" ht="15.75" hidden="false" customHeight="true" outlineLevel="0" collapsed="false">
      <c r="B27" s="358" t="n">
        <f aca="false">IFERROR(INDEX('UW Drivers'!$C$9:$C$38,MATCH('SSP UW Summary'!$D27,'UW Drivers'!$D$9:$D$38,0)),0)</f>
        <v>1</v>
      </c>
      <c r="D27" s="403" t="str">
        <f aca="false">'UW Drivers'!D30</f>
        <v/>
      </c>
      <c r="E27" s="404" t="str">
        <f aca="false">IFERROR(INDEX($G$42:$G$71,MATCH(D27,$D$42:$D$71,0)),"")</f>
        <v/>
      </c>
      <c r="F27" s="404" t="str">
        <f aca="false">IFERROR(INDEX($H$42:$H$71,MATCH(D27,$D$42:$D$71,0)),"")</f>
        <v/>
      </c>
      <c r="G27" s="405" t="n">
        <f aca="false">SUMIFS(Tape!$M$7:$M$36,Tape!$C$7:$C$36,'SSP UW Summary'!D27)</f>
        <v>0</v>
      </c>
      <c r="H27" s="406" t="n">
        <f aca="true">IFERROR(INDIRECT("'" &amp; $B27 &amp; "'!" &amp; H$1),0)</f>
        <v>0</v>
      </c>
      <c r="I27" s="407" t="n">
        <f aca="true">IFERROR(INDIRECT("'" &amp; $B27 &amp; "'!" &amp; I$1),0)</f>
        <v>0</v>
      </c>
      <c r="J27" s="408" t="n">
        <f aca="true">IFERROR(INDIRECT("'" &amp; $B27 &amp; "'!" &amp; J$1),0)</f>
        <v>0</v>
      </c>
      <c r="K27" s="409" t="n">
        <f aca="true">IFERROR(INDIRECT("'" &amp; $B27 &amp; "'!" &amp; K$1),0)</f>
        <v>0</v>
      </c>
      <c r="L27" s="409" t="n">
        <f aca="true">IFERROR(INDIRECT("'" &amp; $B27 &amp; "'!" &amp; L$1),0)</f>
        <v>0</v>
      </c>
      <c r="M27" s="410" t="n">
        <f aca="true">IFERROR(INDIRECT("'" &amp; $B27 &amp; "'!" &amp; M$1),0)</f>
        <v>0</v>
      </c>
      <c r="N27" s="409" t="n">
        <f aca="false">SUMIFS('UW Drivers'!$AC$9:$AC$38,'UW Drivers'!$D$9:$D$38, 'SSP UW Summary'!$D27)</f>
        <v>0</v>
      </c>
      <c r="O27" s="406" t="n">
        <f aca="true">IFERROR(INDIRECT("'" &amp; $B27 &amp; "'!" &amp; O$1),0)</f>
        <v>0</v>
      </c>
      <c r="P27" s="408" t="n">
        <f aca="true">IFERROR(INDIRECT("'" &amp; $B27 &amp; "'!" &amp; P$1),0)</f>
        <v>0</v>
      </c>
      <c r="Q27" s="409" t="n">
        <f aca="false">SUMIFS('UW Drivers'!$AD$9:$AD$38,'UW Drivers'!$D$9:$D$38, 'SSP UW Summary'!D27)</f>
        <v>0</v>
      </c>
      <c r="R27" s="409" t="n">
        <f aca="false">IFERROR(Q27/G27,0)</f>
        <v>0</v>
      </c>
      <c r="S27" s="411" t="n">
        <f aca="false">IFERROR(O27/$O$36,0)</f>
        <v>0</v>
      </c>
      <c r="T27" s="409" t="n">
        <f aca="false">SUMIFS('UW Drivers'!$W$9:$W$38,'UW Drivers'!$D$9:$D$38,'SSP UW Summary'!D27)</f>
        <v>0</v>
      </c>
      <c r="U27" s="408" t="n">
        <f aca="false">SUMIFS('UW Drivers'!$Y$9:$Y$38,'UW Drivers'!$D$9:$D$38,'SSP UW Summary'!D27)</f>
        <v>0</v>
      </c>
      <c r="V27" s="409" t="n">
        <f aca="false">SUMIFS('UW Drivers'!$AE$9:$AE$38,'UW Drivers'!$D$9:$D$38,D27)</f>
        <v>0</v>
      </c>
      <c r="W27" s="409" t="n">
        <f aca="false">IFERROR(V27/G27,0)</f>
        <v>0</v>
      </c>
      <c r="X27" s="411" t="n">
        <f aca="false">IFERROR(T27/$T$36,0)</f>
        <v>0</v>
      </c>
      <c r="AA27" s="381" t="n">
        <f aca="true">IFERROR(INDIRECT("'" &amp; $B27 &amp; "'!" &amp; AA$1),0)</f>
        <v>0</v>
      </c>
      <c r="AC27" s="355"/>
    </row>
    <row r="28" customFormat="false" ht="15.75" hidden="false" customHeight="true" outlineLevel="0" collapsed="false">
      <c r="B28" s="358" t="n">
        <f aca="false">IFERROR(INDEX('UW Drivers'!$C$9:$C$38,MATCH('SSP UW Summary'!$D28,'UW Drivers'!$D$9:$D$38,0)),0)</f>
        <v>1</v>
      </c>
      <c r="D28" s="403" t="str">
        <f aca="false">'UW Drivers'!D31</f>
        <v/>
      </c>
      <c r="E28" s="404" t="str">
        <f aca="false">IFERROR(INDEX($G$42:$G$71,MATCH(D28,$D$42:$D$71,0)),"")</f>
        <v/>
      </c>
      <c r="F28" s="404" t="str">
        <f aca="false">IFERROR(INDEX($H$42:$H$71,MATCH(D28,$D$42:$D$71,0)),"")</f>
        <v/>
      </c>
      <c r="G28" s="405" t="n">
        <f aca="false">SUMIFS(Tape!$M$7:$M$36,Tape!$C$7:$C$36,'SSP UW Summary'!D28)</f>
        <v>0</v>
      </c>
      <c r="H28" s="406" t="n">
        <f aca="true">IFERROR(INDIRECT("'" &amp; $B28 &amp; "'!" &amp; H$1),0)</f>
        <v>0</v>
      </c>
      <c r="I28" s="407" t="n">
        <f aca="true">IFERROR(INDIRECT("'" &amp; $B28 &amp; "'!" &amp; I$1),0)</f>
        <v>0</v>
      </c>
      <c r="J28" s="408" t="n">
        <f aca="true">IFERROR(INDIRECT("'" &amp; $B28 &amp; "'!" &amp; J$1),0)</f>
        <v>0</v>
      </c>
      <c r="K28" s="409" t="n">
        <f aca="true">IFERROR(INDIRECT("'" &amp; $B28 &amp; "'!" &amp; K$1),0)</f>
        <v>0</v>
      </c>
      <c r="L28" s="409" t="n">
        <f aca="true">IFERROR(INDIRECT("'" &amp; $B28 &amp; "'!" &amp; L$1),0)</f>
        <v>0</v>
      </c>
      <c r="M28" s="410" t="n">
        <f aca="true">IFERROR(INDIRECT("'" &amp; $B28 &amp; "'!" &amp; M$1),0)</f>
        <v>0</v>
      </c>
      <c r="N28" s="409" t="n">
        <f aca="false">SUMIFS('UW Drivers'!$AC$9:$AC$38,'UW Drivers'!$D$9:$D$38, 'SSP UW Summary'!$D28)</f>
        <v>0</v>
      </c>
      <c r="O28" s="406" t="n">
        <f aca="true">IFERROR(INDIRECT("'" &amp; $B28 &amp; "'!" &amp; O$1),0)</f>
        <v>0</v>
      </c>
      <c r="P28" s="408" t="n">
        <f aca="true">IFERROR(INDIRECT("'" &amp; $B28 &amp; "'!" &amp; P$1),0)</f>
        <v>0</v>
      </c>
      <c r="Q28" s="409" t="n">
        <f aca="false">SUMIFS('UW Drivers'!$AD$9:$AD$38,'UW Drivers'!$D$9:$D$38, 'SSP UW Summary'!D28)</f>
        <v>0</v>
      </c>
      <c r="R28" s="409" t="n">
        <f aca="false">IFERROR(Q28/G28,0)</f>
        <v>0</v>
      </c>
      <c r="S28" s="411" t="n">
        <f aca="false">IFERROR(O28/$O$36,0)</f>
        <v>0</v>
      </c>
      <c r="T28" s="409" t="n">
        <f aca="false">SUMIFS('UW Drivers'!$W$9:$W$38,'UW Drivers'!$D$9:$D$38,'SSP UW Summary'!D28)</f>
        <v>0</v>
      </c>
      <c r="U28" s="408" t="n">
        <f aca="false">SUMIFS('UW Drivers'!$Y$9:$Y$38,'UW Drivers'!$D$9:$D$38,'SSP UW Summary'!D28)</f>
        <v>0</v>
      </c>
      <c r="V28" s="409" t="n">
        <f aca="false">SUMIFS('UW Drivers'!$AE$9:$AE$38,'UW Drivers'!$D$9:$D$38,D28)</f>
        <v>0</v>
      </c>
      <c r="W28" s="409" t="n">
        <f aca="false">IFERROR(V28/G28,0)</f>
        <v>0</v>
      </c>
      <c r="X28" s="411" t="n">
        <f aca="false">IFERROR(T28/$T$36,0)</f>
        <v>0</v>
      </c>
      <c r="AA28" s="381" t="n">
        <f aca="true">IFERROR(INDIRECT("'" &amp; $B28 &amp; "'!" &amp; AA$1),0)</f>
        <v>0</v>
      </c>
      <c r="AC28" s="355"/>
    </row>
    <row r="29" customFormat="false" ht="15.75" hidden="false" customHeight="true" outlineLevel="0" collapsed="false">
      <c r="B29" s="358" t="n">
        <f aca="false">IFERROR(INDEX('UW Drivers'!$C$9:$C$38,MATCH('SSP UW Summary'!$D29,'UW Drivers'!$D$9:$D$38,0)),0)</f>
        <v>1</v>
      </c>
      <c r="D29" s="403" t="str">
        <f aca="false">'UW Drivers'!D32</f>
        <v/>
      </c>
      <c r="E29" s="404" t="str">
        <f aca="false">IFERROR(INDEX($G$42:$G$71,MATCH(D29,$D$42:$D$71,0)),"")</f>
        <v/>
      </c>
      <c r="F29" s="404" t="str">
        <f aca="false">IFERROR(INDEX($H$42:$H$71,MATCH(D29,$D$42:$D$71,0)),"")</f>
        <v/>
      </c>
      <c r="G29" s="405" t="n">
        <f aca="false">SUMIFS(Tape!$M$7:$M$36,Tape!$C$7:$C$36,'SSP UW Summary'!D29)</f>
        <v>0</v>
      </c>
      <c r="H29" s="406" t="n">
        <f aca="true">IFERROR(INDIRECT("'" &amp; $B29 &amp; "'!" &amp; H$1),0)</f>
        <v>0</v>
      </c>
      <c r="I29" s="407" t="n">
        <f aca="true">IFERROR(INDIRECT("'" &amp; $B29 &amp; "'!" &amp; I$1),0)</f>
        <v>0</v>
      </c>
      <c r="J29" s="408" t="n">
        <f aca="true">IFERROR(INDIRECT("'" &amp; $B29 &amp; "'!" &amp; J$1),0)</f>
        <v>0</v>
      </c>
      <c r="K29" s="409" t="n">
        <f aca="true">IFERROR(INDIRECT("'" &amp; $B29 &amp; "'!" &amp; K$1),0)</f>
        <v>0</v>
      </c>
      <c r="L29" s="409" t="n">
        <f aca="true">IFERROR(INDIRECT("'" &amp; $B29 &amp; "'!" &amp; L$1),0)</f>
        <v>0</v>
      </c>
      <c r="M29" s="410" t="n">
        <f aca="true">IFERROR(INDIRECT("'" &amp; $B29 &amp; "'!" &amp; M$1),0)</f>
        <v>0</v>
      </c>
      <c r="N29" s="409" t="n">
        <f aca="false">SUMIFS('UW Drivers'!$AC$9:$AC$38,'UW Drivers'!$D$9:$D$38, 'SSP UW Summary'!$D29)</f>
        <v>0</v>
      </c>
      <c r="O29" s="406" t="n">
        <f aca="true">IFERROR(INDIRECT("'" &amp; $B29 &amp; "'!" &amp; O$1),0)</f>
        <v>0</v>
      </c>
      <c r="P29" s="408" t="n">
        <f aca="true">IFERROR(INDIRECT("'" &amp; $B29 &amp; "'!" &amp; P$1),0)</f>
        <v>0</v>
      </c>
      <c r="Q29" s="409" t="n">
        <f aca="false">SUMIFS('UW Drivers'!$AD$9:$AD$38,'UW Drivers'!$D$9:$D$38, 'SSP UW Summary'!D29)</f>
        <v>0</v>
      </c>
      <c r="R29" s="409" t="n">
        <f aca="false">IFERROR(Q29/G29,0)</f>
        <v>0</v>
      </c>
      <c r="S29" s="411" t="n">
        <f aca="false">IFERROR(O29/$O$36,0)</f>
        <v>0</v>
      </c>
      <c r="T29" s="409" t="n">
        <f aca="false">SUMIFS('UW Drivers'!$W$9:$W$38,'UW Drivers'!$D$9:$D$38,'SSP UW Summary'!D29)</f>
        <v>0</v>
      </c>
      <c r="U29" s="408" t="n">
        <f aca="false">SUMIFS('UW Drivers'!$Y$9:$Y$38,'UW Drivers'!$D$9:$D$38,'SSP UW Summary'!D29)</f>
        <v>0</v>
      </c>
      <c r="V29" s="409" t="n">
        <f aca="false">SUMIFS('UW Drivers'!$AE$9:$AE$38,'UW Drivers'!$D$9:$D$38,D29)</f>
        <v>0</v>
      </c>
      <c r="W29" s="409" t="n">
        <f aca="false">IFERROR(V29/G29,0)</f>
        <v>0</v>
      </c>
      <c r="X29" s="411" t="n">
        <f aca="false">IFERROR(T29/$T$36,0)</f>
        <v>0</v>
      </c>
      <c r="AA29" s="381" t="n">
        <f aca="true">IFERROR(INDIRECT("'" &amp; $B29 &amp; "'!" &amp; AA$1),0)</f>
        <v>0</v>
      </c>
      <c r="AC29" s="355"/>
    </row>
    <row r="30" customFormat="false" ht="15.75" hidden="false" customHeight="true" outlineLevel="0" collapsed="false">
      <c r="B30" s="358" t="n">
        <f aca="false">IFERROR(INDEX('UW Drivers'!$C$9:$C$38,MATCH('SSP UW Summary'!$D30,'UW Drivers'!$D$9:$D$38,0)),0)</f>
        <v>1</v>
      </c>
      <c r="D30" s="403" t="str">
        <f aca="false">'UW Drivers'!D33</f>
        <v/>
      </c>
      <c r="E30" s="404" t="str">
        <f aca="false">IFERROR(INDEX($G$42:$G$71,MATCH(D30,$D$42:$D$71,0)),"")</f>
        <v/>
      </c>
      <c r="F30" s="404" t="str">
        <f aca="false">IFERROR(INDEX($H$42:$H$71,MATCH(D30,$D$42:$D$71,0)),"")</f>
        <v/>
      </c>
      <c r="G30" s="405" t="n">
        <f aca="false">SUMIFS(Tape!$M$7:$M$36,Tape!$C$7:$C$36,'SSP UW Summary'!D30)</f>
        <v>0</v>
      </c>
      <c r="H30" s="406" t="n">
        <f aca="true">IFERROR(INDIRECT("'" &amp; $B30 &amp; "'!" &amp; H$1),0)</f>
        <v>0</v>
      </c>
      <c r="I30" s="407" t="n">
        <f aca="true">IFERROR(INDIRECT("'" &amp; $B30 &amp; "'!" &amp; I$1),0)</f>
        <v>0</v>
      </c>
      <c r="J30" s="408" t="n">
        <f aca="true">IFERROR(INDIRECT("'" &amp; $B30 &amp; "'!" &amp; J$1),0)</f>
        <v>0</v>
      </c>
      <c r="K30" s="409" t="n">
        <f aca="true">IFERROR(INDIRECT("'" &amp; $B30 &amp; "'!" &amp; K$1),0)</f>
        <v>0</v>
      </c>
      <c r="L30" s="409" t="n">
        <f aca="true">IFERROR(INDIRECT("'" &amp; $B30 &amp; "'!" &amp; L$1),0)</f>
        <v>0</v>
      </c>
      <c r="M30" s="410" t="n">
        <f aca="true">IFERROR(INDIRECT("'" &amp; $B30 &amp; "'!" &amp; M$1),0)</f>
        <v>0</v>
      </c>
      <c r="N30" s="409" t="n">
        <f aca="false">SUMIFS('UW Drivers'!$AC$9:$AC$38,'UW Drivers'!$D$9:$D$38, 'SSP UW Summary'!$D30)</f>
        <v>0</v>
      </c>
      <c r="O30" s="406" t="n">
        <f aca="true">IFERROR(INDIRECT("'" &amp; $B30 &amp; "'!" &amp; O$1),0)</f>
        <v>0</v>
      </c>
      <c r="P30" s="408" t="n">
        <f aca="true">IFERROR(INDIRECT("'" &amp; $B30 &amp; "'!" &amp; P$1),0)</f>
        <v>0</v>
      </c>
      <c r="Q30" s="409" t="n">
        <f aca="false">SUMIFS('UW Drivers'!$AD$9:$AD$38,'UW Drivers'!$D$9:$D$38, 'SSP UW Summary'!D30)</f>
        <v>0</v>
      </c>
      <c r="R30" s="409" t="n">
        <f aca="false">IFERROR(Q30/G30,0)</f>
        <v>0</v>
      </c>
      <c r="S30" s="411" t="n">
        <f aca="false">IFERROR(O30/$O$36,0)</f>
        <v>0</v>
      </c>
      <c r="T30" s="409" t="n">
        <f aca="false">SUMIFS('UW Drivers'!$W$9:$W$38,'UW Drivers'!$D$9:$D$38,'SSP UW Summary'!D30)</f>
        <v>0</v>
      </c>
      <c r="U30" s="408" t="n">
        <f aca="false">SUMIFS('UW Drivers'!$Y$9:$Y$38,'UW Drivers'!$D$9:$D$38,'SSP UW Summary'!D30)</f>
        <v>0</v>
      </c>
      <c r="V30" s="409" t="n">
        <f aca="false">SUMIFS('UW Drivers'!$AE$9:$AE$38,'UW Drivers'!$D$9:$D$38,D30)</f>
        <v>0</v>
      </c>
      <c r="W30" s="409" t="n">
        <f aca="false">IFERROR(V30/G30,0)</f>
        <v>0</v>
      </c>
      <c r="X30" s="411" t="n">
        <f aca="false">IFERROR(T30/$T$36,0)</f>
        <v>0</v>
      </c>
      <c r="AA30" s="381" t="n">
        <f aca="true">IFERROR(INDIRECT("'" &amp; $B30 &amp; "'!" &amp; AA$1),0)</f>
        <v>0</v>
      </c>
      <c r="AC30" s="355"/>
    </row>
    <row r="31" customFormat="false" ht="15.75" hidden="false" customHeight="true" outlineLevel="0" collapsed="false">
      <c r="B31" s="358" t="n">
        <f aca="false">IFERROR(INDEX('UW Drivers'!$C$9:$C$38,MATCH('SSP UW Summary'!$D31,'UW Drivers'!$D$9:$D$38,0)),0)</f>
        <v>1</v>
      </c>
      <c r="D31" s="403" t="str">
        <f aca="false">'UW Drivers'!D34</f>
        <v/>
      </c>
      <c r="E31" s="404" t="str">
        <f aca="false">IFERROR(INDEX($G$42:$G$71,MATCH(D31,$D$42:$D$71,0)),"")</f>
        <v/>
      </c>
      <c r="F31" s="404" t="str">
        <f aca="false">IFERROR(INDEX($H$42:$H$71,MATCH(D31,$D$42:$D$71,0)),"")</f>
        <v/>
      </c>
      <c r="G31" s="405" t="n">
        <f aca="false">SUMIFS(Tape!$M$7:$M$36,Tape!$C$7:$C$36,'SSP UW Summary'!D31)</f>
        <v>0</v>
      </c>
      <c r="H31" s="406" t="n">
        <f aca="true">IFERROR(INDIRECT("'" &amp; $B31 &amp; "'!" &amp; H$1),0)</f>
        <v>0</v>
      </c>
      <c r="I31" s="407" t="n">
        <f aca="true">IFERROR(INDIRECT("'" &amp; $B31 &amp; "'!" &amp; I$1),0)</f>
        <v>0</v>
      </c>
      <c r="J31" s="408" t="n">
        <f aca="true">IFERROR(INDIRECT("'" &amp; $B31 &amp; "'!" &amp; J$1),0)</f>
        <v>0</v>
      </c>
      <c r="K31" s="409" t="n">
        <f aca="true">IFERROR(INDIRECT("'" &amp; $B31 &amp; "'!" &amp; K$1),0)</f>
        <v>0</v>
      </c>
      <c r="L31" s="409" t="n">
        <f aca="true">IFERROR(INDIRECT("'" &amp; $B31 &amp; "'!" &amp; L$1),0)</f>
        <v>0</v>
      </c>
      <c r="M31" s="410" t="n">
        <f aca="true">IFERROR(INDIRECT("'" &amp; $B31 &amp; "'!" &amp; M$1),0)</f>
        <v>0</v>
      </c>
      <c r="N31" s="409" t="n">
        <f aca="false">SUMIFS('UW Drivers'!$AC$9:$AC$38,'UW Drivers'!$D$9:$D$38, 'SSP UW Summary'!$D31)</f>
        <v>0</v>
      </c>
      <c r="O31" s="406" t="n">
        <f aca="true">IFERROR(INDIRECT("'" &amp; $B31 &amp; "'!" &amp; O$1),0)</f>
        <v>0</v>
      </c>
      <c r="P31" s="408" t="n">
        <f aca="true">IFERROR(INDIRECT("'" &amp; $B31 &amp; "'!" &amp; P$1),0)</f>
        <v>0</v>
      </c>
      <c r="Q31" s="409" t="n">
        <f aca="false">SUMIFS('UW Drivers'!$AD$9:$AD$38,'UW Drivers'!$D$9:$D$38, 'SSP UW Summary'!D31)</f>
        <v>0</v>
      </c>
      <c r="R31" s="409" t="n">
        <f aca="false">IFERROR(Q31/G31,0)</f>
        <v>0</v>
      </c>
      <c r="S31" s="411" t="n">
        <f aca="false">IFERROR(O31/$O$36,0)</f>
        <v>0</v>
      </c>
      <c r="T31" s="409" t="n">
        <f aca="false">SUMIFS('UW Drivers'!$W$9:$W$38,'UW Drivers'!$D$9:$D$38,'SSP UW Summary'!D31)</f>
        <v>0</v>
      </c>
      <c r="U31" s="408" t="n">
        <f aca="false">SUMIFS('UW Drivers'!$Y$9:$Y$38,'UW Drivers'!$D$9:$D$38,'SSP UW Summary'!D31)</f>
        <v>0</v>
      </c>
      <c r="V31" s="409" t="n">
        <f aca="false">SUMIFS('UW Drivers'!$AE$9:$AE$38,'UW Drivers'!$D$9:$D$38,D31)</f>
        <v>0</v>
      </c>
      <c r="W31" s="409" t="n">
        <f aca="false">IFERROR(V31/G31,0)</f>
        <v>0</v>
      </c>
      <c r="X31" s="411" t="n">
        <f aca="false">IFERROR(T31/$T$36,0)</f>
        <v>0</v>
      </c>
      <c r="AA31" s="381" t="n">
        <f aca="true">IFERROR(INDIRECT("'" &amp; $B31 &amp; "'!" &amp; AA$1),0)</f>
        <v>0</v>
      </c>
      <c r="AC31" s="355"/>
    </row>
    <row r="32" customFormat="false" ht="15.75" hidden="false" customHeight="true" outlineLevel="0" collapsed="false">
      <c r="B32" s="358" t="n">
        <f aca="false">IFERROR(INDEX('UW Drivers'!$C$9:$C$38,MATCH('SSP UW Summary'!$D32,'UW Drivers'!$D$9:$D$38,0)),0)</f>
        <v>1</v>
      </c>
      <c r="D32" s="403" t="str">
        <f aca="false">'UW Drivers'!D35</f>
        <v/>
      </c>
      <c r="E32" s="404" t="str">
        <f aca="false">IFERROR(INDEX($G$42:$G$71,MATCH(D32,$D$42:$D$71,0)),"")</f>
        <v/>
      </c>
      <c r="F32" s="404" t="str">
        <f aca="false">IFERROR(INDEX($H$42:$H$71,MATCH(D32,$D$42:$D$71,0)),"")</f>
        <v/>
      </c>
      <c r="G32" s="405" t="n">
        <f aca="false">SUMIFS(Tape!$M$7:$M$36,Tape!$C$7:$C$36,'SSP UW Summary'!D32)</f>
        <v>0</v>
      </c>
      <c r="H32" s="406" t="n">
        <f aca="true">IFERROR(INDIRECT("'" &amp; $B32 &amp; "'!" &amp; H$1),0)</f>
        <v>0</v>
      </c>
      <c r="I32" s="407" t="n">
        <f aca="true">IFERROR(INDIRECT("'" &amp; $B32 &amp; "'!" &amp; I$1),0)</f>
        <v>0</v>
      </c>
      <c r="J32" s="408" t="n">
        <f aca="true">IFERROR(INDIRECT("'" &amp; $B32 &amp; "'!" &amp; J$1),0)</f>
        <v>0</v>
      </c>
      <c r="K32" s="409" t="n">
        <f aca="true">IFERROR(INDIRECT("'" &amp; $B32 &amp; "'!" &amp; K$1),0)</f>
        <v>0</v>
      </c>
      <c r="L32" s="409" t="n">
        <f aca="true">IFERROR(INDIRECT("'" &amp; $B32 &amp; "'!" &amp; L$1),0)</f>
        <v>0</v>
      </c>
      <c r="M32" s="410" t="n">
        <f aca="true">IFERROR(INDIRECT("'" &amp; $B32 &amp; "'!" &amp; M$1),0)</f>
        <v>0</v>
      </c>
      <c r="N32" s="409" t="n">
        <f aca="false">SUMIFS('UW Drivers'!$AC$9:$AC$38,'UW Drivers'!$D$9:$D$38, 'SSP UW Summary'!$D32)</f>
        <v>0</v>
      </c>
      <c r="O32" s="406" t="n">
        <f aca="true">IFERROR(INDIRECT("'" &amp; $B32 &amp; "'!" &amp; O$1),0)</f>
        <v>0</v>
      </c>
      <c r="P32" s="408" t="n">
        <f aca="true">IFERROR(INDIRECT("'" &amp; $B32 &amp; "'!" &amp; P$1),0)</f>
        <v>0</v>
      </c>
      <c r="Q32" s="409" t="n">
        <f aca="false">SUMIFS('UW Drivers'!$AD$9:$AD$38,'UW Drivers'!$D$9:$D$38, 'SSP UW Summary'!D32)</f>
        <v>0</v>
      </c>
      <c r="R32" s="409" t="n">
        <f aca="false">IFERROR(Q32/G32,0)</f>
        <v>0</v>
      </c>
      <c r="S32" s="411" t="n">
        <f aca="false">IFERROR(O32/$O$36,0)</f>
        <v>0</v>
      </c>
      <c r="T32" s="409" t="n">
        <f aca="false">SUMIFS('UW Drivers'!$W$9:$W$38,'UW Drivers'!$D$9:$D$38,'SSP UW Summary'!D32)</f>
        <v>0</v>
      </c>
      <c r="U32" s="408" t="n">
        <f aca="false">SUMIFS('UW Drivers'!$Y$9:$Y$38,'UW Drivers'!$D$9:$D$38,'SSP UW Summary'!D32)</f>
        <v>0</v>
      </c>
      <c r="V32" s="409" t="n">
        <f aca="false">SUMIFS('UW Drivers'!$AE$9:$AE$38,'UW Drivers'!$D$9:$D$38,D32)</f>
        <v>0</v>
      </c>
      <c r="W32" s="409" t="n">
        <f aca="false">IFERROR(V32/G32,0)</f>
        <v>0</v>
      </c>
      <c r="X32" s="411" t="n">
        <f aca="false">IFERROR(T32/$T$36,0)</f>
        <v>0</v>
      </c>
      <c r="AA32" s="381" t="n">
        <f aca="true">IFERROR(INDIRECT("'" &amp; $B32 &amp; "'!" &amp; AA$1),0)</f>
        <v>0</v>
      </c>
      <c r="AC32" s="355"/>
    </row>
    <row r="33" customFormat="false" ht="15.75" hidden="false" customHeight="true" outlineLevel="0" collapsed="false">
      <c r="B33" s="358" t="n">
        <f aca="false">IFERROR(INDEX('UW Drivers'!$C$9:$C$38,MATCH('SSP UW Summary'!$D33,'UW Drivers'!$D$9:$D$38,0)),0)</f>
        <v>1</v>
      </c>
      <c r="D33" s="403" t="str">
        <f aca="false">'UW Drivers'!D36</f>
        <v/>
      </c>
      <c r="E33" s="404" t="str">
        <f aca="false">IFERROR(INDEX($G$42:$G$71,MATCH(D33,$D$42:$D$71,0)),"")</f>
        <v/>
      </c>
      <c r="F33" s="404" t="str">
        <f aca="false">IFERROR(INDEX($H$42:$H$71,MATCH(D33,$D$42:$D$71,0)),"")</f>
        <v/>
      </c>
      <c r="G33" s="405" t="n">
        <f aca="false">SUMIFS(Tape!$M$7:$M$36,Tape!$C$7:$C$36,'SSP UW Summary'!D33)</f>
        <v>0</v>
      </c>
      <c r="H33" s="406" t="n">
        <f aca="true">IFERROR(INDIRECT("'" &amp; $B33 &amp; "'!" &amp; H$1),0)</f>
        <v>0</v>
      </c>
      <c r="I33" s="407" t="n">
        <f aca="true">IFERROR(INDIRECT("'" &amp; $B33 &amp; "'!" &amp; I$1),0)</f>
        <v>0</v>
      </c>
      <c r="J33" s="408" t="n">
        <f aca="true">IFERROR(INDIRECT("'" &amp; $B33 &amp; "'!" &amp; J$1),0)</f>
        <v>0</v>
      </c>
      <c r="K33" s="409" t="n">
        <f aca="true">IFERROR(INDIRECT("'" &amp; $B33 &amp; "'!" &amp; K$1),0)</f>
        <v>0</v>
      </c>
      <c r="L33" s="409" t="n">
        <f aca="true">IFERROR(INDIRECT("'" &amp; $B33 &amp; "'!" &amp; L$1),0)</f>
        <v>0</v>
      </c>
      <c r="M33" s="410" t="n">
        <f aca="true">IFERROR(INDIRECT("'" &amp; $B33 &amp; "'!" &amp; M$1),0)</f>
        <v>0</v>
      </c>
      <c r="N33" s="409" t="n">
        <f aca="false">SUMIFS('UW Drivers'!$AC$9:$AC$38,'UW Drivers'!$D$9:$D$38, 'SSP UW Summary'!$D33)</f>
        <v>0</v>
      </c>
      <c r="O33" s="406" t="n">
        <f aca="true">IFERROR(INDIRECT("'" &amp; $B33 &amp; "'!" &amp; O$1),0)</f>
        <v>0</v>
      </c>
      <c r="P33" s="408" t="n">
        <f aca="true">IFERROR(INDIRECT("'" &amp; $B33 &amp; "'!" &amp; P$1),0)</f>
        <v>0</v>
      </c>
      <c r="Q33" s="409" t="n">
        <f aca="false">SUMIFS('UW Drivers'!$AD$9:$AD$38,'UW Drivers'!$D$9:$D$38, 'SSP UW Summary'!D33)</f>
        <v>0</v>
      </c>
      <c r="R33" s="409" t="n">
        <f aca="false">IFERROR(Q33/G33,0)</f>
        <v>0</v>
      </c>
      <c r="S33" s="411" t="n">
        <f aca="false">IFERROR(O33/$O$36,0)</f>
        <v>0</v>
      </c>
      <c r="T33" s="409" t="n">
        <f aca="false">SUMIFS('UW Drivers'!$W$9:$W$38,'UW Drivers'!$D$9:$D$38,'SSP UW Summary'!D33)</f>
        <v>0</v>
      </c>
      <c r="U33" s="408" t="n">
        <f aca="false">SUMIFS('UW Drivers'!$Y$9:$Y$38,'UW Drivers'!$D$9:$D$38,'SSP UW Summary'!D33)</f>
        <v>0</v>
      </c>
      <c r="V33" s="409" t="n">
        <f aca="false">SUMIFS('UW Drivers'!$AE$9:$AE$38,'UW Drivers'!$D$9:$D$38,D33)</f>
        <v>0</v>
      </c>
      <c r="W33" s="409" t="n">
        <f aca="false">IFERROR(V33/G33,0)</f>
        <v>0</v>
      </c>
      <c r="X33" s="411" t="n">
        <f aca="false">IFERROR(T33/$T$36,0)</f>
        <v>0</v>
      </c>
      <c r="AA33" s="381" t="n">
        <f aca="true">IFERROR(INDIRECT("'" &amp; $B33 &amp; "'!" &amp; AA$1),0)</f>
        <v>0</v>
      </c>
      <c r="AC33" s="355"/>
    </row>
    <row r="34" customFormat="false" ht="15.75" hidden="false" customHeight="true" outlineLevel="0" collapsed="false">
      <c r="B34" s="358" t="n">
        <f aca="false">IFERROR(INDEX('UW Drivers'!$C$9:$C$38,MATCH('SSP UW Summary'!$D34,'UW Drivers'!$D$9:$D$38,0)),0)</f>
        <v>1</v>
      </c>
      <c r="D34" s="403" t="str">
        <f aca="false">'UW Drivers'!D37</f>
        <v/>
      </c>
      <c r="E34" s="404" t="str">
        <f aca="false">IFERROR(INDEX($G$42:$G$71,MATCH(D34,$D$42:$D$71,0)),"")</f>
        <v/>
      </c>
      <c r="F34" s="404" t="str">
        <f aca="false">IFERROR(INDEX($H$42:$H$71,MATCH(D34,$D$42:$D$71,0)),"")</f>
        <v/>
      </c>
      <c r="G34" s="405" t="n">
        <f aca="false">SUMIFS(Tape!$M$7:$M$36,Tape!$C$7:$C$36,'SSP UW Summary'!D34)</f>
        <v>0</v>
      </c>
      <c r="H34" s="406" t="n">
        <f aca="true">IFERROR(INDIRECT("'" &amp; $B34 &amp; "'!" &amp; H$1),0)</f>
        <v>0</v>
      </c>
      <c r="I34" s="407" t="n">
        <f aca="true">IFERROR(INDIRECT("'" &amp; $B34 &amp; "'!" &amp; I$1),0)</f>
        <v>0</v>
      </c>
      <c r="J34" s="408" t="n">
        <f aca="true">IFERROR(INDIRECT("'" &amp; $B34 &amp; "'!" &amp; J$1),0)</f>
        <v>0</v>
      </c>
      <c r="K34" s="409" t="n">
        <f aca="true">IFERROR(INDIRECT("'" &amp; $B34 &amp; "'!" &amp; K$1),0)</f>
        <v>0</v>
      </c>
      <c r="L34" s="409" t="n">
        <f aca="true">IFERROR(INDIRECT("'" &amp; $B34 &amp; "'!" &amp; L$1),0)</f>
        <v>0</v>
      </c>
      <c r="M34" s="410" t="n">
        <f aca="true">IFERROR(INDIRECT("'" &amp; $B34 &amp; "'!" &amp; M$1),0)</f>
        <v>0</v>
      </c>
      <c r="N34" s="409" t="n">
        <f aca="false">SUMIFS('UW Drivers'!$AC$9:$AC$38,'UW Drivers'!$D$9:$D$38, 'SSP UW Summary'!$D34)</f>
        <v>0</v>
      </c>
      <c r="O34" s="406" t="n">
        <f aca="true">IFERROR(INDIRECT("'" &amp; $B34 &amp; "'!" &amp; O$1),0)</f>
        <v>0</v>
      </c>
      <c r="P34" s="408" t="n">
        <f aca="true">IFERROR(INDIRECT("'" &amp; $B34 &amp; "'!" &amp; P$1),0)</f>
        <v>0</v>
      </c>
      <c r="Q34" s="409" t="n">
        <f aca="false">SUMIFS('UW Drivers'!$AD$9:$AD$38,'UW Drivers'!$D$9:$D$38, 'SSP UW Summary'!D34)</f>
        <v>0</v>
      </c>
      <c r="R34" s="409" t="n">
        <f aca="false">IFERROR(Q34/G34,0)</f>
        <v>0</v>
      </c>
      <c r="S34" s="411" t="n">
        <f aca="false">IFERROR(O34/$O$36,0)</f>
        <v>0</v>
      </c>
      <c r="T34" s="409" t="n">
        <f aca="false">SUMIFS('UW Drivers'!$W$9:$W$38,'UW Drivers'!$D$9:$D$38,'SSP UW Summary'!D34)</f>
        <v>0</v>
      </c>
      <c r="U34" s="408" t="n">
        <f aca="false">SUMIFS('UW Drivers'!$Y$9:$Y$38,'UW Drivers'!$D$9:$D$38,'SSP UW Summary'!D34)</f>
        <v>0</v>
      </c>
      <c r="V34" s="409" t="n">
        <f aca="false">SUMIFS('UW Drivers'!$AE$9:$AE$38,'UW Drivers'!$D$9:$D$38,D34)</f>
        <v>0</v>
      </c>
      <c r="W34" s="409" t="n">
        <f aca="false">IFERROR(V34/G34,0)</f>
        <v>0</v>
      </c>
      <c r="X34" s="411" t="n">
        <f aca="false">IFERROR(T34/$T$36,0)</f>
        <v>0</v>
      </c>
      <c r="AA34" s="381" t="n">
        <f aca="true">IFERROR(INDIRECT("'" &amp; $B34 &amp; "'!" &amp; AA$1),0)</f>
        <v>0</v>
      </c>
      <c r="AC34" s="355"/>
    </row>
    <row r="35" customFormat="false" ht="15.75" hidden="false" customHeight="true" outlineLevel="0" collapsed="false">
      <c r="B35" s="358" t="n">
        <f aca="false">IFERROR(INDEX('UW Drivers'!$C$9:$C$38,MATCH('SSP UW Summary'!$D35,'UW Drivers'!$D$9:$D$38,0)),0)</f>
        <v>1</v>
      </c>
      <c r="D35" s="403" t="str">
        <f aca="false">'UW Drivers'!D38</f>
        <v/>
      </c>
      <c r="E35" s="404" t="str">
        <f aca="false">IFERROR(INDEX($G$42:$G$71,MATCH(D35,$D$42:$D$71,0)),"")</f>
        <v/>
      </c>
      <c r="F35" s="404" t="str">
        <f aca="false">IFERROR(INDEX($H$42:$H$71,MATCH(D35,$D$42:$D$71,0)),"")</f>
        <v/>
      </c>
      <c r="G35" s="405" t="n">
        <f aca="false">SUMIFS(Tape!$M$7:$M$36,Tape!$C$7:$C$36,'SSP UW Summary'!D35)</f>
        <v>0</v>
      </c>
      <c r="H35" s="406" t="n">
        <f aca="true">IFERROR(INDIRECT("'" &amp; $B35 &amp; "'!" &amp; H$1),0)</f>
        <v>0</v>
      </c>
      <c r="I35" s="407" t="n">
        <f aca="true">IFERROR(INDIRECT("'" &amp; $B35 &amp; "'!" &amp; I$1),0)</f>
        <v>0</v>
      </c>
      <c r="J35" s="408" t="n">
        <f aca="true">IFERROR(INDIRECT("'" &amp; $B35 &amp; "'!" &amp; J$1),0)</f>
        <v>0</v>
      </c>
      <c r="K35" s="409" t="n">
        <f aca="true">IFERROR(INDIRECT("'" &amp; $B35 &amp; "'!" &amp; K$1),0)</f>
        <v>0</v>
      </c>
      <c r="L35" s="409" t="n">
        <f aca="true">IFERROR(INDIRECT("'" &amp; $B35 &amp; "'!" &amp; L$1),0)</f>
        <v>0</v>
      </c>
      <c r="M35" s="410" t="n">
        <f aca="true">IFERROR(INDIRECT("'" &amp; $B35 &amp; "'!" &amp; M$1),0)</f>
        <v>0</v>
      </c>
      <c r="N35" s="409" t="n">
        <f aca="false">SUMIFS('UW Drivers'!$AC$9:$AC$38,'UW Drivers'!$D$9:$D$38, 'SSP UW Summary'!$D35)</f>
        <v>0</v>
      </c>
      <c r="O35" s="406" t="n">
        <f aca="true">IFERROR(INDIRECT("'" &amp; $B35 &amp; "'!" &amp; O$1),0)</f>
        <v>0</v>
      </c>
      <c r="P35" s="408" t="n">
        <f aca="true">IFERROR(INDIRECT("'" &amp; $B35 &amp; "'!" &amp; P$1),0)</f>
        <v>0</v>
      </c>
      <c r="Q35" s="409" t="n">
        <f aca="false">SUMIFS('UW Drivers'!$AD$9:$AD$38,'UW Drivers'!$D$9:$D$38, 'SSP UW Summary'!D35)</f>
        <v>0</v>
      </c>
      <c r="R35" s="409" t="n">
        <f aca="false">IFERROR(Q35/G35,0)</f>
        <v>0</v>
      </c>
      <c r="S35" s="411" t="n">
        <f aca="false">IFERROR(O35/$O$36,0)</f>
        <v>0</v>
      </c>
      <c r="T35" s="409" t="n">
        <f aca="false">SUMIFS('UW Drivers'!$W$9:$W$38,'UW Drivers'!$D$9:$D$38,'SSP UW Summary'!D35)</f>
        <v>0</v>
      </c>
      <c r="U35" s="408" t="n">
        <f aca="false">SUMIFS('UW Drivers'!$Y$9:$Y$38,'UW Drivers'!$D$9:$D$38,'SSP UW Summary'!D35)</f>
        <v>0</v>
      </c>
      <c r="V35" s="409" t="n">
        <f aca="false">SUMIFS('UW Drivers'!$AE$9:$AE$38,'UW Drivers'!$D$9:$D$38,D35)</f>
        <v>0</v>
      </c>
      <c r="W35" s="409" t="n">
        <f aca="false">IFERROR(V35/G35,0)</f>
        <v>0</v>
      </c>
      <c r="X35" s="411" t="n">
        <f aca="false">IFERROR(T35/$T$36,0)</f>
        <v>0</v>
      </c>
      <c r="AA35" s="381" t="n">
        <f aca="true">IFERROR(INDIRECT("'" &amp; $B35 &amp; "'!" &amp; AA$1),0)</f>
        <v>0</v>
      </c>
      <c r="AC35" s="355"/>
    </row>
    <row r="36" customFormat="false" ht="15.75" hidden="false" customHeight="true" outlineLevel="0" collapsed="false">
      <c r="D36" s="389" t="s">
        <v>205</v>
      </c>
      <c r="E36" s="390"/>
      <c r="F36" s="390"/>
      <c r="G36" s="412" t="n">
        <f aca="false">SUM(G6:G35)</f>
        <v>0</v>
      </c>
      <c r="H36" s="392" t="n">
        <f aca="false">Rollup!AB9</f>
        <v>0</v>
      </c>
      <c r="I36" s="413" t="n">
        <f aca="false">SUM(I6:I35)</f>
        <v>0</v>
      </c>
      <c r="J36" s="414" t="n">
        <f aca="false">Rollup!$AN$7</f>
        <v>0</v>
      </c>
      <c r="K36" s="415" t="n">
        <f aca="false">Rollup!$AN$8</f>
        <v>0</v>
      </c>
      <c r="L36" s="415" t="n">
        <f aca="false">Rollup!$AN$9</f>
        <v>0</v>
      </c>
      <c r="M36" s="416" t="n">
        <f aca="false">'UW Drivers'!AA42</f>
        <v>0</v>
      </c>
      <c r="N36" s="417" t="n">
        <f aca="false">IFERROR(SUMPRODUCT(N6:N35,$G$6:$G$35)/$G$36,0)</f>
        <v>0</v>
      </c>
      <c r="O36" s="392" t="n">
        <f aca="false">SUM(O6:O35)</f>
        <v>0</v>
      </c>
      <c r="P36" s="414" t="n">
        <f aca="false">IFERROR(SUMPRODUCT(P6:P35,$O$6:$O$35)/O36,0)</f>
        <v>0</v>
      </c>
      <c r="Q36" s="415" t="n">
        <f aca="false">SUM(Q6:Q35)</f>
        <v>0</v>
      </c>
      <c r="R36" s="415" t="n">
        <f aca="false">IFERROR(Q36/G36,0)</f>
        <v>0</v>
      </c>
      <c r="S36" s="418" t="n">
        <f aca="false">IFERROR(O36/$O$36,0)</f>
        <v>0</v>
      </c>
      <c r="T36" s="415" t="n">
        <f aca="false">SUM(T6:T35)</f>
        <v>0</v>
      </c>
      <c r="U36" s="414" t="n">
        <f aca="false">IFERROR(SUMPRODUCT(U6:U35,$O$6:$O$35)/T36,0)</f>
        <v>0</v>
      </c>
      <c r="V36" s="415" t="n">
        <f aca="false">SUM(V6:V35)</f>
        <v>0</v>
      </c>
      <c r="W36" s="415" t="n">
        <f aca="false">IFERROR(V36/G36,0)</f>
        <v>0</v>
      </c>
      <c r="X36" s="418" t="n">
        <f aca="false">IFERROR(T36/$T$36,0)</f>
        <v>0</v>
      </c>
    </row>
    <row r="37" customFormat="false" ht="16.5" hidden="false" customHeight="true" outlineLevel="0" collapsed="false">
      <c r="D37" s="419" t="s">
        <v>206</v>
      </c>
      <c r="E37" s="419"/>
      <c r="F37" s="404"/>
      <c r="G37" s="404"/>
      <c r="H37" s="404"/>
      <c r="I37" s="404"/>
      <c r="J37" s="404"/>
      <c r="K37" s="404"/>
      <c r="L37" s="404"/>
      <c r="M37" s="404"/>
      <c r="N37" s="404"/>
      <c r="O37" s="404"/>
      <c r="P37" s="404"/>
      <c r="Q37" s="420" t="n">
        <f aca="false">Q36+'Cap Stack Control'!$D$12</f>
        <v>0</v>
      </c>
      <c r="R37" s="420"/>
      <c r="S37" s="420"/>
      <c r="T37" s="420"/>
      <c r="U37" s="420"/>
      <c r="V37" s="420" t="n">
        <f aca="false">V36+'Cap Stack Control'!$D$12</f>
        <v>0</v>
      </c>
      <c r="W37" s="404"/>
      <c r="X37" s="404"/>
    </row>
    <row r="38" customFormat="false" ht="15.75" hidden="false" customHeight="true" outlineLevel="0" collapsed="false">
      <c r="A38" s="0" t="s">
        <v>54</v>
      </c>
      <c r="B38" s="355" t="n">
        <f aca="false">'Cap Stack Control'!$D$17</f>
        <v>0</v>
      </c>
      <c r="D38" s="421" t="s">
        <v>207</v>
      </c>
      <c r="E38" s="422" t="n">
        <f aca="false">IFERROR(TEXT($O$36/B38,"0.0%")&amp;" / "&amp;TEXT($T$36/B38,"0.0%"),0)</f>
        <v>0</v>
      </c>
      <c r="F38" s="404"/>
      <c r="G38" s="404"/>
      <c r="H38" s="404"/>
      <c r="I38" s="404"/>
      <c r="J38" s="404"/>
      <c r="K38" s="404"/>
      <c r="L38" s="404"/>
      <c r="M38" s="404"/>
      <c r="N38" s="404"/>
      <c r="O38" s="404"/>
      <c r="P38" s="404"/>
      <c r="Q38" s="404"/>
      <c r="R38" s="404"/>
      <c r="S38" s="404"/>
      <c r="T38" s="404"/>
      <c r="U38" s="404"/>
      <c r="V38" s="404"/>
      <c r="W38" s="404"/>
      <c r="X38" s="404"/>
    </row>
    <row r="39" customFormat="false" ht="15.75" hidden="false" customHeight="true" outlineLevel="0" collapsed="false">
      <c r="B39" s="355"/>
      <c r="D39" s="421" t="s">
        <v>208</v>
      </c>
      <c r="E39" s="422" t="n">
        <f aca="false">IFERROR(TEXT(B38/Q36,"0.0%")&amp;" / "&amp;TEXT(B38/V36,"0.0%"),0)</f>
        <v>0</v>
      </c>
      <c r="F39" s="404"/>
      <c r="G39" s="404"/>
      <c r="H39" s="404"/>
      <c r="I39" s="404"/>
      <c r="J39" s="404"/>
      <c r="K39" s="404"/>
      <c r="L39" s="404"/>
      <c r="M39" s="404"/>
      <c r="N39" s="404"/>
      <c r="O39" s="404"/>
      <c r="P39" s="404"/>
      <c r="Q39" s="404"/>
      <c r="R39" s="404"/>
      <c r="S39" s="404"/>
      <c r="T39" s="404"/>
      <c r="U39" s="404"/>
      <c r="V39" s="404"/>
      <c r="W39" s="404"/>
      <c r="X39" s="404"/>
    </row>
    <row r="40" customFormat="false" ht="15.75" hidden="false" customHeight="true" outlineLevel="0" collapsed="false">
      <c r="D40" s="423" t="s">
        <v>209</v>
      </c>
      <c r="E40" s="424" t="n">
        <f aca="false">IFERROR(TEXT(B38/Q37,"0.0%")&amp;" / "&amp;TEXT(B38/V37,"0.0%"),0)</f>
        <v>0</v>
      </c>
      <c r="H40" s="252"/>
      <c r="K40" s="252"/>
      <c r="L40" s="252"/>
      <c r="O40" s="252"/>
      <c r="P40" s="252"/>
      <c r="Q40" s="252"/>
      <c r="R40" s="252"/>
      <c r="U40" s="383"/>
      <c r="V40" s="252"/>
      <c r="W40" s="252"/>
      <c r="X40" s="383"/>
    </row>
    <row r="41" customFormat="false" ht="14.25" hidden="false" customHeight="false" outlineLevel="0" collapsed="false">
      <c r="H41" s="252"/>
      <c r="K41" s="252"/>
      <c r="L41" s="252"/>
      <c r="O41" s="252"/>
      <c r="P41" s="252"/>
      <c r="Q41" s="252"/>
      <c r="R41" s="252"/>
      <c r="U41" s="383"/>
      <c r="V41" s="252"/>
      <c r="W41" s="252"/>
      <c r="X41" s="383"/>
    </row>
    <row r="42" customFormat="false" ht="14.25" hidden="false" customHeight="false" outlineLevel="0" collapsed="false">
      <c r="D42" s="0" t="n">
        <f aca="false">Tape!C7</f>
        <v>0</v>
      </c>
      <c r="E42" s="0" t="n">
        <f aca="false">Tape!E7</f>
        <v>0</v>
      </c>
      <c r="F42" s="0" t="n">
        <f aca="false">Tape!F7</f>
        <v>0</v>
      </c>
      <c r="G42" s="0" t="str">
        <f aca="false">CONCATENATE(E42,", ",F42)</f>
        <v>0, 0</v>
      </c>
      <c r="H42" s="252" t="n">
        <f aca="false">Tape!L7</f>
        <v>0</v>
      </c>
      <c r="K42" s="252"/>
      <c r="L42" s="252"/>
      <c r="O42" s="252"/>
      <c r="P42" s="252"/>
      <c r="Q42" s="252"/>
      <c r="R42" s="252"/>
      <c r="U42" s="383"/>
      <c r="V42" s="252"/>
      <c r="W42" s="252"/>
      <c r="X42" s="383"/>
    </row>
    <row r="43" customFormat="false" ht="14.25" hidden="false" customHeight="false" outlineLevel="0" collapsed="false">
      <c r="D43" s="0" t="n">
        <f aca="false">Tape!C8</f>
        <v>0</v>
      </c>
      <c r="E43" s="0" t="n">
        <f aca="false">Tape!E8</f>
        <v>0</v>
      </c>
      <c r="F43" s="0" t="n">
        <f aca="false">Tape!F8</f>
        <v>0</v>
      </c>
      <c r="G43" s="0" t="str">
        <f aca="false">CONCATENATE(E43,", ",F43)</f>
        <v>0, 0</v>
      </c>
      <c r="H43" s="252" t="n">
        <f aca="false">Tape!L8</f>
        <v>0</v>
      </c>
      <c r="K43" s="252"/>
      <c r="L43" s="252"/>
      <c r="O43" s="252"/>
      <c r="P43" s="252"/>
      <c r="Q43" s="252"/>
      <c r="R43" s="252"/>
      <c r="U43" s="383"/>
      <c r="V43" s="252"/>
      <c r="W43" s="252"/>
      <c r="X43" s="383"/>
    </row>
    <row r="44" customFormat="false" ht="14.25" hidden="false" customHeight="false" outlineLevel="0" collapsed="false">
      <c r="D44" s="0" t="n">
        <f aca="false">Tape!C9</f>
        <v>0</v>
      </c>
      <c r="E44" s="0" t="n">
        <f aca="false">Tape!E9</f>
        <v>0</v>
      </c>
      <c r="F44" s="0" t="n">
        <f aca="false">Tape!F9</f>
        <v>0</v>
      </c>
      <c r="G44" s="0" t="str">
        <f aca="false">CONCATENATE(E44,", ",F44)</f>
        <v>0, 0</v>
      </c>
      <c r="H44" s="252" t="n">
        <f aca="false">Tape!L9</f>
        <v>0</v>
      </c>
      <c r="K44" s="252"/>
      <c r="L44" s="252"/>
      <c r="O44" s="252"/>
      <c r="P44" s="252"/>
      <c r="Q44" s="252"/>
      <c r="R44" s="252"/>
      <c r="U44" s="383"/>
      <c r="V44" s="252"/>
      <c r="W44" s="252"/>
      <c r="X44" s="383"/>
    </row>
    <row r="45" customFormat="false" ht="14.25" hidden="false" customHeight="false" outlineLevel="0" collapsed="false">
      <c r="D45" s="0" t="n">
        <f aca="false">Tape!C10</f>
        <v>0</v>
      </c>
      <c r="E45" s="0" t="n">
        <f aca="false">Tape!E10</f>
        <v>0</v>
      </c>
      <c r="F45" s="0" t="n">
        <f aca="false">Tape!F10</f>
        <v>0</v>
      </c>
      <c r="G45" s="0" t="str">
        <f aca="false">CONCATENATE(E45,", ",F45)</f>
        <v>0, 0</v>
      </c>
      <c r="H45" s="252" t="n">
        <f aca="false">Tape!L10</f>
        <v>0</v>
      </c>
      <c r="K45" s="252"/>
      <c r="L45" s="252"/>
      <c r="O45" s="252"/>
      <c r="P45" s="252"/>
      <c r="Q45" s="252"/>
      <c r="R45" s="252"/>
      <c r="U45" s="383"/>
      <c r="V45" s="252"/>
      <c r="W45" s="252"/>
      <c r="X45" s="383"/>
    </row>
    <row r="46" customFormat="false" ht="14.25" hidden="false" customHeight="false" outlineLevel="0" collapsed="false">
      <c r="D46" s="0" t="n">
        <f aca="false">Tape!C11</f>
        <v>0</v>
      </c>
      <c r="E46" s="0" t="n">
        <f aca="false">Tape!E11</f>
        <v>0</v>
      </c>
      <c r="F46" s="0" t="n">
        <f aca="false">Tape!F11</f>
        <v>0</v>
      </c>
      <c r="G46" s="0" t="str">
        <f aca="false">CONCATENATE(E46,", ",F46)</f>
        <v>0, 0</v>
      </c>
      <c r="H46" s="252" t="n">
        <f aca="false">Tape!L11</f>
        <v>0</v>
      </c>
      <c r="K46" s="252"/>
      <c r="L46" s="252"/>
      <c r="O46" s="252"/>
      <c r="P46" s="252"/>
      <c r="Q46" s="252"/>
      <c r="R46" s="252"/>
      <c r="U46" s="383"/>
      <c r="V46" s="252"/>
      <c r="W46" s="252"/>
      <c r="X46" s="383"/>
    </row>
    <row r="47" customFormat="false" ht="14.25" hidden="false" customHeight="false" outlineLevel="0" collapsed="false">
      <c r="D47" s="0" t="n">
        <f aca="false">Tape!C12</f>
        <v>0</v>
      </c>
      <c r="E47" s="0" t="n">
        <f aca="false">Tape!E12</f>
        <v>0</v>
      </c>
      <c r="F47" s="0" t="n">
        <f aca="false">Tape!F12</f>
        <v>0</v>
      </c>
      <c r="G47" s="0" t="str">
        <f aca="false">CONCATENATE(E47,", ",F47)</f>
        <v>0, 0</v>
      </c>
      <c r="H47" s="252" t="n">
        <f aca="false">Tape!L12</f>
        <v>0</v>
      </c>
      <c r="K47" s="252"/>
      <c r="L47" s="252"/>
      <c r="O47" s="252"/>
      <c r="P47" s="252"/>
      <c r="Q47" s="252"/>
      <c r="R47" s="252"/>
      <c r="U47" s="383"/>
      <c r="V47" s="252"/>
      <c r="W47" s="252"/>
      <c r="X47" s="383"/>
    </row>
    <row r="48" customFormat="false" ht="14.25" hidden="false" customHeight="false" outlineLevel="0" collapsed="false">
      <c r="D48" s="0" t="n">
        <f aca="false">Tape!C13</f>
        <v>0</v>
      </c>
      <c r="E48" s="0" t="n">
        <f aca="false">Tape!E13</f>
        <v>0</v>
      </c>
      <c r="F48" s="0" t="n">
        <f aca="false">Tape!F13</f>
        <v>0</v>
      </c>
      <c r="G48" s="0" t="str">
        <f aca="false">CONCATENATE(E48,", ",F48)</f>
        <v>0, 0</v>
      </c>
      <c r="H48" s="252" t="n">
        <f aca="false">Tape!L13</f>
        <v>0</v>
      </c>
      <c r="K48" s="252"/>
      <c r="L48" s="252"/>
      <c r="O48" s="252"/>
      <c r="P48" s="252"/>
      <c r="Q48" s="252"/>
      <c r="R48" s="252"/>
      <c r="U48" s="383"/>
      <c r="V48" s="252"/>
      <c r="W48" s="252"/>
      <c r="X48" s="383"/>
    </row>
    <row r="49" customFormat="false" ht="14.25" hidden="false" customHeight="false" outlineLevel="0" collapsed="false">
      <c r="D49" s="0" t="n">
        <f aca="false">Tape!C14</f>
        <v>0</v>
      </c>
      <c r="E49" s="0" t="n">
        <f aca="false">Tape!E14</f>
        <v>0</v>
      </c>
      <c r="F49" s="0" t="n">
        <f aca="false">Tape!F14</f>
        <v>0</v>
      </c>
      <c r="G49" s="0" t="str">
        <f aca="false">CONCATENATE(E49,", ",F49)</f>
        <v>0, 0</v>
      </c>
      <c r="H49" s="252" t="n">
        <f aca="false">Tape!L14</f>
        <v>0</v>
      </c>
      <c r="K49" s="252"/>
      <c r="L49" s="252"/>
      <c r="O49" s="252"/>
      <c r="P49" s="252"/>
      <c r="Q49" s="252"/>
      <c r="R49" s="252"/>
      <c r="U49" s="383"/>
      <c r="V49" s="252"/>
      <c r="W49" s="252"/>
      <c r="X49" s="383"/>
    </row>
    <row r="50" customFormat="false" ht="14.25" hidden="false" customHeight="false" outlineLevel="0" collapsed="false">
      <c r="D50" s="0" t="n">
        <f aca="false">Tape!C15</f>
        <v>0</v>
      </c>
      <c r="E50" s="0" t="n">
        <f aca="false">Tape!E15</f>
        <v>0</v>
      </c>
      <c r="F50" s="0" t="n">
        <f aca="false">Tape!F15</f>
        <v>0</v>
      </c>
      <c r="G50" s="0" t="str">
        <f aca="false">CONCATENATE(E50,", ",F50)</f>
        <v>0, 0</v>
      </c>
      <c r="H50" s="252" t="n">
        <f aca="false">Tape!L15</f>
        <v>0</v>
      </c>
      <c r="K50" s="252"/>
      <c r="L50" s="252"/>
      <c r="O50" s="252"/>
      <c r="P50" s="252"/>
      <c r="Q50" s="252"/>
      <c r="R50" s="252"/>
      <c r="U50" s="383"/>
      <c r="V50" s="252"/>
      <c r="W50" s="252"/>
      <c r="X50" s="383"/>
    </row>
    <row r="51" customFormat="false" ht="14.25" hidden="false" customHeight="false" outlineLevel="0" collapsed="false">
      <c r="D51" s="0" t="n">
        <f aca="false">Tape!C16</f>
        <v>0</v>
      </c>
      <c r="E51" s="0" t="n">
        <f aca="false">Tape!E16</f>
        <v>0</v>
      </c>
      <c r="F51" s="0" t="n">
        <f aca="false">Tape!F16</f>
        <v>0</v>
      </c>
      <c r="G51" s="0" t="str">
        <f aca="false">CONCATENATE(E51,", ",F51)</f>
        <v>0, 0</v>
      </c>
      <c r="H51" s="252" t="n">
        <f aca="false">Tape!L16</f>
        <v>0</v>
      </c>
      <c r="K51" s="252"/>
      <c r="L51" s="252"/>
      <c r="O51" s="252"/>
      <c r="P51" s="252"/>
      <c r="Q51" s="252"/>
      <c r="R51" s="252"/>
      <c r="U51" s="383"/>
      <c r="V51" s="252"/>
      <c r="W51" s="252"/>
      <c r="X51" s="383"/>
    </row>
    <row r="52" customFormat="false" ht="14.25" hidden="false" customHeight="false" outlineLevel="0" collapsed="false">
      <c r="D52" s="0" t="n">
        <f aca="false">Tape!C17</f>
        <v>0</v>
      </c>
      <c r="E52" s="0" t="n">
        <f aca="false">Tape!E17</f>
        <v>0</v>
      </c>
      <c r="F52" s="0" t="n">
        <f aca="false">Tape!F17</f>
        <v>0</v>
      </c>
      <c r="G52" s="0" t="str">
        <f aca="false">CONCATENATE(E52,", ",F52)</f>
        <v>0, 0</v>
      </c>
      <c r="H52" s="252" t="n">
        <f aca="false">Tape!L17</f>
        <v>0</v>
      </c>
      <c r="K52" s="252"/>
      <c r="L52" s="252"/>
      <c r="O52" s="252"/>
      <c r="P52" s="252"/>
      <c r="Q52" s="252"/>
      <c r="R52" s="252"/>
      <c r="U52" s="383"/>
      <c r="V52" s="252"/>
      <c r="W52" s="252"/>
      <c r="X52" s="383"/>
    </row>
    <row r="53" customFormat="false" ht="14.25" hidden="false" customHeight="false" outlineLevel="0" collapsed="false">
      <c r="D53" s="0" t="n">
        <f aca="false">Tape!C18</f>
        <v>0</v>
      </c>
      <c r="E53" s="0" t="n">
        <f aca="false">Tape!E18</f>
        <v>0</v>
      </c>
      <c r="F53" s="0" t="n">
        <f aca="false">Tape!F18</f>
        <v>0</v>
      </c>
      <c r="G53" s="0" t="str">
        <f aca="false">CONCATENATE(E53,", ",F53)</f>
        <v>0, 0</v>
      </c>
      <c r="H53" s="252" t="n">
        <f aca="false">Tape!L18</f>
        <v>0</v>
      </c>
      <c r="K53" s="252"/>
      <c r="L53" s="252"/>
      <c r="O53" s="252"/>
      <c r="P53" s="252"/>
      <c r="Q53" s="252"/>
      <c r="R53" s="252"/>
      <c r="U53" s="383"/>
      <c r="V53" s="252"/>
      <c r="W53" s="252"/>
      <c r="X53" s="383"/>
    </row>
    <row r="54" customFormat="false" ht="14.25" hidden="false" customHeight="false" outlineLevel="0" collapsed="false">
      <c r="D54" s="0" t="n">
        <f aca="false">Tape!C19</f>
        <v>0</v>
      </c>
      <c r="E54" s="0" t="n">
        <f aca="false">Tape!E19</f>
        <v>0</v>
      </c>
      <c r="F54" s="0" t="n">
        <f aca="false">Tape!F19</f>
        <v>0</v>
      </c>
      <c r="G54" s="0" t="str">
        <f aca="false">CONCATENATE(E54,", ",F54)</f>
        <v>0, 0</v>
      </c>
      <c r="H54" s="252" t="n">
        <f aca="false">Tape!L19</f>
        <v>0</v>
      </c>
      <c r="K54" s="252"/>
      <c r="L54" s="252"/>
      <c r="O54" s="252"/>
      <c r="P54" s="252"/>
      <c r="Q54" s="252"/>
      <c r="R54" s="252"/>
      <c r="U54" s="383"/>
      <c r="V54" s="252"/>
      <c r="W54" s="252"/>
      <c r="X54" s="383"/>
    </row>
    <row r="55" customFormat="false" ht="14.25" hidden="false" customHeight="false" outlineLevel="0" collapsed="false">
      <c r="D55" s="0" t="n">
        <f aca="false">Tape!C20</f>
        <v>0</v>
      </c>
      <c r="E55" s="0" t="n">
        <f aca="false">Tape!E20</f>
        <v>0</v>
      </c>
      <c r="F55" s="0" t="n">
        <f aca="false">Tape!F20</f>
        <v>0</v>
      </c>
      <c r="G55" s="0" t="str">
        <f aca="false">CONCATENATE(E55,", ",F55)</f>
        <v>0, 0</v>
      </c>
      <c r="H55" s="252" t="n">
        <f aca="false">Tape!L20</f>
        <v>0</v>
      </c>
      <c r="K55" s="252"/>
      <c r="L55" s="252"/>
      <c r="O55" s="252"/>
      <c r="P55" s="252"/>
      <c r="Q55" s="252"/>
      <c r="R55" s="252"/>
      <c r="U55" s="383"/>
      <c r="V55" s="252"/>
      <c r="W55" s="252"/>
      <c r="X55" s="383"/>
    </row>
    <row r="56" customFormat="false" ht="14.25" hidden="false" customHeight="false" outlineLevel="0" collapsed="false">
      <c r="D56" s="0" t="n">
        <f aca="false">Tape!C21</f>
        <v>0</v>
      </c>
      <c r="E56" s="0" t="n">
        <f aca="false">Tape!E21</f>
        <v>0</v>
      </c>
      <c r="F56" s="0" t="n">
        <f aca="false">Tape!F21</f>
        <v>0</v>
      </c>
      <c r="G56" s="0" t="str">
        <f aca="false">CONCATENATE(E56,", ",F56)</f>
        <v>0, 0</v>
      </c>
      <c r="H56" s="252" t="n">
        <f aca="false">Tape!L21</f>
        <v>0</v>
      </c>
      <c r="K56" s="252"/>
      <c r="L56" s="252"/>
      <c r="O56" s="252"/>
      <c r="P56" s="252"/>
      <c r="Q56" s="252"/>
      <c r="R56" s="252"/>
      <c r="U56" s="383"/>
      <c r="V56" s="252"/>
      <c r="W56" s="252"/>
      <c r="X56" s="383"/>
    </row>
    <row r="57" customFormat="false" ht="14.25" hidden="false" customHeight="false" outlineLevel="0" collapsed="false">
      <c r="D57" s="0" t="n">
        <f aca="false">Tape!C22</f>
        <v>0</v>
      </c>
      <c r="E57" s="0" t="n">
        <f aca="false">Tape!E22</f>
        <v>0</v>
      </c>
      <c r="F57" s="0" t="n">
        <f aca="false">Tape!F22</f>
        <v>0</v>
      </c>
      <c r="G57" s="0" t="str">
        <f aca="false">CONCATENATE(E57,", ",F57)</f>
        <v>0, 0</v>
      </c>
      <c r="H57" s="252" t="n">
        <f aca="false">Tape!L22</f>
        <v>0</v>
      </c>
      <c r="K57" s="252"/>
      <c r="L57" s="252"/>
      <c r="O57" s="252"/>
      <c r="P57" s="252"/>
      <c r="Q57" s="252"/>
      <c r="R57" s="252"/>
      <c r="U57" s="383"/>
      <c r="V57" s="252"/>
      <c r="W57" s="252"/>
      <c r="X57" s="383"/>
    </row>
    <row r="58" customFormat="false" ht="14.25" hidden="false" customHeight="false" outlineLevel="0" collapsed="false">
      <c r="D58" s="0" t="n">
        <f aca="false">Tape!C23</f>
        <v>0</v>
      </c>
      <c r="E58" s="0" t="n">
        <f aca="false">Tape!E23</f>
        <v>0</v>
      </c>
      <c r="F58" s="0" t="n">
        <f aca="false">Tape!F23</f>
        <v>0</v>
      </c>
      <c r="G58" s="0" t="str">
        <f aca="false">CONCATENATE(E58,", ",F58)</f>
        <v>0, 0</v>
      </c>
      <c r="H58" s="252" t="n">
        <f aca="false">Tape!L23</f>
        <v>0</v>
      </c>
      <c r="K58" s="252"/>
      <c r="L58" s="252"/>
      <c r="O58" s="252"/>
      <c r="P58" s="252"/>
      <c r="Q58" s="252"/>
      <c r="R58" s="252"/>
      <c r="U58" s="383"/>
      <c r="V58" s="252"/>
      <c r="W58" s="252"/>
      <c r="X58" s="383"/>
    </row>
    <row r="59" customFormat="false" ht="14.25" hidden="false" customHeight="false" outlineLevel="0" collapsed="false">
      <c r="D59" s="0" t="n">
        <f aca="false">Tape!C24</f>
        <v>0</v>
      </c>
      <c r="E59" s="0" t="n">
        <f aca="false">Tape!E24</f>
        <v>0</v>
      </c>
      <c r="F59" s="0" t="n">
        <f aca="false">Tape!F24</f>
        <v>0</v>
      </c>
      <c r="G59" s="0" t="str">
        <f aca="false">CONCATENATE(E59,", ",F59)</f>
        <v>0, 0</v>
      </c>
      <c r="H59" s="252" t="n">
        <f aca="false">Tape!L24</f>
        <v>0</v>
      </c>
      <c r="K59" s="252"/>
      <c r="L59" s="252"/>
      <c r="O59" s="252"/>
      <c r="P59" s="252"/>
      <c r="Q59" s="252"/>
      <c r="R59" s="252"/>
      <c r="U59" s="383"/>
      <c r="V59" s="252"/>
      <c r="W59" s="252"/>
      <c r="X59" s="383"/>
    </row>
    <row r="60" customFormat="false" ht="14.25" hidden="false" customHeight="false" outlineLevel="0" collapsed="false">
      <c r="D60" s="0" t="n">
        <f aca="false">Tape!C25</f>
        <v>0</v>
      </c>
      <c r="E60" s="0" t="n">
        <f aca="false">Tape!E25</f>
        <v>0</v>
      </c>
      <c r="F60" s="0" t="n">
        <f aca="false">Tape!F25</f>
        <v>0</v>
      </c>
      <c r="G60" s="0" t="str">
        <f aca="false">CONCATENATE(E60,", ",F60)</f>
        <v>0, 0</v>
      </c>
      <c r="H60" s="252" t="n">
        <f aca="false">Tape!L25</f>
        <v>0</v>
      </c>
      <c r="K60" s="252"/>
      <c r="L60" s="252"/>
      <c r="O60" s="252"/>
      <c r="P60" s="252"/>
      <c r="Q60" s="252"/>
      <c r="R60" s="252"/>
      <c r="U60" s="383"/>
      <c r="V60" s="252"/>
      <c r="W60" s="252"/>
      <c r="X60" s="383"/>
    </row>
    <row r="61" customFormat="false" ht="14.25" hidden="false" customHeight="false" outlineLevel="0" collapsed="false">
      <c r="D61" s="0" t="n">
        <f aca="false">Tape!C26</f>
        <v>0</v>
      </c>
      <c r="E61" s="0" t="n">
        <f aca="false">Tape!E26</f>
        <v>0</v>
      </c>
      <c r="F61" s="0" t="n">
        <f aca="false">Tape!F26</f>
        <v>0</v>
      </c>
      <c r="G61" s="0" t="str">
        <f aca="false">CONCATENATE(E61,", ",F61)</f>
        <v>0, 0</v>
      </c>
      <c r="H61" s="252" t="n">
        <f aca="false">Tape!L26</f>
        <v>0</v>
      </c>
      <c r="K61" s="252"/>
      <c r="L61" s="252"/>
      <c r="O61" s="252"/>
      <c r="P61" s="252"/>
      <c r="Q61" s="252"/>
      <c r="R61" s="252"/>
      <c r="U61" s="383"/>
      <c r="V61" s="252"/>
      <c r="W61" s="252"/>
      <c r="X61" s="383"/>
    </row>
    <row r="62" customFormat="false" ht="14.25" hidden="false" customHeight="false" outlineLevel="0" collapsed="false">
      <c r="D62" s="0" t="n">
        <f aca="false">Tape!C27</f>
        <v>0</v>
      </c>
      <c r="E62" s="0" t="n">
        <f aca="false">Tape!E27</f>
        <v>0</v>
      </c>
      <c r="F62" s="0" t="n">
        <f aca="false">Tape!F27</f>
        <v>0</v>
      </c>
      <c r="G62" s="0" t="str">
        <f aca="false">CONCATENATE(E62,", ",F62)</f>
        <v>0, 0</v>
      </c>
      <c r="H62" s="252" t="n">
        <f aca="false">Tape!L27</f>
        <v>0</v>
      </c>
      <c r="K62" s="252"/>
      <c r="L62" s="252"/>
      <c r="O62" s="252"/>
      <c r="P62" s="252"/>
      <c r="Q62" s="252"/>
      <c r="R62" s="252"/>
      <c r="U62" s="383"/>
      <c r="V62" s="252"/>
      <c r="W62" s="252"/>
      <c r="X62" s="383"/>
    </row>
    <row r="63" customFormat="false" ht="14.25" hidden="false" customHeight="false" outlineLevel="0" collapsed="false">
      <c r="D63" s="0" t="n">
        <f aca="false">Tape!C28</f>
        <v>0</v>
      </c>
      <c r="E63" s="0" t="n">
        <f aca="false">Tape!E28</f>
        <v>0</v>
      </c>
      <c r="F63" s="0" t="n">
        <f aca="false">Tape!F28</f>
        <v>0</v>
      </c>
      <c r="G63" s="0" t="str">
        <f aca="false">CONCATENATE(E63,", ",F63)</f>
        <v>0, 0</v>
      </c>
      <c r="H63" s="252" t="n">
        <f aca="false">Tape!L28</f>
        <v>0</v>
      </c>
      <c r="K63" s="252"/>
      <c r="L63" s="252"/>
      <c r="O63" s="252"/>
      <c r="P63" s="252"/>
      <c r="Q63" s="252"/>
      <c r="R63" s="252"/>
      <c r="U63" s="383"/>
      <c r="V63" s="252"/>
      <c r="W63" s="252"/>
      <c r="X63" s="383"/>
    </row>
    <row r="64" customFormat="false" ht="14.25" hidden="false" customHeight="false" outlineLevel="0" collapsed="false">
      <c r="D64" s="0" t="n">
        <f aca="false">Tape!C29</f>
        <v>0</v>
      </c>
      <c r="E64" s="0" t="n">
        <f aca="false">Tape!E29</f>
        <v>0</v>
      </c>
      <c r="F64" s="0" t="n">
        <f aca="false">Tape!F29</f>
        <v>0</v>
      </c>
      <c r="G64" s="0" t="str">
        <f aca="false">CONCATENATE(E64,", ",F64)</f>
        <v>0, 0</v>
      </c>
      <c r="H64" s="252" t="n">
        <f aca="false">Tape!L29</f>
        <v>0</v>
      </c>
      <c r="K64" s="252"/>
      <c r="L64" s="252"/>
      <c r="O64" s="252"/>
      <c r="P64" s="252"/>
      <c r="Q64" s="252"/>
      <c r="R64" s="252"/>
      <c r="U64" s="383"/>
      <c r="V64" s="252"/>
      <c r="W64" s="252"/>
      <c r="X64" s="383"/>
    </row>
    <row r="65" customFormat="false" ht="14.25" hidden="false" customHeight="false" outlineLevel="0" collapsed="false">
      <c r="D65" s="0" t="n">
        <f aca="false">Tape!C30</f>
        <v>0</v>
      </c>
      <c r="E65" s="0" t="n">
        <f aca="false">Tape!E30</f>
        <v>0</v>
      </c>
      <c r="F65" s="0" t="n">
        <f aca="false">Tape!F30</f>
        <v>0</v>
      </c>
      <c r="G65" s="0" t="str">
        <f aca="false">CONCATENATE(E65,", ",F65)</f>
        <v>0, 0</v>
      </c>
      <c r="H65" s="252" t="n">
        <f aca="false">Tape!L30</f>
        <v>0</v>
      </c>
      <c r="K65" s="252"/>
      <c r="L65" s="252"/>
      <c r="O65" s="252"/>
      <c r="P65" s="252"/>
      <c r="Q65" s="252"/>
      <c r="R65" s="252"/>
      <c r="U65" s="383"/>
      <c r="V65" s="252"/>
      <c r="W65" s="252"/>
      <c r="X65" s="383"/>
    </row>
    <row r="66" customFormat="false" ht="14.25" hidden="false" customHeight="false" outlineLevel="0" collapsed="false">
      <c r="D66" s="0" t="n">
        <f aca="false">Tape!C31</f>
        <v>0</v>
      </c>
      <c r="E66" s="0" t="n">
        <f aca="false">Tape!E31</f>
        <v>0</v>
      </c>
      <c r="F66" s="0" t="n">
        <f aca="false">Tape!F31</f>
        <v>0</v>
      </c>
      <c r="G66" s="0" t="str">
        <f aca="false">CONCATENATE(E66,", ",F66)</f>
        <v>0, 0</v>
      </c>
      <c r="H66" s="252" t="n">
        <f aca="false">Tape!L31</f>
        <v>0</v>
      </c>
      <c r="K66" s="252"/>
      <c r="L66" s="252"/>
      <c r="O66" s="252"/>
      <c r="P66" s="252"/>
      <c r="Q66" s="252"/>
      <c r="R66" s="252"/>
      <c r="U66" s="383"/>
      <c r="V66" s="252"/>
      <c r="W66" s="252"/>
      <c r="X66" s="383"/>
    </row>
    <row r="67" customFormat="false" ht="14.25" hidden="false" customHeight="false" outlineLevel="0" collapsed="false">
      <c r="D67" s="0" t="n">
        <f aca="false">Tape!C32</f>
        <v>0</v>
      </c>
      <c r="E67" s="0" t="n">
        <f aca="false">Tape!E32</f>
        <v>0</v>
      </c>
      <c r="F67" s="0" t="n">
        <f aca="false">Tape!F32</f>
        <v>0</v>
      </c>
      <c r="G67" s="0" t="str">
        <f aca="false">CONCATENATE(E67,", ",F67)</f>
        <v>0, 0</v>
      </c>
      <c r="H67" s="252" t="n">
        <f aca="false">Tape!L32</f>
        <v>0</v>
      </c>
      <c r="K67" s="252"/>
      <c r="L67" s="252"/>
      <c r="O67" s="252"/>
      <c r="P67" s="252"/>
      <c r="Q67" s="252"/>
      <c r="R67" s="252"/>
      <c r="U67" s="383"/>
      <c r="V67" s="252"/>
      <c r="W67" s="252"/>
      <c r="X67" s="383"/>
    </row>
    <row r="68" customFormat="false" ht="14.25" hidden="false" customHeight="false" outlineLevel="0" collapsed="false">
      <c r="D68" s="0" t="n">
        <f aca="false">Tape!C33</f>
        <v>0</v>
      </c>
      <c r="E68" s="0" t="n">
        <f aca="false">Tape!E33</f>
        <v>0</v>
      </c>
      <c r="F68" s="0" t="n">
        <f aca="false">Tape!F33</f>
        <v>0</v>
      </c>
      <c r="G68" s="0" t="str">
        <f aca="false">CONCATENATE(E68,", ",F68)</f>
        <v>0, 0</v>
      </c>
      <c r="H68" s="252" t="n">
        <f aca="false">Tape!L33</f>
        <v>0</v>
      </c>
      <c r="K68" s="252"/>
      <c r="L68" s="252"/>
      <c r="O68" s="252"/>
      <c r="P68" s="252"/>
      <c r="Q68" s="252"/>
      <c r="R68" s="252"/>
      <c r="U68" s="383"/>
      <c r="V68" s="252"/>
      <c r="W68" s="252"/>
      <c r="X68" s="383"/>
    </row>
    <row r="69" customFormat="false" ht="14.25" hidden="false" customHeight="false" outlineLevel="0" collapsed="false">
      <c r="D69" s="0" t="n">
        <f aca="false">Tape!C34</f>
        <v>0</v>
      </c>
      <c r="E69" s="0" t="n">
        <f aca="false">Tape!E34</f>
        <v>0</v>
      </c>
      <c r="F69" s="0" t="n">
        <f aca="false">Tape!F34</f>
        <v>0</v>
      </c>
      <c r="G69" s="0" t="str">
        <f aca="false">CONCATENATE(E69,", ",F69)</f>
        <v>0, 0</v>
      </c>
      <c r="H69" s="252" t="n">
        <f aca="false">Tape!L34</f>
        <v>0</v>
      </c>
      <c r="K69" s="252"/>
      <c r="L69" s="252"/>
      <c r="O69" s="252"/>
      <c r="P69" s="252"/>
      <c r="Q69" s="252"/>
      <c r="R69" s="252"/>
      <c r="U69" s="383"/>
      <c r="V69" s="252"/>
      <c r="W69" s="252"/>
      <c r="X69" s="383"/>
    </row>
    <row r="70" customFormat="false" ht="14.25" hidden="false" customHeight="false" outlineLevel="0" collapsed="false">
      <c r="D70" s="0" t="n">
        <f aca="false">Tape!C35</f>
        <v>0</v>
      </c>
      <c r="E70" s="0" t="n">
        <f aca="false">Tape!E35</f>
        <v>0</v>
      </c>
      <c r="F70" s="0" t="n">
        <f aca="false">Tape!F35</f>
        <v>0</v>
      </c>
      <c r="G70" s="0" t="str">
        <f aca="false">CONCATENATE(E70,", ",F70)</f>
        <v>0, 0</v>
      </c>
      <c r="H70" s="252" t="n">
        <f aca="false">Tape!L35</f>
        <v>0</v>
      </c>
      <c r="K70" s="252"/>
      <c r="L70" s="252"/>
      <c r="O70" s="252"/>
      <c r="P70" s="252"/>
      <c r="Q70" s="252"/>
      <c r="R70" s="252"/>
      <c r="U70" s="383"/>
      <c r="V70" s="252"/>
      <c r="W70" s="252"/>
      <c r="X70" s="383"/>
    </row>
    <row r="71" customFormat="false" ht="14.25" hidden="false" customHeight="false" outlineLevel="0" collapsed="false">
      <c r="D71" s="0" t="n">
        <f aca="false">Tape!C36</f>
        <v>0</v>
      </c>
      <c r="E71" s="0" t="n">
        <f aca="false">Tape!E36</f>
        <v>0</v>
      </c>
      <c r="F71" s="0" t="n">
        <f aca="false">Tape!F36</f>
        <v>0</v>
      </c>
      <c r="G71" s="0" t="str">
        <f aca="false">CONCATENATE(E71,", ",F71)</f>
        <v>0, 0</v>
      </c>
      <c r="H71" s="252" t="n">
        <f aca="false">Tape!L36</f>
        <v>0</v>
      </c>
      <c r="K71" s="252"/>
      <c r="L71" s="252"/>
      <c r="O71" s="252"/>
      <c r="P71" s="252"/>
      <c r="Q71" s="252"/>
      <c r="R71" s="252"/>
      <c r="U71" s="383"/>
      <c r="V71" s="252"/>
      <c r="W71" s="252"/>
      <c r="X71" s="383"/>
    </row>
  </sheetData>
  <mergeCells count="4">
    <mergeCell ref="D3:X3"/>
    <mergeCell ref="H4:I4"/>
    <mergeCell ref="J4:X4"/>
    <mergeCell ref="D37:E37"/>
  </mergeCells>
  <printOptions headings="false" gridLines="false" gridLinesSet="true" horizontalCentered="false" verticalCentered="false"/>
  <pageMargins left="0.7" right="0.7" top="0.75" bottom="0.75" header="0.511811023622047" footer="0.511811023622047"/>
  <pageSetup paperSize="1" scale="26"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85" zoomScaleNormal="85" zoomScalePageLayoutView="70" workbookViewId="0">
      <pane xSplit="3" ySplit="11" topLeftCell="J12" activePane="bottomRight" state="frozen"/>
      <selection pane="topLeft" activeCell="A1" activeCellId="0" sqref="A1"/>
      <selection pane="topRight" activeCell="J1" activeCellId="0" sqref="J1"/>
      <selection pane="bottomLeft" activeCell="A12" activeCellId="0" sqref="A12"/>
      <selection pane="bottomRight" activeCell="AO34" activeCellId="0" sqref="AO34"/>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IF(INDEX(Tape!$C$7:$C$36,1)="","",INDEX(Tape!$C$7:$C$36,1))</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IF(INDEX(Tape!$C$7:$C$36,2)="","",INDEX(Tape!$C$7:$C$36,2))</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IF(INDEX(Tape!$C$7:$C$36,3)="","",INDEX(Tape!$C$7:$C$36,3))</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IF(INDEX(Tape!$C$7:$C$36,4)="","",INDEX(Tape!$C$7:$C$36,4))</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IF(INDEX(Tape!$C$7:$C$36,5)="","",INDEX(Tape!$C$7:$C$36,5))</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IF(INDEX(Tape!$C$7:$C$36,6)="","",INDEX(Tape!$C$7:$C$36,6))</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IF(INDEX(Tape!$C$7:$C$36,7)="","",INDEX(Tape!$C$7:$C$36,7))</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IF(INDEX(Tape!$C$7:$C$36,8)="","",INDEX(Tape!$C$7:$C$36,8))</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IF(INDEX(Tape!$C$7:$C$36,9)="","",INDEX(Tape!$C$7:$C$36,9))</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IF(INDEX(Tape!$C$7:$C$36,10)="","",INDEX(Tape!$C$7:$C$36,10))</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IF(INDEX(Tape!$C$7:$C$36,11)="","",INDEX(Tape!$C$7:$C$36,11))</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IF(INDEX(Tape!$C$7:$C$36,12)="","",INDEX(Tape!$C$7:$C$36,12))</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IF(INDEX(Tape!$C$7:$C$36,13)="","",INDEX(Tape!$C$7:$C$36,13))</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IF(INDEX(Tape!$C$7:$C$36,14)="","",INDEX(Tape!$C$7:$C$36,14))</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IF(INDEX(Tape!$C$7:$C$36,15)="","",INDEX(Tape!$C$7:$C$36,15))</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IF(INDEX(Tape!$C$7:$C$36,16)="","",INDEX(Tape!$C$7:$C$36,16))</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IF(INDEX(Tape!$C$7:$C$36,17)="","",INDEX(Tape!$C$7:$C$36,17))</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IF(INDEX(Tape!$C$7:$C$36,18)="","",INDEX(Tape!$C$7:$C$36,18))</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IF(INDEX(Tape!$C$7:$C$36,19)="","",INDEX(Tape!$C$7:$C$36,19))</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IF(INDEX(Tape!$C$7:$C$36,20)="","",INDEX(Tape!$C$7:$C$36,20))</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IF(INDEX(Tape!$C$7:$C$36,21)="","",INDEX(Tape!$C$7:$C$36,21))</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IF(INDEX(Tape!$C$7:$C$36,22)="","",INDEX(Tape!$C$7:$C$36,22))</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IF(INDEX(Tape!$C$7:$C$36,23)="","",INDEX(Tape!$C$7:$C$36,23))</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IF(INDEX(Tape!$C$7:$C$36,24)="","",INDEX(Tape!$C$7:$C$36,24))</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IF(INDEX(Tape!$C$7:$C$36,25)="","",INDEX(Tape!$C$7:$C$36,25))</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IF(INDEX(Tape!$C$7:$C$36,26)="","",INDEX(Tape!$C$7:$C$36,26))</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IF(INDEX(Tape!$C$7:$C$36,27)="","",INDEX(Tape!$C$7:$C$36,27))</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IF(INDEX(Tape!$C$7:$C$36,28)="","",INDEX(Tape!$C$7:$C$36,28))</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IF(INDEX(Tape!$C$7:$C$36,29)="","",INDEX(Tape!$C$7:$C$36,29))</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C1:AU8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9" ySplit="11" topLeftCell="J12" activePane="bottomRight" state="frozen"/>
      <selection pane="topLeft" activeCell="A1" activeCellId="0" sqref="A1"/>
      <selection pane="topRight" activeCell="J1" activeCellId="0" sqref="J1"/>
      <selection pane="bottomLeft" activeCell="A12" activeCellId="0" sqref="A12"/>
      <selection pane="bottomRight" activeCell="A1" activeCellId="0" sqref="A1"/>
    </sheetView>
  </sheetViews>
  <sheetFormatPr defaultColWidth="9.203125" defaultRowHeight="14.25" zeroHeight="false" outlineLevelRow="0" outlineLevelCol="1"/>
  <cols>
    <col collapsed="false" customWidth="true" hidden="false" outlineLevel="0" max="1" min="1" style="0" width="5.53"/>
    <col collapsed="false" customWidth="true" hidden="false" outlineLevel="0" max="2" min="2" style="0" width="2.53"/>
    <col collapsed="false" customWidth="true" hidden="false" outlineLevel="0" max="3" min="3" style="216" width="42"/>
    <col collapsed="false" customWidth="true" hidden="false" outlineLevel="0" max="4" min="4" style="0" width="13.8"/>
    <col collapsed="false" customWidth="true" hidden="false" outlineLevel="0" max="5" min="5" style="0" width="10.53"/>
    <col collapsed="false" customWidth="true" hidden="false" outlineLevel="0" max="7" min="6" style="0" width="8.53"/>
    <col collapsed="false" customWidth="true" hidden="false" outlineLevel="0" max="8" min="8" style="0" width="13.8"/>
    <col collapsed="false" customWidth="true" hidden="false" outlineLevel="0" max="9" min="9" style="0" width="10.53"/>
    <col collapsed="false" customWidth="true" hidden="false" outlineLevel="0" max="11" min="10" style="0" width="8.53"/>
    <col collapsed="false" customWidth="true" hidden="false" outlineLevel="0" max="12" min="12" style="0" width="13.53"/>
    <col collapsed="false" customWidth="true" hidden="false" outlineLevel="0" max="13" min="13" style="0" width="10.53"/>
    <col collapsed="false" customWidth="true" hidden="false" outlineLevel="0" max="15" min="14" style="0" width="8.53"/>
    <col collapsed="false" customWidth="true" hidden="false" outlineLevel="0" max="16" min="16" style="0" width="13.53"/>
    <col collapsed="false" customWidth="true" hidden="false" outlineLevel="0" max="17" min="17" style="0" width="10.53"/>
    <col collapsed="false" customWidth="true" hidden="false" outlineLevel="0" max="19" min="18" style="0" width="8.53"/>
    <col collapsed="false" customWidth="true" hidden="false" outlineLevel="0" max="20" min="20" style="0" width="13.8"/>
    <col collapsed="false" customWidth="true" hidden="false" outlineLevel="0" max="21" min="21" style="0" width="10.53"/>
    <col collapsed="false" customWidth="true" hidden="false" outlineLevel="0" max="23" min="22" style="0" width="8.53"/>
    <col collapsed="false" customWidth="true" hidden="false" outlineLevel="0" max="24" min="24" style="0" width="13.8"/>
    <col collapsed="false" customWidth="true" hidden="false" outlineLevel="0" max="25" min="25" style="0" width="10.53"/>
    <col collapsed="false" customWidth="true" hidden="false" outlineLevel="0" max="27" min="26" style="0" width="8.53"/>
    <col collapsed="false" customWidth="true" hidden="false" outlineLevel="0" max="28" min="28" style="0" width="13.8"/>
    <col collapsed="false" customWidth="true" hidden="false" outlineLevel="0" max="29" min="29" style="0" width="10.53"/>
    <col collapsed="false" customWidth="true" hidden="false" outlineLevel="0" max="31" min="30" style="0" width="8.53"/>
    <col collapsed="false" customWidth="true" hidden="false" outlineLevel="0" max="32" min="32" style="0" width="13.8"/>
    <col collapsed="false" customWidth="true" hidden="false" outlineLevel="0" max="33" min="33" style="0" width="11"/>
    <col collapsed="false" customWidth="true" hidden="false" outlineLevel="0" max="35" min="34" style="0" width="8.53"/>
    <col collapsed="false" customWidth="true" hidden="true" outlineLevel="1" max="36" min="36" style="0" width="13.8"/>
    <col collapsed="false" customWidth="true" hidden="true" outlineLevel="1" max="37" min="37" style="0" width="10.53"/>
    <col collapsed="false" customWidth="true" hidden="true" outlineLevel="1" max="39" min="38" style="0" width="8.53"/>
    <col collapsed="false" customWidth="true" hidden="false" outlineLevel="0" max="40" min="40" style="0" width="13.8"/>
    <col collapsed="false" customWidth="true" hidden="false" outlineLevel="0" max="41" min="41" style="0" width="10.53"/>
    <col collapsed="false" customWidth="true" hidden="false" outlineLevel="0" max="43" min="42" style="0" width="8.53"/>
    <col collapsed="false" customWidth="true" hidden="false" outlineLevel="0" max="44" min="44" style="0" width="2.53"/>
    <col collapsed="false" customWidth="true" hidden="false" outlineLevel="0" max="45" min="45" style="0" width="9.8"/>
  </cols>
  <sheetData>
    <row r="1" s="217" customFormat="true" ht="14.25" hidden="false" customHeight="true" outlineLevel="0" collapsed="false">
      <c r="C1" s="218"/>
      <c r="P1" s="219"/>
      <c r="Q1" s="219"/>
      <c r="R1" s="220"/>
    </row>
    <row r="2" s="221" customFormat="true" ht="14.25" hidden="false" customHeight="true" outlineLevel="0" collapsed="false">
      <c r="D2" s="223"/>
      <c r="E2" s="223"/>
      <c r="F2" s="223"/>
      <c r="G2" s="223"/>
      <c r="H2" s="223"/>
      <c r="I2" s="223"/>
      <c r="J2" s="223"/>
      <c r="K2" s="223"/>
      <c r="L2" s="425"/>
      <c r="M2" s="223"/>
      <c r="N2" s="223"/>
      <c r="O2" s="223"/>
      <c r="P2" s="219"/>
      <c r="Q2" s="219"/>
      <c r="R2" s="220"/>
      <c r="S2" s="223"/>
      <c r="T2" s="223"/>
      <c r="U2" s="223"/>
      <c r="V2" s="223"/>
      <c r="W2" s="223"/>
      <c r="X2" s="223"/>
      <c r="Y2" s="223"/>
      <c r="Z2" s="223"/>
      <c r="AA2" s="223"/>
      <c r="AB2" s="426" t="s">
        <v>210</v>
      </c>
      <c r="AC2" s="427"/>
      <c r="AD2" s="428" t="n">
        <f aca="false">IFERROR((X11/P11)-1,0)</f>
        <v>0</v>
      </c>
      <c r="AE2" s="223"/>
      <c r="AF2" s="425"/>
      <c r="AG2" s="223"/>
      <c r="AH2" s="223"/>
      <c r="AI2" s="223"/>
      <c r="AN2" s="257"/>
    </row>
    <row r="3" s="221" customFormat="true" ht="14.25" hidden="false" customHeight="true" outlineLevel="0" collapsed="false">
      <c r="C3" s="429" t="str">
        <f aca="false">IF(INDEX(Tape!$C$7:$C$36,30)="","",INDEX(Tape!$C$7:$C$36,30))</f>
        <v/>
      </c>
      <c r="D3" s="223"/>
      <c r="E3" s="223"/>
      <c r="F3" s="223"/>
      <c r="G3" s="223"/>
      <c r="H3" s="223"/>
      <c r="I3" s="223"/>
      <c r="J3" s="223"/>
      <c r="K3" s="223"/>
      <c r="L3" s="425"/>
      <c r="M3" s="223"/>
      <c r="N3" s="223"/>
      <c r="O3" s="223"/>
      <c r="P3" s="219"/>
      <c r="Q3" s="219"/>
      <c r="R3" s="220"/>
      <c r="S3" s="223"/>
      <c r="T3" s="223"/>
      <c r="U3" s="223"/>
      <c r="V3" s="223"/>
      <c r="W3" s="223"/>
      <c r="X3" s="223"/>
      <c r="Y3" s="223"/>
      <c r="Z3" s="223"/>
      <c r="AA3" s="223"/>
      <c r="AB3" s="430" t="s">
        <v>211</v>
      </c>
      <c r="AC3" s="225"/>
      <c r="AD3" s="431" t="n">
        <f aca="false">IFERROR((X11/T11)-1,0)</f>
        <v>0</v>
      </c>
      <c r="AE3" s="223"/>
      <c r="AF3" s="425"/>
      <c r="AG3" s="223"/>
      <c r="AH3" s="223"/>
      <c r="AI3" s="223"/>
      <c r="AN3" s="257"/>
    </row>
    <row r="4" s="221" customFormat="true" ht="14.25" hidden="false" customHeight="true" outlineLevel="0" collapsed="false">
      <c r="C4" s="222"/>
      <c r="D4" s="223"/>
      <c r="E4" s="223"/>
      <c r="F4" s="223"/>
      <c r="G4" s="223"/>
      <c r="H4" s="223"/>
      <c r="I4" s="223"/>
      <c r="J4" s="223"/>
      <c r="K4" s="223"/>
      <c r="L4" s="223"/>
      <c r="M4" s="224"/>
      <c r="N4" s="224"/>
      <c r="O4" s="224"/>
      <c r="P4" s="219"/>
      <c r="Q4" s="225"/>
      <c r="R4" s="226"/>
      <c r="S4" s="224"/>
      <c r="T4" s="223"/>
      <c r="U4" s="223"/>
      <c r="V4" s="223"/>
      <c r="W4" s="223"/>
      <c r="X4" s="223"/>
      <c r="Y4" s="223"/>
      <c r="Z4" s="223"/>
      <c r="AA4" s="223"/>
      <c r="AB4" s="223"/>
      <c r="AC4" s="223"/>
      <c r="AD4" s="223"/>
      <c r="AE4" s="223"/>
      <c r="AF4" s="223"/>
      <c r="AG4" s="223"/>
      <c r="AH4" s="223"/>
      <c r="AI4" s="223"/>
    </row>
    <row r="5" customFormat="false" ht="14.25" hidden="false" customHeight="true" outlineLevel="0" collapsed="false">
      <c r="C5" s="432"/>
      <c r="D5" s="229" t="n">
        <f aca="false">Tape!$T$5</f>
        <v>2019</v>
      </c>
      <c r="E5" s="229"/>
      <c r="F5" s="229"/>
      <c r="G5" s="229"/>
      <c r="H5" s="229" t="n">
        <f aca="false">Tape!$U$5</f>
        <v>2021</v>
      </c>
      <c r="I5" s="229"/>
      <c r="J5" s="229"/>
      <c r="K5" s="229"/>
      <c r="L5" s="229" t="n">
        <f aca="false">Tape!$V$5</f>
        <v>2022</v>
      </c>
      <c r="M5" s="229"/>
      <c r="N5" s="229"/>
      <c r="O5" s="229"/>
      <c r="P5" s="229" t="n">
        <f aca="false">Tape!$W$5</f>
        <v>2023</v>
      </c>
      <c r="Q5" s="229"/>
      <c r="R5" s="229"/>
      <c r="S5" s="229"/>
      <c r="T5" s="229" t="n">
        <f aca="false">Tape!$X$5</f>
        <v>2024</v>
      </c>
      <c r="U5" s="229"/>
      <c r="V5" s="229"/>
      <c r="W5" s="229"/>
      <c r="X5" s="229" t="n">
        <f aca="false">Tape!$Y$5</f>
        <v>2025</v>
      </c>
      <c r="Y5" s="229"/>
      <c r="Z5" s="229"/>
      <c r="AA5" s="229"/>
      <c r="AB5" s="229" t="str">
        <f aca="false">Tape!$Z$5</f>
        <v>TTM</v>
      </c>
      <c r="AC5" s="229"/>
      <c r="AD5" s="229"/>
      <c r="AE5" s="229"/>
      <c r="AF5" s="229" t="str">
        <f aca="false">Tape!$AA$5</f>
        <v>Reforecast</v>
      </c>
      <c r="AG5" s="229"/>
      <c r="AH5" s="229"/>
      <c r="AI5" s="229"/>
      <c r="AJ5" s="230" t="str">
        <f aca="false">Tape!$AB$5</f>
        <v>Lender UW</v>
      </c>
      <c r="AK5" s="230"/>
      <c r="AL5" s="230"/>
      <c r="AM5" s="230"/>
      <c r="AN5" s="231" t="s">
        <v>99</v>
      </c>
      <c r="AO5" s="231"/>
      <c r="AP5" s="231"/>
      <c r="AQ5" s="231"/>
    </row>
    <row r="6" customFormat="false" ht="14.25" hidden="false" customHeight="true" outlineLevel="0" collapsed="false">
      <c r="C6" s="433" t="s">
        <v>23</v>
      </c>
      <c r="D6" s="234" t="n">
        <f aca="false">SUMIFS(Tape!$M$7:$M$36,Tape!$C$7:$C$36,$C$3)</f>
        <v>0</v>
      </c>
      <c r="E6" s="234"/>
      <c r="F6" s="234"/>
      <c r="G6" s="234"/>
      <c r="H6" s="234" t="n">
        <f aca="false">SUMIFS(Tape!$M$7:$M$36,Tape!$C$7:$C$36,$C$3)</f>
        <v>0</v>
      </c>
      <c r="I6" s="234"/>
      <c r="J6" s="234"/>
      <c r="K6" s="234"/>
      <c r="L6" s="234" t="n">
        <f aca="false">SUMIFS(Tape!$M$7:$M$36,Tape!$C$7:$C$36,$C$3)</f>
        <v>0</v>
      </c>
      <c r="M6" s="234"/>
      <c r="N6" s="234"/>
      <c r="O6" s="234"/>
      <c r="P6" s="234" t="n">
        <f aca="false">SUMIFS(Tape!$M$7:$M$36,Tape!$C$7:$C$36,$C$3)</f>
        <v>0</v>
      </c>
      <c r="Q6" s="234"/>
      <c r="R6" s="234"/>
      <c r="S6" s="234"/>
      <c r="T6" s="234" t="n">
        <f aca="false">SUMIFS(Tape!$M$7:$M$36,Tape!$C$7:$C$36,$C$3)</f>
        <v>0</v>
      </c>
      <c r="U6" s="234"/>
      <c r="V6" s="234"/>
      <c r="W6" s="234"/>
      <c r="X6" s="234" t="n">
        <f aca="false">SUMIFS(Tape!$M$7:$M$36,Tape!$C$7:$C$36,$C$3)</f>
        <v>0</v>
      </c>
      <c r="Y6" s="234"/>
      <c r="Z6" s="234"/>
      <c r="AA6" s="234"/>
      <c r="AB6" s="234" t="n">
        <f aca="false">SUMIFS(Tape!$M$7:$M$36,Tape!$C$7:$C$36,$C$3)</f>
        <v>0</v>
      </c>
      <c r="AC6" s="234"/>
      <c r="AD6" s="234"/>
      <c r="AE6" s="234"/>
      <c r="AF6" s="234" t="n">
        <f aca="false">SUMIFS(Tape!$M$7:$M$36,Tape!$C$7:$C$36,$C$3)</f>
        <v>0</v>
      </c>
      <c r="AG6" s="234"/>
      <c r="AH6" s="234"/>
      <c r="AI6" s="234"/>
      <c r="AJ6" s="234" t="n">
        <f aca="false">SUMIFS(Tape!$M$7:$M$36,Tape!$C$7:$C$36,$C$3)</f>
        <v>0</v>
      </c>
      <c r="AK6" s="234"/>
      <c r="AL6" s="234"/>
      <c r="AM6" s="234"/>
      <c r="AN6" s="434" t="n">
        <f aca="false">AJ6</f>
        <v>0</v>
      </c>
      <c r="AO6" s="434"/>
      <c r="AP6" s="434"/>
      <c r="AQ6" s="434"/>
    </row>
    <row r="7" customFormat="false" ht="14.25" hidden="false" customHeight="true" outlineLevel="0" collapsed="false">
      <c r="C7" s="433" t="s">
        <v>212</v>
      </c>
      <c r="D7" s="236" t="n">
        <f aca="false">IFERROR(INDEX(Tape!$T$7:$ME$36,MATCH($C$3,Tape!$C$7:$C$36,0),MATCH($C7&amp;"+"&amp;D$5,Tape!$T$1:$ME$1,0)),0)</f>
        <v>0</v>
      </c>
      <c r="E7" s="236"/>
      <c r="F7" s="236"/>
      <c r="G7" s="236"/>
      <c r="H7" s="236" t="n">
        <f aca="false">IFERROR(INDEX(Tape!$T$7:$ME$36,MATCH($C$3,Tape!$C$7:$C$36,0),MATCH($C7&amp;"+"&amp;H$5,Tape!$T$1:$ME$1,0)),0)</f>
        <v>0</v>
      </c>
      <c r="I7" s="236"/>
      <c r="J7" s="236"/>
      <c r="K7" s="236"/>
      <c r="L7" s="236" t="n">
        <f aca="false">IFERROR(INDEX(Tape!$T$7:$ME$36,MATCH($C$3,Tape!$C$7:$C$36,0),MATCH($C7&amp;"+"&amp;L$5,Tape!$T$1:$ME$1,0)),0)</f>
        <v>0</v>
      </c>
      <c r="M7" s="236"/>
      <c r="N7" s="236"/>
      <c r="O7" s="236"/>
      <c r="P7" s="236" t="n">
        <f aca="false">IFERROR(INDEX(Tape!$T$7:$ME$36,MATCH($C$3,Tape!$C$7:$C$36,0),MATCH($C7&amp;"+"&amp;P$5,Tape!$T$1:$ME$1,0)),0)</f>
        <v>0</v>
      </c>
      <c r="Q7" s="236"/>
      <c r="R7" s="236"/>
      <c r="S7" s="236"/>
      <c r="T7" s="236" t="n">
        <f aca="false">IFERROR(INDEX(Tape!$T$7:$ME$36,MATCH($C$3,Tape!$C$7:$C$36,0),MATCH($C7&amp;"+"&amp;T$5,Tape!$T$1:$ME$1,0)),0)</f>
        <v>0</v>
      </c>
      <c r="U7" s="236"/>
      <c r="V7" s="236"/>
      <c r="W7" s="236"/>
      <c r="X7" s="236" t="n">
        <f aca="false">IFERROR(INDEX(Tape!$T$7:$ME$36,MATCH($C$3,Tape!$C$7:$C$36,0),MATCH($C7&amp;"+"&amp;X$5,Tape!$T$1:$ME$1,0)),0)</f>
        <v>0</v>
      </c>
      <c r="Y7" s="236"/>
      <c r="Z7" s="236"/>
      <c r="AA7" s="236"/>
      <c r="AB7" s="236" t="n">
        <f aca="false">IFERROR(INDEX(Tape!$T$7:$ME$36,MATCH($C$3,Tape!$C$7:$C$36,0),MATCH($C7&amp;"+"&amp;AB$5,Tape!$T$1:$ME$1,0)),0)</f>
        <v>0</v>
      </c>
      <c r="AC7" s="236"/>
      <c r="AD7" s="236"/>
      <c r="AE7" s="236"/>
      <c r="AF7" s="236" t="n">
        <f aca="false">IFERROR(INDEX(Tape!$T$7:$ME$36,MATCH($C$3,Tape!$C$7:$C$36,0),MATCH($C7&amp;"+"&amp;AF$5,Tape!$T$1:$ME$1,0)),0)</f>
        <v>0</v>
      </c>
      <c r="AG7" s="236"/>
      <c r="AH7" s="236"/>
      <c r="AI7" s="236"/>
      <c r="AJ7" s="236" t="n">
        <f aca="false">IFERROR(INDEX(Tape!$T$7:$ME$36,MATCH($C$3,Tape!$C$7:$C$36,0),MATCH($C7&amp;"+"&amp;AJ$5,Tape!$T$1:$ME$1,0)),0)</f>
        <v>0</v>
      </c>
      <c r="AK7" s="236"/>
      <c r="AL7" s="236"/>
      <c r="AM7" s="236"/>
      <c r="AN7" s="435" t="n">
        <f aca="false">AN6*365</f>
        <v>0</v>
      </c>
      <c r="AO7" s="435"/>
      <c r="AP7" s="435"/>
      <c r="AQ7" s="435"/>
    </row>
    <row r="8" customFormat="false" ht="14.25" hidden="false" customHeight="true" outlineLevel="0" collapsed="false">
      <c r="C8" s="433" t="s">
        <v>213</v>
      </c>
      <c r="D8" s="236" t="n">
        <f aca="false">IFERROR(INDEX(Tape!$T$7:$ME$36,MATCH($C$3,Tape!$C$7:$C$36,0),MATCH($C8&amp;"+"&amp;D$5,Tape!$T$1:$ME$1,0)),0)</f>
        <v>0</v>
      </c>
      <c r="E8" s="236"/>
      <c r="F8" s="236"/>
      <c r="G8" s="236"/>
      <c r="H8" s="236" t="n">
        <f aca="false">IFERROR(INDEX(Tape!$T$7:$ME$36,MATCH($C$3,Tape!$C$7:$C$36,0),MATCH($C8&amp;"+"&amp;H$5,Tape!$T$1:$ME$1,0)),0)</f>
        <v>0</v>
      </c>
      <c r="I8" s="236"/>
      <c r="J8" s="236"/>
      <c r="K8" s="236"/>
      <c r="L8" s="236" t="n">
        <f aca="false">IFERROR(INDEX(Tape!$T$7:$ME$36,MATCH($C$3,Tape!$C$7:$C$36,0),MATCH($C8&amp;"+"&amp;L$5,Tape!$T$1:$ME$1,0)),0)</f>
        <v>0</v>
      </c>
      <c r="M8" s="236"/>
      <c r="N8" s="236"/>
      <c r="O8" s="236"/>
      <c r="P8" s="236" t="n">
        <f aca="false">IFERROR(INDEX(Tape!$T$7:$ME$36,MATCH($C$3,Tape!$C$7:$C$36,0),MATCH($C8&amp;"+"&amp;P$5,Tape!$T$1:$ME$1,0)),0)</f>
        <v>0</v>
      </c>
      <c r="Q8" s="236"/>
      <c r="R8" s="236"/>
      <c r="S8" s="236"/>
      <c r="T8" s="236" t="n">
        <f aca="false">IFERROR(INDEX(Tape!$T$7:$ME$36,MATCH($C$3,Tape!$C$7:$C$36,0),MATCH($C8&amp;"+"&amp;T$5,Tape!$T$1:$ME$1,0)),0)</f>
        <v>0</v>
      </c>
      <c r="U8" s="236"/>
      <c r="V8" s="236"/>
      <c r="W8" s="236"/>
      <c r="X8" s="236" t="n">
        <f aca="false">IFERROR(INDEX(Tape!$T$7:$ME$36,MATCH($C$3,Tape!$C$7:$C$36,0),MATCH($C8&amp;"+"&amp;X$5,Tape!$T$1:$ME$1,0)),0)</f>
        <v>0</v>
      </c>
      <c r="Y8" s="236"/>
      <c r="Z8" s="236"/>
      <c r="AA8" s="236"/>
      <c r="AB8" s="236" t="n">
        <f aca="false">IFERROR(INDEX(Tape!$T$7:$ME$36,MATCH($C$3,Tape!$C$7:$C$36,0),MATCH($C8&amp;"+"&amp;AB$5,Tape!$T$1:$ME$1,0)),0)</f>
        <v>0</v>
      </c>
      <c r="AC8" s="236"/>
      <c r="AD8" s="236"/>
      <c r="AE8" s="236"/>
      <c r="AF8" s="236" t="n">
        <f aca="false">IFERROR(INDEX(Tape!$T$7:$ME$36,MATCH($C$3,Tape!$C$7:$C$36,0),MATCH($C8&amp;"+"&amp;AF$5,Tape!$T$1:$ME$1,0)),0)</f>
        <v>0</v>
      </c>
      <c r="AG8" s="236"/>
      <c r="AH8" s="236"/>
      <c r="AI8" s="236"/>
      <c r="AJ8" s="236" t="n">
        <f aca="false">IFERROR(INDEX(Tape!$T$7:$ME$36,MATCH($C$3,Tape!$C$7:$C$36,0),MATCH($C8&amp;"+"&amp;AJ$5,Tape!$T$1:$ME$1,0)),0)</f>
        <v>0</v>
      </c>
      <c r="AK8" s="236"/>
      <c r="AL8" s="236"/>
      <c r="AM8" s="236"/>
      <c r="AN8" s="436" t="n">
        <f aca="false">AN9*AN7</f>
        <v>0</v>
      </c>
      <c r="AO8" s="436"/>
      <c r="AP8" s="436"/>
      <c r="AQ8" s="436"/>
    </row>
    <row r="9" customFormat="false" ht="14.25" hidden="false" customHeight="true" outlineLevel="0" collapsed="false">
      <c r="C9" s="433" t="s">
        <v>214</v>
      </c>
      <c r="D9" s="238" t="n">
        <f aca="false">IFERROR(INDEX(Tape!$T$7:$ME$36,MATCH($C$3,Tape!$C$7:$C$36,0),MATCH($C9&amp;"+"&amp;D$5,Tape!$T$1:$ME$1,0)),0)</f>
        <v>0</v>
      </c>
      <c r="E9" s="238"/>
      <c r="F9" s="238"/>
      <c r="G9" s="238"/>
      <c r="H9" s="238" t="n">
        <f aca="false">IFERROR(INDEX(Tape!$T$7:$ME$36,MATCH($C$3,Tape!$C$7:$C$36,0),MATCH($C9&amp;"+"&amp;H$5,Tape!$T$1:$ME$1,0)),0)</f>
        <v>0</v>
      </c>
      <c r="I9" s="238"/>
      <c r="J9" s="238"/>
      <c r="K9" s="238"/>
      <c r="L9" s="238" t="n">
        <f aca="false">IFERROR(INDEX(Tape!$T$7:$ME$36,MATCH($C$3,Tape!$C$7:$C$36,0),MATCH($C9&amp;"+"&amp;L$5,Tape!$T$1:$ME$1,0)),0)</f>
        <v>0</v>
      </c>
      <c r="M9" s="238"/>
      <c r="N9" s="238"/>
      <c r="O9" s="238"/>
      <c r="P9" s="238" t="n">
        <f aca="false">IFERROR(INDEX(Tape!$T$7:$ME$36,MATCH($C$3,Tape!$C$7:$C$36,0),MATCH($C9&amp;"+"&amp;P$5,Tape!$T$1:$ME$1,0)),0)</f>
        <v>0</v>
      </c>
      <c r="Q9" s="238"/>
      <c r="R9" s="238"/>
      <c r="S9" s="238"/>
      <c r="T9" s="238" t="n">
        <f aca="false">IFERROR(INDEX(Tape!$T$7:$ME$36,MATCH($C$3,Tape!$C$7:$C$36,0),MATCH($C9&amp;"+"&amp;T$5,Tape!$T$1:$ME$1,0)),0)</f>
        <v>0</v>
      </c>
      <c r="U9" s="238"/>
      <c r="V9" s="238"/>
      <c r="W9" s="238"/>
      <c r="X9" s="238" t="n">
        <f aca="false">IFERROR(INDEX(Tape!$T$7:$ME$36,MATCH($C$3,Tape!$C$7:$C$36,0),MATCH($C9&amp;"+"&amp;X$5,Tape!$T$1:$ME$1,0)),0)</f>
        <v>0</v>
      </c>
      <c r="Y9" s="238"/>
      <c r="Z9" s="238"/>
      <c r="AA9" s="238"/>
      <c r="AB9" s="238" t="n">
        <f aca="false">IFERROR(INDEX(Tape!$T$7:$ME$36,MATCH($C$3,Tape!$C$7:$C$36,0),MATCH($C9&amp;"+"&amp;AB$5,Tape!$T$1:$ME$1,0)),0)</f>
        <v>0</v>
      </c>
      <c r="AC9" s="238"/>
      <c r="AD9" s="238"/>
      <c r="AE9" s="238"/>
      <c r="AF9" s="238" t="n">
        <f aca="false">IFERROR(INDEX(Tape!$T$7:$ME$36,MATCH($C$3,Tape!$C$7:$C$36,0),MATCH($C9&amp;"+"&amp;AF$5,Tape!$T$1:$ME$1,0)),0)</f>
        <v>0</v>
      </c>
      <c r="AG9" s="238"/>
      <c r="AH9" s="238"/>
      <c r="AI9" s="238"/>
      <c r="AJ9" s="238" t="n">
        <f aca="false">IFERROR(INDEX(Tape!$T$7:$ME$36,MATCH($C$3,Tape!$C$7:$C$36,0),MATCH($C9&amp;"+"&amp;AJ$5,Tape!$T$1:$ME$1,0)),0)</f>
        <v>0</v>
      </c>
      <c r="AK9" s="238"/>
      <c r="AL9" s="238"/>
      <c r="AM9" s="238"/>
      <c r="AN9" s="437" t="n">
        <f aca="false">SUMIFS('UW Drivers'!$P$9:$P$38,'UW Drivers'!$D$9:$D$38,$C$3)</f>
        <v>0</v>
      </c>
      <c r="AO9" s="437"/>
      <c r="AP9" s="437"/>
      <c r="AQ9" s="437"/>
    </row>
    <row r="10" s="239" customFormat="true" ht="14.25" hidden="false" customHeight="true" outlineLevel="0" collapsed="false">
      <c r="C10" s="438" t="s">
        <v>104</v>
      </c>
      <c r="D10" s="242" t="n">
        <f aca="false">IFERROR(INDEX(Tape!$T$7:$ME$36,MATCH($C$3,Tape!$C$7:$C$36,0),MATCH($C10&amp;"+"&amp;D$5,Tape!$T$1:$ME$1,0)),0)</f>
        <v>0</v>
      </c>
      <c r="E10" s="242"/>
      <c r="F10" s="242"/>
      <c r="G10" s="242"/>
      <c r="H10" s="242" t="n">
        <f aca="false">IFERROR(INDEX(Tape!$T$7:$ME$36,MATCH($C$3,Tape!$C$7:$C$36,0),MATCH($C10&amp;"+"&amp;H$5,Tape!$T$1:$ME$1,0)),0)</f>
        <v>0</v>
      </c>
      <c r="I10" s="242"/>
      <c r="J10" s="242"/>
      <c r="K10" s="242"/>
      <c r="L10" s="242" t="n">
        <f aca="false">IFERROR(INDEX(Tape!$T$7:$ME$36,MATCH($C$3,Tape!$C$7:$C$36,0),MATCH($C10&amp;"+"&amp;L$5,Tape!$T$1:$ME$1,0)),0)</f>
        <v>0</v>
      </c>
      <c r="M10" s="242"/>
      <c r="N10" s="242"/>
      <c r="O10" s="242"/>
      <c r="P10" s="242" t="n">
        <f aca="false">IFERROR(INDEX(Tape!$T$7:$ME$36,MATCH($C$3,Tape!$C$7:$C$36,0),MATCH($C10&amp;"+"&amp;P$5,Tape!$T$1:$ME$1,0)),0)</f>
        <v>0</v>
      </c>
      <c r="Q10" s="242"/>
      <c r="R10" s="242"/>
      <c r="S10" s="242"/>
      <c r="T10" s="242" t="n">
        <f aca="false">IFERROR(INDEX(Tape!$T$7:$ME$36,MATCH($C$3,Tape!$C$7:$C$36,0),MATCH($C10&amp;"+"&amp;T$5,Tape!$T$1:$ME$1,0)),0)</f>
        <v>0</v>
      </c>
      <c r="U10" s="242"/>
      <c r="V10" s="242"/>
      <c r="W10" s="242"/>
      <c r="X10" s="242" t="n">
        <f aca="false">IFERROR(INDEX(Tape!$T$7:$ME$36,MATCH($C$3,Tape!$C$7:$C$36,0),MATCH($C10&amp;"+"&amp;X$5,Tape!$T$1:$ME$1,0)),0)</f>
        <v>0</v>
      </c>
      <c r="Y10" s="242"/>
      <c r="Z10" s="242"/>
      <c r="AA10" s="242"/>
      <c r="AB10" s="242" t="n">
        <f aca="false">IFERROR(INDEX(Tape!$T$7:$ME$36,MATCH($C$3,Tape!$C$7:$C$36,0),MATCH($C10&amp;"+"&amp;AB$5,Tape!$T$1:$ME$1,0)),0)</f>
        <v>0</v>
      </c>
      <c r="AC10" s="242"/>
      <c r="AD10" s="242"/>
      <c r="AE10" s="242"/>
      <c r="AF10" s="242" t="n">
        <f aca="false">IFERROR(INDEX(Tape!$T$7:$ME$36,MATCH($C$3,Tape!$C$7:$C$36,0),MATCH($C10&amp;"+"&amp;AF$5,Tape!$T$1:$ME$1,0)),0)</f>
        <v>0</v>
      </c>
      <c r="AG10" s="242"/>
      <c r="AH10" s="242"/>
      <c r="AI10" s="242"/>
      <c r="AJ10" s="242" t="n">
        <f aca="false">IFERROR(INDEX(Tape!$T$7:$ME$36,MATCH($C$3,Tape!$C$7:$C$36,0),MATCH($C10&amp;"+"&amp;AJ$5,Tape!$T$1:$ME$1,0)),0)</f>
        <v>0</v>
      </c>
      <c r="AK10" s="242"/>
      <c r="AL10" s="242"/>
      <c r="AM10" s="242"/>
      <c r="AN10" s="439" t="n">
        <f aca="false">SUMIFS('UW Drivers'!$Q$9:$Q$38,'UW Drivers'!$D$9:$D$38,$C$3)</f>
        <v>0</v>
      </c>
      <c r="AO10" s="439"/>
      <c r="AP10" s="439"/>
      <c r="AQ10" s="439"/>
      <c r="AR10" s="243"/>
    </row>
    <row r="11" s="239" customFormat="true" ht="14.25" hidden="false" customHeight="true" outlineLevel="0" collapsed="false">
      <c r="C11" s="440" t="s">
        <v>215</v>
      </c>
      <c r="D11" s="246" t="n">
        <f aca="false">IFERROR(INDEX(Tape!$T$7:$ME$36,MATCH($C$3,Tape!$C$7:$C$36,0),MATCH($C11&amp;"+"&amp;D$5,Tape!$T$1:$ME$1,0)),0)</f>
        <v>0</v>
      </c>
      <c r="E11" s="246"/>
      <c r="F11" s="246"/>
      <c r="G11" s="246"/>
      <c r="H11" s="246" t="n">
        <f aca="false">IFERROR(INDEX(Tape!$T$7:$ME$36,MATCH($C$3,Tape!$C$7:$C$36,0),MATCH($C11&amp;"+"&amp;H$5,Tape!$T$1:$ME$1,0)),0)</f>
        <v>0</v>
      </c>
      <c r="I11" s="246"/>
      <c r="J11" s="246"/>
      <c r="K11" s="246"/>
      <c r="L11" s="246" t="n">
        <f aca="false">IFERROR(INDEX(Tape!$T$7:$ME$36,MATCH($C$3,Tape!$C$7:$C$36,0),MATCH($C11&amp;"+"&amp;L$5,Tape!$T$1:$ME$1,0)),0)</f>
        <v>0</v>
      </c>
      <c r="M11" s="246"/>
      <c r="N11" s="246"/>
      <c r="O11" s="246"/>
      <c r="P11" s="246" t="n">
        <f aca="false">IFERROR(INDEX(Tape!$T$7:$ME$36,MATCH($C$3,Tape!$C$7:$C$36,0),MATCH($C11&amp;"+"&amp;P$5,Tape!$T$1:$ME$1,0)),0)</f>
        <v>0</v>
      </c>
      <c r="Q11" s="246"/>
      <c r="R11" s="246"/>
      <c r="S11" s="246"/>
      <c r="T11" s="246" t="n">
        <f aca="false">IFERROR(INDEX(Tape!$T$7:$ME$36,MATCH($C$3,Tape!$C$7:$C$36,0),MATCH($C11&amp;"+"&amp;T$5,Tape!$T$1:$ME$1,0)),0)</f>
        <v>0</v>
      </c>
      <c r="U11" s="246"/>
      <c r="V11" s="246"/>
      <c r="W11" s="246"/>
      <c r="X11" s="246" t="n">
        <f aca="false">IFERROR(INDEX(Tape!$T$7:$ME$36,MATCH($C$3,Tape!$C$7:$C$36,0),MATCH($C11&amp;"+"&amp;X$5,Tape!$T$1:$ME$1,0)),0)</f>
        <v>0</v>
      </c>
      <c r="Y11" s="246"/>
      <c r="Z11" s="246"/>
      <c r="AA11" s="246"/>
      <c r="AB11" s="246" t="n">
        <f aca="false">IFERROR(INDEX(Tape!$T$7:$ME$36,MATCH($C$3,Tape!$C$7:$C$36,0),MATCH($C11&amp;"+"&amp;AB$5,Tape!$T$1:$ME$1,0)),0)</f>
        <v>0</v>
      </c>
      <c r="AC11" s="246"/>
      <c r="AD11" s="246"/>
      <c r="AE11" s="246"/>
      <c r="AF11" s="246" t="n">
        <f aca="false">IFERROR(INDEX(Tape!$T$7:$ME$36,MATCH($C$3,Tape!$C$7:$C$36,0),MATCH($C11&amp;"+"&amp;AF$5,Tape!$T$1:$ME$1,0)),0)</f>
        <v>0</v>
      </c>
      <c r="AG11" s="246"/>
      <c r="AH11" s="246"/>
      <c r="AI11" s="246"/>
      <c r="AJ11" s="246" t="n">
        <f aca="false">IFERROR(INDEX(Tape!$T$7:$ME$36,MATCH($C$3,Tape!$C$7:$C$36,0),MATCH($C11&amp;"+"&amp;AJ$5,Tape!$T$1:$ME$1,0)),0)</f>
        <v>0</v>
      </c>
      <c r="AK11" s="246"/>
      <c r="AL11" s="246"/>
      <c r="AM11" s="246"/>
      <c r="AN11" s="441" t="n">
        <f aca="false">AN9*AN10</f>
        <v>0</v>
      </c>
      <c r="AO11" s="441"/>
      <c r="AP11" s="441"/>
      <c r="AQ11" s="441"/>
      <c r="AT11" s="442"/>
      <c r="AU11" s="243"/>
    </row>
    <row r="12" customFormat="false" ht="14.25" hidden="false" customHeight="true" outlineLevel="0" collapsed="false">
      <c r="C12" s="443"/>
      <c r="D12" s="251"/>
      <c r="E12" s="248"/>
      <c r="F12" s="249"/>
      <c r="G12" s="250"/>
      <c r="H12" s="251"/>
      <c r="I12" s="248"/>
      <c r="J12" s="249"/>
      <c r="K12" s="250"/>
      <c r="L12" s="251"/>
      <c r="M12" s="248"/>
      <c r="N12" s="249"/>
      <c r="O12" s="250"/>
      <c r="P12" s="251"/>
      <c r="Q12" s="248"/>
      <c r="R12" s="249"/>
      <c r="S12" s="250"/>
      <c r="T12" s="251"/>
      <c r="U12" s="248"/>
      <c r="V12" s="249"/>
      <c r="W12" s="250"/>
      <c r="X12" s="251"/>
      <c r="Y12" s="248"/>
      <c r="Z12" s="249"/>
      <c r="AA12" s="250"/>
      <c r="AB12" s="251"/>
      <c r="AC12" s="248"/>
      <c r="AD12" s="249"/>
      <c r="AE12" s="250"/>
      <c r="AF12" s="251"/>
      <c r="AG12" s="248"/>
      <c r="AH12" s="249"/>
      <c r="AI12" s="250"/>
      <c r="AJ12" s="251"/>
      <c r="AK12" s="248"/>
      <c r="AL12" s="249"/>
      <c r="AM12" s="250"/>
      <c r="AN12" s="444"/>
      <c r="AO12" s="445"/>
      <c r="AP12" s="446"/>
      <c r="AQ12" s="447"/>
      <c r="AS12" s="252"/>
    </row>
    <row r="13" customFormat="false" ht="14.25" hidden="false" customHeight="true" outlineLevel="0" collapsed="false">
      <c r="C13" s="443" t="s">
        <v>130</v>
      </c>
      <c r="D13" s="256" t="s">
        <v>72</v>
      </c>
      <c r="E13" s="253" t="s">
        <v>131</v>
      </c>
      <c r="F13" s="254" t="s">
        <v>132</v>
      </c>
      <c r="G13" s="255" t="s">
        <v>133</v>
      </c>
      <c r="H13" s="256" t="s">
        <v>72</v>
      </c>
      <c r="I13" s="253" t="s">
        <v>131</v>
      </c>
      <c r="J13" s="254" t="s">
        <v>132</v>
      </c>
      <c r="K13" s="255" t="s">
        <v>133</v>
      </c>
      <c r="L13" s="256" t="s">
        <v>72</v>
      </c>
      <c r="M13" s="253" t="s">
        <v>131</v>
      </c>
      <c r="N13" s="254" t="s">
        <v>132</v>
      </c>
      <c r="O13" s="255" t="s">
        <v>133</v>
      </c>
      <c r="P13" s="256" t="s">
        <v>72</v>
      </c>
      <c r="Q13" s="253" t="s">
        <v>131</v>
      </c>
      <c r="R13" s="254" t="s">
        <v>132</v>
      </c>
      <c r="S13" s="255" t="s">
        <v>133</v>
      </c>
      <c r="T13" s="256" t="s">
        <v>72</v>
      </c>
      <c r="U13" s="253" t="s">
        <v>131</v>
      </c>
      <c r="V13" s="254" t="s">
        <v>132</v>
      </c>
      <c r="W13" s="255" t="s">
        <v>133</v>
      </c>
      <c r="X13" s="256" t="s">
        <v>72</v>
      </c>
      <c r="Y13" s="253" t="s">
        <v>131</v>
      </c>
      <c r="Z13" s="254" t="s">
        <v>132</v>
      </c>
      <c r="AA13" s="255" t="s">
        <v>133</v>
      </c>
      <c r="AB13" s="256" t="s">
        <v>72</v>
      </c>
      <c r="AC13" s="253" t="s">
        <v>131</v>
      </c>
      <c r="AD13" s="254" t="s">
        <v>132</v>
      </c>
      <c r="AE13" s="255" t="s">
        <v>133</v>
      </c>
      <c r="AF13" s="256" t="s">
        <v>72</v>
      </c>
      <c r="AG13" s="253" t="s">
        <v>131</v>
      </c>
      <c r="AH13" s="254" t="s">
        <v>132</v>
      </c>
      <c r="AI13" s="255" t="s">
        <v>133</v>
      </c>
      <c r="AJ13" s="256" t="s">
        <v>72</v>
      </c>
      <c r="AK13" s="253" t="s">
        <v>131</v>
      </c>
      <c r="AL13" s="254" t="s">
        <v>132</v>
      </c>
      <c r="AM13" s="255" t="s">
        <v>133</v>
      </c>
      <c r="AN13" s="448" t="s">
        <v>72</v>
      </c>
      <c r="AO13" s="449" t="s">
        <v>131</v>
      </c>
      <c r="AP13" s="450" t="s">
        <v>132</v>
      </c>
      <c r="AQ13" s="451" t="s">
        <v>133</v>
      </c>
      <c r="AR13" s="257"/>
    </row>
    <row r="14" customFormat="false" ht="14.25" hidden="false" customHeight="true" outlineLevel="0" collapsed="false">
      <c r="C14" s="452" t="s">
        <v>134</v>
      </c>
      <c r="D14" s="263" t="n">
        <f aca="false">IFERROR(INDEX(Tape!$T$7:$ME$36,MATCH($C$3,Tape!$C$7:$C$36,0),MATCH($C14&amp;"+"&amp;D$5,Tape!$T$1:$ME$1,0)),0)</f>
        <v>0</v>
      </c>
      <c r="E14" s="260" t="n">
        <f aca="false">IFERROR(D14/D$19,0)</f>
        <v>0</v>
      </c>
      <c r="F14" s="261" t="n">
        <f aca="false">IFERROR(D14/D$8,0)</f>
        <v>0</v>
      </c>
      <c r="G14" s="262" t="n">
        <f aca="false">IFERROR(D14/D$7,0)</f>
        <v>0</v>
      </c>
      <c r="H14" s="263" t="n">
        <f aca="false">IFERROR(INDEX(Tape!$T$7:$ME$36,MATCH($C$3,Tape!$C$7:$C$36,0),MATCH($C14&amp;"+"&amp;H$5,Tape!$T$1:$ME$1,0)),0)</f>
        <v>0</v>
      </c>
      <c r="I14" s="260" t="n">
        <f aca="false">IFERROR(H14/H$19,0)</f>
        <v>0</v>
      </c>
      <c r="J14" s="261" t="n">
        <f aca="false">IFERROR(H14/H$8,0)</f>
        <v>0</v>
      </c>
      <c r="K14" s="262" t="n">
        <f aca="false">IFERROR(H14/H$7,0)</f>
        <v>0</v>
      </c>
      <c r="L14" s="263" t="n">
        <f aca="false">IFERROR(INDEX(Tape!$T$7:$ME$36,MATCH($C$3,Tape!$C$7:$C$36,0),MATCH($C14&amp;"+"&amp;L$5,Tape!$T$1:$ME$1,0)),0)</f>
        <v>0</v>
      </c>
      <c r="M14" s="260" t="n">
        <f aca="false">IFERROR(L14/L$19,0)</f>
        <v>0</v>
      </c>
      <c r="N14" s="261" t="n">
        <f aca="false">IFERROR(L14/L$8,0)</f>
        <v>0</v>
      </c>
      <c r="O14" s="262" t="n">
        <f aca="false">IFERROR(L14/L$7,0)</f>
        <v>0</v>
      </c>
      <c r="P14" s="263" t="n">
        <f aca="false">IFERROR(INDEX(Tape!$T$7:$ME$36,MATCH($C$3,Tape!$C$7:$C$36,0),MATCH($C14&amp;"+"&amp;P$5,Tape!$T$1:$ME$1,0)),0)</f>
        <v>0</v>
      </c>
      <c r="Q14" s="260" t="n">
        <f aca="false">IFERROR(P14/P$19,0)</f>
        <v>0</v>
      </c>
      <c r="R14" s="261" t="n">
        <f aca="false">IFERROR(P14/P$8,0)</f>
        <v>0</v>
      </c>
      <c r="S14" s="262" t="n">
        <f aca="false">IFERROR(P14/P$7,0)</f>
        <v>0</v>
      </c>
      <c r="T14" s="263" t="n">
        <f aca="false">IFERROR(INDEX(Tape!$T$7:$ME$36,MATCH($C$3,Tape!$C$7:$C$36,0),MATCH($C14&amp;"+"&amp;T$5,Tape!$T$1:$ME$1,0)),0)</f>
        <v>0</v>
      </c>
      <c r="U14" s="260" t="n">
        <f aca="false">IFERROR(T14/T$19,0)</f>
        <v>0</v>
      </c>
      <c r="V14" s="261" t="n">
        <f aca="false">IFERROR(T14/T$8,0)</f>
        <v>0</v>
      </c>
      <c r="W14" s="262" t="n">
        <f aca="false">IFERROR(T14/T$7,0)</f>
        <v>0</v>
      </c>
      <c r="X14" s="263" t="n">
        <f aca="false">IFERROR(INDEX(Tape!$T$7:$ME$36,MATCH($C$3,Tape!$C$7:$C$36,0),MATCH($C14&amp;"+"&amp;X$5,Tape!$T$1:$ME$1,0)),0)</f>
        <v>0</v>
      </c>
      <c r="Y14" s="260" t="n">
        <f aca="false">IFERROR(X14/X$19,0)</f>
        <v>0</v>
      </c>
      <c r="Z14" s="261" t="n">
        <f aca="false">IFERROR(X14/X$8,0)</f>
        <v>0</v>
      </c>
      <c r="AA14" s="262" t="n">
        <f aca="false">IFERROR(X14/X$7,0)</f>
        <v>0</v>
      </c>
      <c r="AB14" s="263" t="n">
        <f aca="false">IFERROR(INDEX(Tape!$T$7:$ME$36,MATCH($C$3,Tape!$C$7:$C$36,0),MATCH($C14&amp;"+"&amp;AB$5,Tape!$T$1:$ME$1,0)),0)</f>
        <v>0</v>
      </c>
      <c r="AC14" s="260" t="n">
        <f aca="false">IFERROR(AB14/AB$19,0)</f>
        <v>0</v>
      </c>
      <c r="AD14" s="261" t="n">
        <f aca="false">IFERROR(AB14/AB$8,0)</f>
        <v>0</v>
      </c>
      <c r="AE14" s="262" t="n">
        <f aca="false">IFERROR(AB14/AB$7,0)</f>
        <v>0</v>
      </c>
      <c r="AF14" s="263" t="n">
        <f aca="false">IFERROR(INDEX(Tape!$T$7:$ME$36,MATCH($C$3,Tape!$C$7:$C$36,0),MATCH($C14&amp;"+"&amp;AF$5,Tape!$T$1:$ME$1,0)),0)</f>
        <v>0</v>
      </c>
      <c r="AG14" s="260" t="n">
        <f aca="false">IFERROR(AF14/AF$19,0)</f>
        <v>0</v>
      </c>
      <c r="AH14" s="261" t="n">
        <f aca="false">IFERROR(AF14/AF$8,0)</f>
        <v>0</v>
      </c>
      <c r="AI14" s="262" t="n">
        <f aca="false">IFERROR(AF14/AF$7,0)</f>
        <v>0</v>
      </c>
      <c r="AJ14" s="263" t="n">
        <f aca="false">IFERROR(INDEX(Tape!$T$7:$ME$36,MATCH($C$3,Tape!$C$7:$C$36,0),MATCH($C14&amp;"+"&amp;AJ$5,Tape!$T$1:$ME$1,0)),0)</f>
        <v>0</v>
      </c>
      <c r="AK14" s="260" t="n">
        <f aca="false">IFERROR(AJ14/AJ$19,0)</f>
        <v>0</v>
      </c>
      <c r="AL14" s="261" t="n">
        <f aca="false">IFERROR(AJ14/AJ$8,0)</f>
        <v>0</v>
      </c>
      <c r="AM14" s="262" t="n">
        <f aca="false">IFERROR(AJ14/AJ$7,0)</f>
        <v>0</v>
      </c>
      <c r="AN14" s="453" t="n">
        <f aca="false">AN8*AN10</f>
        <v>0</v>
      </c>
      <c r="AO14" s="454" t="n">
        <f aca="false">IFERROR(AN14/AN$19,0)</f>
        <v>0</v>
      </c>
      <c r="AP14" s="455" t="n">
        <f aca="false">IFERROR(AN14/AN$8,0)</f>
        <v>0</v>
      </c>
      <c r="AQ14" s="456" t="n">
        <f aca="false">IFERROR(AN14/AN$7,0)</f>
        <v>0</v>
      </c>
    </row>
    <row r="15" customFormat="false" ht="14.25" hidden="false" customHeight="true" outlineLevel="0" collapsed="false">
      <c r="C15" s="452" t="s">
        <v>135</v>
      </c>
      <c r="D15" s="263" t="n">
        <f aca="false">IFERROR(INDEX(Tape!$T$7:$ME$36,MATCH($C$3,Tape!$C$7:$C$36,0),MATCH($C15&amp;"+"&amp;D$5,Tape!$T$1:$ME$1,0)),0)</f>
        <v>0</v>
      </c>
      <c r="E15" s="264" t="n">
        <f aca="false">IFERROR(D15/D$19,0)</f>
        <v>0</v>
      </c>
      <c r="F15" s="261" t="n">
        <f aca="false">IFERROR(D15/D$8,0)</f>
        <v>0</v>
      </c>
      <c r="G15" s="262" t="n">
        <f aca="false">IFERROR(D15/D$7,0)</f>
        <v>0</v>
      </c>
      <c r="H15" s="263" t="n">
        <f aca="false">IFERROR(INDEX(Tape!$T$7:$ME$36,MATCH($C$3,Tape!$C$7:$C$36,0),MATCH($C15&amp;"+"&amp;H$5,Tape!$T$1:$ME$1,0)),0)</f>
        <v>0</v>
      </c>
      <c r="I15" s="264" t="n">
        <f aca="false">IFERROR(H15/H$19,0)</f>
        <v>0</v>
      </c>
      <c r="J15" s="261" t="n">
        <f aca="false">IFERROR(H15/H$8,0)</f>
        <v>0</v>
      </c>
      <c r="K15" s="262" t="n">
        <f aca="false">IFERROR(H15/H$7,0)</f>
        <v>0</v>
      </c>
      <c r="L15" s="263" t="n">
        <f aca="false">IFERROR(INDEX(Tape!$T$7:$ME$36,MATCH($C$3,Tape!$C$7:$C$36,0),MATCH($C15&amp;"+"&amp;L$5,Tape!$T$1:$ME$1,0)),0)</f>
        <v>0</v>
      </c>
      <c r="M15" s="264" t="n">
        <f aca="false">IFERROR(L15/L$19,0)</f>
        <v>0</v>
      </c>
      <c r="N15" s="261" t="n">
        <f aca="false">IFERROR(L15/L$8,0)</f>
        <v>0</v>
      </c>
      <c r="O15" s="262" t="n">
        <f aca="false">IFERROR(L15/L$7,0)</f>
        <v>0</v>
      </c>
      <c r="P15" s="263" t="n">
        <f aca="false">IFERROR(INDEX(Tape!$T$7:$ME$36,MATCH($C$3,Tape!$C$7:$C$36,0),MATCH($C15&amp;"+"&amp;P$5,Tape!$T$1:$ME$1,0)),0)</f>
        <v>0</v>
      </c>
      <c r="Q15" s="264" t="n">
        <f aca="false">IFERROR(P15/P$19,0)</f>
        <v>0</v>
      </c>
      <c r="R15" s="261" t="n">
        <f aca="false">IFERROR(P15/P$8,0)</f>
        <v>0</v>
      </c>
      <c r="S15" s="262" t="n">
        <f aca="false">IFERROR(P15/P$7,0)</f>
        <v>0</v>
      </c>
      <c r="T15" s="263" t="n">
        <f aca="false">IFERROR(INDEX(Tape!$T$7:$ME$36,MATCH($C$3,Tape!$C$7:$C$36,0),MATCH($C15&amp;"+"&amp;T$5,Tape!$T$1:$ME$1,0)),0)</f>
        <v>0</v>
      </c>
      <c r="U15" s="264" t="n">
        <f aca="false">IFERROR(T15/T$19,0)</f>
        <v>0</v>
      </c>
      <c r="V15" s="261" t="n">
        <f aca="false">IFERROR(T15/T$8,0)</f>
        <v>0</v>
      </c>
      <c r="W15" s="262" t="n">
        <f aca="false">IFERROR(T15/T$7,0)</f>
        <v>0</v>
      </c>
      <c r="X15" s="263" t="n">
        <f aca="false">IFERROR(INDEX(Tape!$T$7:$ME$36,MATCH($C$3,Tape!$C$7:$C$36,0),MATCH($C15&amp;"+"&amp;X$5,Tape!$T$1:$ME$1,0)),0)</f>
        <v>0</v>
      </c>
      <c r="Y15" s="264" t="n">
        <f aca="false">IFERROR(X15/X$19,0)</f>
        <v>0</v>
      </c>
      <c r="Z15" s="261" t="n">
        <f aca="false">IFERROR(X15/X$8,0)</f>
        <v>0</v>
      </c>
      <c r="AA15" s="262" t="n">
        <f aca="false">IFERROR(X15/X$7,0)</f>
        <v>0</v>
      </c>
      <c r="AB15" s="263" t="n">
        <f aca="false">IFERROR(INDEX(Tape!$T$7:$ME$36,MATCH($C$3,Tape!$C$7:$C$36,0),MATCH($C15&amp;"+"&amp;AB$5,Tape!$T$1:$ME$1,0)),0)</f>
        <v>0</v>
      </c>
      <c r="AC15" s="264" t="n">
        <f aca="false">IFERROR(AB15/AB$19,0)</f>
        <v>0</v>
      </c>
      <c r="AD15" s="261" t="n">
        <f aca="false">IFERROR(AB15/AB$8,0)</f>
        <v>0</v>
      </c>
      <c r="AE15" s="262" t="n">
        <f aca="false">IFERROR(AB15/AB$7,0)</f>
        <v>0</v>
      </c>
      <c r="AF15" s="263" t="n">
        <f aca="false">IFERROR(INDEX(Tape!$T$7:$ME$36,MATCH($C$3,Tape!$C$7:$C$36,0),MATCH($C15&amp;"+"&amp;AF$5,Tape!$T$1:$ME$1,0)),0)</f>
        <v>0</v>
      </c>
      <c r="AG15" s="264" t="n">
        <f aca="false">IFERROR(AF15/AF$19,0)</f>
        <v>0</v>
      </c>
      <c r="AH15" s="261" t="n">
        <f aca="false">IFERROR(AF15/AF$8,0)</f>
        <v>0</v>
      </c>
      <c r="AI15" s="262" t="n">
        <f aca="false">IFERROR(AF15/AF$7,0)</f>
        <v>0</v>
      </c>
      <c r="AJ15" s="263" t="n">
        <f aca="false">IFERROR(INDEX(Tape!$T$7:$ME$36,MATCH($C$3,Tape!$C$7:$C$36,0),MATCH($C15&amp;"+"&amp;AJ$5,Tape!$T$1:$ME$1,0)),0)</f>
        <v>0</v>
      </c>
      <c r="AK15" s="264" t="n">
        <f aca="false">IFERROR(AJ15/AJ$19,0)</f>
        <v>0</v>
      </c>
      <c r="AL15" s="261" t="n">
        <f aca="false">IFERROR(AJ15/AJ$8,0)</f>
        <v>0</v>
      </c>
      <c r="AM15" s="262" t="n">
        <f aca="false">IFERROR(AJ15/AJ$7,0)</f>
        <v>0</v>
      </c>
      <c r="AN15" s="453" t="n">
        <f aca="false">AP15*AN$8</f>
        <v>0</v>
      </c>
      <c r="AO15" s="457" t="n">
        <f aca="false">IFERROR(AN15/AN$19,0)</f>
        <v>0</v>
      </c>
      <c r="AP15" s="458" t="n">
        <f aca="false">AD15</f>
        <v>0</v>
      </c>
      <c r="AQ15" s="456" t="n">
        <f aca="false">IFERROR(AN15/AN$7,0)</f>
        <v>0</v>
      </c>
      <c r="AR15" s="219"/>
      <c r="AS15" s="257"/>
    </row>
    <row r="16" customFormat="false" ht="14.25" hidden="false" customHeight="true" outlineLevel="0" collapsed="false">
      <c r="C16" s="452" t="s">
        <v>136</v>
      </c>
      <c r="D16" s="263" t="n">
        <f aca="false">IFERROR(INDEX(Tape!$T$7:$ME$36,MATCH($C$3,Tape!$C$7:$C$36,0),MATCH($C16&amp;"+"&amp;D$5,Tape!$T$1:$ME$1,0)),0)</f>
        <v>0</v>
      </c>
      <c r="E16" s="264" t="n">
        <f aca="false">IFERROR(D16/D$19,0)</f>
        <v>0</v>
      </c>
      <c r="F16" s="261" t="n">
        <f aca="false">IFERROR(D16/D$8,0)</f>
        <v>0</v>
      </c>
      <c r="G16" s="262" t="n">
        <f aca="false">IFERROR(D16/D$7,0)</f>
        <v>0</v>
      </c>
      <c r="H16" s="263" t="n">
        <f aca="false">IFERROR(INDEX(Tape!$T$7:$ME$36,MATCH($C$3,Tape!$C$7:$C$36,0),MATCH($C16&amp;"+"&amp;H$5,Tape!$T$1:$ME$1,0)),0)</f>
        <v>0</v>
      </c>
      <c r="I16" s="264" t="n">
        <f aca="false">IFERROR(H16/H$19,0)</f>
        <v>0</v>
      </c>
      <c r="J16" s="261" t="n">
        <f aca="false">IFERROR(H16/H$8,0)</f>
        <v>0</v>
      </c>
      <c r="K16" s="262" t="n">
        <f aca="false">IFERROR(H16/H$7,0)</f>
        <v>0</v>
      </c>
      <c r="L16" s="263" t="n">
        <f aca="false">IFERROR(INDEX(Tape!$T$7:$ME$36,MATCH($C$3,Tape!$C$7:$C$36,0),MATCH($C16&amp;"+"&amp;L$5,Tape!$T$1:$ME$1,0)),0)</f>
        <v>0</v>
      </c>
      <c r="M16" s="264" t="n">
        <f aca="false">IFERROR(L16/L$19,0)</f>
        <v>0</v>
      </c>
      <c r="N16" s="261" t="n">
        <f aca="false">IFERROR(L16/L$8,0)</f>
        <v>0</v>
      </c>
      <c r="O16" s="262" t="n">
        <f aca="false">IFERROR(L16/L$7,0)</f>
        <v>0</v>
      </c>
      <c r="P16" s="263" t="n">
        <f aca="false">IFERROR(INDEX(Tape!$T$7:$ME$36,MATCH($C$3,Tape!$C$7:$C$36,0),MATCH($C16&amp;"+"&amp;P$5,Tape!$T$1:$ME$1,0)),0)</f>
        <v>0</v>
      </c>
      <c r="Q16" s="264" t="n">
        <f aca="false">IFERROR(P16/P$19,0)</f>
        <v>0</v>
      </c>
      <c r="R16" s="261" t="n">
        <f aca="false">IFERROR(P16/P$8,0)</f>
        <v>0</v>
      </c>
      <c r="S16" s="262" t="n">
        <f aca="false">IFERROR(P16/P$7,0)</f>
        <v>0</v>
      </c>
      <c r="T16" s="263" t="n">
        <f aca="false">IFERROR(INDEX(Tape!$T$7:$ME$36,MATCH($C$3,Tape!$C$7:$C$36,0),MATCH($C16&amp;"+"&amp;T$5,Tape!$T$1:$ME$1,0)),0)</f>
        <v>0</v>
      </c>
      <c r="U16" s="264" t="n">
        <f aca="false">IFERROR(T16/T$19,0)</f>
        <v>0</v>
      </c>
      <c r="V16" s="261" t="n">
        <f aca="false">IFERROR(T16/T$8,0)</f>
        <v>0</v>
      </c>
      <c r="W16" s="262" t="n">
        <f aca="false">IFERROR(T16/T$7,0)</f>
        <v>0</v>
      </c>
      <c r="X16" s="263" t="n">
        <f aca="false">IFERROR(INDEX(Tape!$T$7:$ME$36,MATCH($C$3,Tape!$C$7:$C$36,0),MATCH($C16&amp;"+"&amp;X$5,Tape!$T$1:$ME$1,0)),0)</f>
        <v>0</v>
      </c>
      <c r="Y16" s="264" t="n">
        <f aca="false">IFERROR(X16/X$19,0)</f>
        <v>0</v>
      </c>
      <c r="Z16" s="261" t="n">
        <f aca="false">IFERROR(X16/X$8,0)</f>
        <v>0</v>
      </c>
      <c r="AA16" s="262" t="n">
        <f aca="false">IFERROR(X16/X$7,0)</f>
        <v>0</v>
      </c>
      <c r="AB16" s="263" t="n">
        <f aca="false">IFERROR(INDEX(Tape!$T$7:$ME$36,MATCH($C$3,Tape!$C$7:$C$36,0),MATCH($C16&amp;"+"&amp;AB$5,Tape!$T$1:$ME$1,0)),0)</f>
        <v>0</v>
      </c>
      <c r="AC16" s="264" t="n">
        <f aca="false">IFERROR(AB16/AB$19,0)</f>
        <v>0</v>
      </c>
      <c r="AD16" s="261" t="n">
        <f aca="false">IFERROR(AB16/AB$8,0)</f>
        <v>0</v>
      </c>
      <c r="AE16" s="262" t="n">
        <f aca="false">IFERROR(AB16/AB$7,0)</f>
        <v>0</v>
      </c>
      <c r="AF16" s="263" t="n">
        <f aca="false">IFERROR(INDEX(Tape!$T$7:$ME$36,MATCH($C$3,Tape!$C$7:$C$36,0),MATCH($C16&amp;"+"&amp;AF$5,Tape!$T$1:$ME$1,0)),0)</f>
        <v>0</v>
      </c>
      <c r="AG16" s="264" t="n">
        <f aca="false">IFERROR(AF16/AF$19,0)</f>
        <v>0</v>
      </c>
      <c r="AH16" s="261" t="n">
        <f aca="false">IFERROR(AF16/AF$8,0)</f>
        <v>0</v>
      </c>
      <c r="AI16" s="262" t="n">
        <f aca="false">IFERROR(AF16/AF$7,0)</f>
        <v>0</v>
      </c>
      <c r="AJ16" s="263" t="n">
        <f aca="false">IFERROR(INDEX(Tape!$T$7:$ME$36,MATCH($C$3,Tape!$C$7:$C$36,0),MATCH($C16&amp;"+"&amp;AJ$5,Tape!$T$1:$ME$1,0)),0)</f>
        <v>0</v>
      </c>
      <c r="AK16" s="264" t="n">
        <f aca="false">IFERROR(AJ16/AJ$19,0)</f>
        <v>0</v>
      </c>
      <c r="AL16" s="261" t="n">
        <f aca="false">IFERROR(AJ16/AJ$8,0)</f>
        <v>0</v>
      </c>
      <c r="AM16" s="262" t="n">
        <f aca="false">IFERROR(AJ16/AJ$7,0)</f>
        <v>0</v>
      </c>
      <c r="AN16" s="453" t="n">
        <f aca="false">AP16*AN$8</f>
        <v>0</v>
      </c>
      <c r="AO16" s="457" t="n">
        <f aca="false">IFERROR(AN16/AN$19,0)</f>
        <v>0</v>
      </c>
      <c r="AP16" s="458" t="n">
        <f aca="false">AD16</f>
        <v>0</v>
      </c>
      <c r="AQ16" s="456" t="n">
        <f aca="false">IFERROR(AN16/AN$7,0)</f>
        <v>0</v>
      </c>
      <c r="AR16" s="219"/>
      <c r="AS16" s="257"/>
    </row>
    <row r="17" customFormat="false" ht="14.25" hidden="false" customHeight="true" outlineLevel="0" collapsed="false">
      <c r="C17" s="452" t="s">
        <v>137</v>
      </c>
      <c r="D17" s="263" t="n">
        <f aca="false">IFERROR(INDEX(Tape!$T$7:$ME$36,MATCH($C$3,Tape!$C$7:$C$36,0),MATCH($C17&amp;"+"&amp;D$5,Tape!$T$1:$ME$1,0)),0)</f>
        <v>0</v>
      </c>
      <c r="E17" s="264" t="n">
        <f aca="false">IFERROR(D17/D$19,0)</f>
        <v>0</v>
      </c>
      <c r="F17" s="261" t="n">
        <f aca="false">IFERROR(D17/D$8,0)</f>
        <v>0</v>
      </c>
      <c r="G17" s="262" t="n">
        <f aca="false">IFERROR(D17/D$7,0)</f>
        <v>0</v>
      </c>
      <c r="H17" s="263" t="n">
        <f aca="false">IFERROR(INDEX(Tape!$T$7:$ME$36,MATCH($C$3,Tape!$C$7:$C$36,0),MATCH($C17&amp;"+"&amp;H$5,Tape!$T$1:$ME$1,0)),0)</f>
        <v>0</v>
      </c>
      <c r="I17" s="264" t="n">
        <f aca="false">IFERROR(H17/H$19,0)</f>
        <v>0</v>
      </c>
      <c r="J17" s="261" t="n">
        <f aca="false">IFERROR(H17/H$8,0)</f>
        <v>0</v>
      </c>
      <c r="K17" s="262" t="n">
        <f aca="false">IFERROR(H17/H$7,0)</f>
        <v>0</v>
      </c>
      <c r="L17" s="263" t="n">
        <f aca="false">IFERROR(INDEX(Tape!$T$7:$ME$36,MATCH($C$3,Tape!$C$7:$C$36,0),MATCH($C17&amp;"+"&amp;L$5,Tape!$T$1:$ME$1,0)),0)</f>
        <v>0</v>
      </c>
      <c r="M17" s="264" t="n">
        <f aca="false">IFERROR(L17/L$19,0)</f>
        <v>0</v>
      </c>
      <c r="N17" s="261" t="n">
        <f aca="false">IFERROR(L17/L$8,0)</f>
        <v>0</v>
      </c>
      <c r="O17" s="262" t="n">
        <f aca="false">IFERROR(L17/L$7,0)</f>
        <v>0</v>
      </c>
      <c r="P17" s="263" t="n">
        <f aca="false">IFERROR(INDEX(Tape!$T$7:$ME$36,MATCH($C$3,Tape!$C$7:$C$36,0),MATCH($C17&amp;"+"&amp;P$5,Tape!$T$1:$ME$1,0)),0)</f>
        <v>0</v>
      </c>
      <c r="Q17" s="264" t="n">
        <f aca="false">IFERROR(P17/P$19,0)</f>
        <v>0</v>
      </c>
      <c r="R17" s="261" t="n">
        <f aca="false">IFERROR(P17/P$8,0)</f>
        <v>0</v>
      </c>
      <c r="S17" s="262" t="n">
        <f aca="false">IFERROR(P17/P$7,0)</f>
        <v>0</v>
      </c>
      <c r="T17" s="263" t="n">
        <f aca="false">IFERROR(INDEX(Tape!$T$7:$ME$36,MATCH($C$3,Tape!$C$7:$C$36,0),MATCH($C17&amp;"+"&amp;T$5,Tape!$T$1:$ME$1,0)),0)</f>
        <v>0</v>
      </c>
      <c r="U17" s="264" t="n">
        <f aca="false">IFERROR(T17/T$19,0)</f>
        <v>0</v>
      </c>
      <c r="V17" s="261" t="n">
        <f aca="false">IFERROR(T17/T$8,0)</f>
        <v>0</v>
      </c>
      <c r="W17" s="262" t="n">
        <f aca="false">IFERROR(T17/T$7,0)</f>
        <v>0</v>
      </c>
      <c r="X17" s="263" t="n">
        <f aca="false">IFERROR(INDEX(Tape!$T$7:$ME$36,MATCH($C$3,Tape!$C$7:$C$36,0),MATCH($C17&amp;"+"&amp;X$5,Tape!$T$1:$ME$1,0)),0)</f>
        <v>0</v>
      </c>
      <c r="Y17" s="264" t="n">
        <f aca="false">IFERROR(X17/X$19,0)</f>
        <v>0</v>
      </c>
      <c r="Z17" s="261" t="n">
        <f aca="false">IFERROR(X17/X$8,0)</f>
        <v>0</v>
      </c>
      <c r="AA17" s="262" t="n">
        <f aca="false">IFERROR(X17/X$7,0)</f>
        <v>0</v>
      </c>
      <c r="AB17" s="263" t="n">
        <f aca="false">IFERROR(INDEX(Tape!$T$7:$ME$36,MATCH($C$3,Tape!$C$7:$C$36,0),MATCH($C17&amp;"+"&amp;AB$5,Tape!$T$1:$ME$1,0)),0)</f>
        <v>0</v>
      </c>
      <c r="AC17" s="264" t="n">
        <f aca="false">IFERROR(AB17/AB$19,0)</f>
        <v>0</v>
      </c>
      <c r="AD17" s="261" t="n">
        <f aca="false">IFERROR(AB17/AB$8,0)</f>
        <v>0</v>
      </c>
      <c r="AE17" s="262" t="n">
        <f aca="false">IFERROR(AB17/AB$7,0)</f>
        <v>0</v>
      </c>
      <c r="AF17" s="263" t="n">
        <f aca="false">IFERROR(INDEX(Tape!$T$7:$ME$36,MATCH($C$3,Tape!$C$7:$C$36,0),MATCH($C17&amp;"+"&amp;AF$5,Tape!$T$1:$ME$1,0)),0)</f>
        <v>0</v>
      </c>
      <c r="AG17" s="264" t="n">
        <f aca="false">IFERROR(AF17/AF$19,0)</f>
        <v>0</v>
      </c>
      <c r="AH17" s="261" t="n">
        <f aca="false">IFERROR(AF17/AF$8,0)</f>
        <v>0</v>
      </c>
      <c r="AI17" s="262" t="n">
        <f aca="false">IFERROR(AF17/AF$7,0)</f>
        <v>0</v>
      </c>
      <c r="AJ17" s="263" t="n">
        <f aca="false">IFERROR(INDEX(Tape!$T$7:$ME$36,MATCH($C$3,Tape!$C$7:$C$36,0),MATCH($C17&amp;"+"&amp;AJ$5,Tape!$T$1:$ME$1,0)),0)</f>
        <v>0</v>
      </c>
      <c r="AK17" s="264" t="n">
        <f aca="false">IFERROR(AJ17/AJ$19,0)</f>
        <v>0</v>
      </c>
      <c r="AL17" s="261" t="n">
        <f aca="false">IFERROR(AJ17/AJ$8,0)</f>
        <v>0</v>
      </c>
      <c r="AM17" s="262" t="n">
        <f aca="false">IFERROR(AJ17/AJ$7,0)</f>
        <v>0</v>
      </c>
      <c r="AN17" s="453" t="n">
        <f aca="false">AP17*AN$8</f>
        <v>0</v>
      </c>
      <c r="AO17" s="457" t="n">
        <f aca="false">IFERROR(AN17/AN$19,0)</f>
        <v>0</v>
      </c>
      <c r="AP17" s="458" t="n">
        <f aca="false">AD17</f>
        <v>0</v>
      </c>
      <c r="AQ17" s="456" t="n">
        <f aca="false">IFERROR(AN17/AN$7,0)</f>
        <v>0</v>
      </c>
      <c r="AR17" s="219"/>
    </row>
    <row r="18" customFormat="false" ht="14.25" hidden="false" customHeight="true" outlineLevel="0" collapsed="false">
      <c r="C18" s="452" t="s">
        <v>138</v>
      </c>
      <c r="D18" s="263" t="n">
        <f aca="false">IFERROR(INDEX(Tape!$T$7:$ME$36,MATCH($C$3,Tape!$C$7:$C$36,0),MATCH($C18&amp;"+"&amp;D$5,Tape!$T$1:$ME$1,0)),0)</f>
        <v>0</v>
      </c>
      <c r="E18" s="264" t="n">
        <f aca="false">IFERROR(D18/D$19,0)</f>
        <v>0</v>
      </c>
      <c r="F18" s="261" t="n">
        <f aca="false">IFERROR(D18/D$8,0)</f>
        <v>0</v>
      </c>
      <c r="G18" s="262" t="n">
        <f aca="false">IFERROR(D18/D$7,0)</f>
        <v>0</v>
      </c>
      <c r="H18" s="263" t="n">
        <f aca="false">IFERROR(INDEX(Tape!$T$7:$ME$36,MATCH($C$3,Tape!$C$7:$C$36,0),MATCH($C18&amp;"+"&amp;H$5,Tape!$T$1:$ME$1,0)),0)</f>
        <v>0</v>
      </c>
      <c r="I18" s="264" t="n">
        <f aca="false">IFERROR(H18/H$19,0)</f>
        <v>0</v>
      </c>
      <c r="J18" s="261" t="n">
        <f aca="false">IFERROR(H18/H$8,0)</f>
        <v>0</v>
      </c>
      <c r="K18" s="262" t="n">
        <f aca="false">IFERROR(H18/H$7,0)</f>
        <v>0</v>
      </c>
      <c r="L18" s="263" t="n">
        <f aca="false">IFERROR(INDEX(Tape!$T$7:$ME$36,MATCH($C$3,Tape!$C$7:$C$36,0),MATCH($C18&amp;"+"&amp;L$5,Tape!$T$1:$ME$1,0)),0)</f>
        <v>0</v>
      </c>
      <c r="M18" s="264" t="n">
        <f aca="false">IFERROR(L18/L$19,0)</f>
        <v>0</v>
      </c>
      <c r="N18" s="261" t="n">
        <f aca="false">IFERROR(L18/L$8,0)</f>
        <v>0</v>
      </c>
      <c r="O18" s="262" t="n">
        <f aca="false">IFERROR(L18/L$7,0)</f>
        <v>0</v>
      </c>
      <c r="P18" s="263" t="n">
        <f aca="false">IFERROR(INDEX(Tape!$T$7:$ME$36,MATCH($C$3,Tape!$C$7:$C$36,0),MATCH($C18&amp;"+"&amp;P$5,Tape!$T$1:$ME$1,0)),0)</f>
        <v>0</v>
      </c>
      <c r="Q18" s="264" t="n">
        <f aca="false">IFERROR(P18/P$19,0)</f>
        <v>0</v>
      </c>
      <c r="R18" s="261" t="n">
        <f aca="false">IFERROR(P18/P$8,0)</f>
        <v>0</v>
      </c>
      <c r="S18" s="262" t="n">
        <f aca="false">IFERROR(P18/P$7,0)</f>
        <v>0</v>
      </c>
      <c r="T18" s="263" t="n">
        <f aca="false">IFERROR(INDEX(Tape!$T$7:$ME$36,MATCH($C$3,Tape!$C$7:$C$36,0),MATCH($C18&amp;"+"&amp;T$5,Tape!$T$1:$ME$1,0)),0)</f>
        <v>0</v>
      </c>
      <c r="U18" s="264" t="n">
        <f aca="false">IFERROR(T18/T$19,0)</f>
        <v>0</v>
      </c>
      <c r="V18" s="261" t="n">
        <f aca="false">IFERROR(T18/T$8,0)</f>
        <v>0</v>
      </c>
      <c r="W18" s="262" t="n">
        <f aca="false">IFERROR(T18/T$7,0)</f>
        <v>0</v>
      </c>
      <c r="X18" s="263" t="n">
        <f aca="false">IFERROR(INDEX(Tape!$T$7:$ME$36,MATCH($C$3,Tape!$C$7:$C$36,0),MATCH($C18&amp;"+"&amp;X$5,Tape!$T$1:$ME$1,0)),0)</f>
        <v>0</v>
      </c>
      <c r="Y18" s="264" t="n">
        <f aca="false">IFERROR(X18/X$19,0)</f>
        <v>0</v>
      </c>
      <c r="Z18" s="261" t="n">
        <f aca="false">IFERROR(X18/X$8,0)</f>
        <v>0</v>
      </c>
      <c r="AA18" s="262" t="n">
        <f aca="false">IFERROR(X18/X$7,0)</f>
        <v>0</v>
      </c>
      <c r="AB18" s="263" t="n">
        <f aca="false">IFERROR(INDEX(Tape!$T$7:$ME$36,MATCH($C$3,Tape!$C$7:$C$36,0),MATCH($C18&amp;"+"&amp;AB$5,Tape!$T$1:$ME$1,0)),0)</f>
        <v>0</v>
      </c>
      <c r="AC18" s="264" t="n">
        <f aca="false">IFERROR(AB18/AB$19,0)</f>
        <v>0</v>
      </c>
      <c r="AD18" s="261" t="n">
        <f aca="false">IFERROR(AB18/AB$8,0)</f>
        <v>0</v>
      </c>
      <c r="AE18" s="262" t="n">
        <f aca="false">IFERROR(AB18/AB$7,0)</f>
        <v>0</v>
      </c>
      <c r="AF18" s="263" t="n">
        <f aca="false">IFERROR(INDEX(Tape!$T$7:$ME$36,MATCH($C$3,Tape!$C$7:$C$36,0),MATCH($C18&amp;"+"&amp;AF$5,Tape!$T$1:$ME$1,0)),0)</f>
        <v>0</v>
      </c>
      <c r="AG18" s="264" t="n">
        <f aca="false">IFERROR(AF18/AF$19,0)</f>
        <v>0</v>
      </c>
      <c r="AH18" s="261" t="n">
        <f aca="false">IFERROR(AF18/AF$8,0)</f>
        <v>0</v>
      </c>
      <c r="AI18" s="262" t="n">
        <f aca="false">IFERROR(AF18/AF$7,0)</f>
        <v>0</v>
      </c>
      <c r="AJ18" s="263" t="n">
        <f aca="false">IFERROR(INDEX(Tape!$T$7:$ME$36,MATCH($C$3,Tape!$C$7:$C$36,0),MATCH($C18&amp;"+"&amp;AJ$5,Tape!$T$1:$ME$1,0)),0)</f>
        <v>0</v>
      </c>
      <c r="AK18" s="264" t="n">
        <f aca="false">IFERROR(AJ18/AJ$19,0)</f>
        <v>0</v>
      </c>
      <c r="AL18" s="261" t="n">
        <f aca="false">IFERROR(AJ18/AJ$8,0)</f>
        <v>0</v>
      </c>
      <c r="AM18" s="262" t="n">
        <f aca="false">IFERROR(AJ18/AJ$7,0)</f>
        <v>0</v>
      </c>
      <c r="AN18" s="453" t="n">
        <f aca="false">AP18*AN$8</f>
        <v>0</v>
      </c>
      <c r="AO18" s="457" t="n">
        <f aca="false">IFERROR(AN18/AN$19,0)</f>
        <v>0</v>
      </c>
      <c r="AP18" s="458" t="n">
        <f aca="false">AD18</f>
        <v>0</v>
      </c>
      <c r="AQ18" s="456" t="n">
        <f aca="false">IFERROR(AN18/AN$7,0)</f>
        <v>0</v>
      </c>
      <c r="AR18" s="219"/>
    </row>
    <row r="19" customFormat="false" ht="14.25" hidden="false" customHeight="true" outlineLevel="0" collapsed="false">
      <c r="C19" s="459" t="s">
        <v>139</v>
      </c>
      <c r="D19" s="270" t="n">
        <f aca="false">SUM(D14:D18)</f>
        <v>0</v>
      </c>
      <c r="E19" s="267" t="n">
        <f aca="false">IFERROR(D19/D$19,0)</f>
        <v>0</v>
      </c>
      <c r="F19" s="268" t="n">
        <f aca="false">IFERROR(D19/D$8,0)</f>
        <v>0</v>
      </c>
      <c r="G19" s="269" t="n">
        <f aca="false">IFERROR(D19/D$7,0)</f>
        <v>0</v>
      </c>
      <c r="H19" s="270" t="n">
        <f aca="false">SUM(H14:H18)</f>
        <v>0</v>
      </c>
      <c r="I19" s="267" t="n">
        <f aca="false">IFERROR(H19/H$19,0)</f>
        <v>0</v>
      </c>
      <c r="J19" s="268" t="n">
        <f aca="false">IFERROR(H19/H$8,0)</f>
        <v>0</v>
      </c>
      <c r="K19" s="269" t="n">
        <f aca="false">IFERROR(H19/H$7,0)</f>
        <v>0</v>
      </c>
      <c r="L19" s="270" t="n">
        <f aca="false">SUM(L14:L18)</f>
        <v>0</v>
      </c>
      <c r="M19" s="267" t="n">
        <f aca="false">IFERROR(L19/L$19,0)</f>
        <v>0</v>
      </c>
      <c r="N19" s="268" t="n">
        <f aca="false">IFERROR(L19/L$8,0)</f>
        <v>0</v>
      </c>
      <c r="O19" s="269" t="n">
        <f aca="false">IFERROR(L19/L$7,0)</f>
        <v>0</v>
      </c>
      <c r="P19" s="270" t="n">
        <f aca="false">SUM(P14:P18)</f>
        <v>0</v>
      </c>
      <c r="Q19" s="267" t="n">
        <f aca="false">IFERROR(P19/P$19,0)</f>
        <v>0</v>
      </c>
      <c r="R19" s="268" t="n">
        <f aca="false">IFERROR(P19/P$8,0)</f>
        <v>0</v>
      </c>
      <c r="S19" s="269" t="n">
        <f aca="false">IFERROR(P19/P$7,0)</f>
        <v>0</v>
      </c>
      <c r="T19" s="270" t="n">
        <f aca="false">SUM(T14:T18)</f>
        <v>0</v>
      </c>
      <c r="U19" s="267" t="n">
        <f aca="false">IFERROR(T19/T$19,0)</f>
        <v>0</v>
      </c>
      <c r="V19" s="268" t="n">
        <f aca="false">IFERROR(T19/T$8,0)</f>
        <v>0</v>
      </c>
      <c r="W19" s="269" t="n">
        <f aca="false">IFERROR(T19/T$7,0)</f>
        <v>0</v>
      </c>
      <c r="X19" s="270" t="n">
        <f aca="false">SUM(X14:X18)</f>
        <v>0</v>
      </c>
      <c r="Y19" s="267" t="n">
        <f aca="false">IFERROR(X19/X$19,0)</f>
        <v>0</v>
      </c>
      <c r="Z19" s="268" t="n">
        <f aca="false">IFERROR(X19/X$8,0)</f>
        <v>0</v>
      </c>
      <c r="AA19" s="269" t="n">
        <f aca="false">IFERROR(X19/X$7,0)</f>
        <v>0</v>
      </c>
      <c r="AB19" s="270" t="n">
        <f aca="false">SUM(AB14:AB18)</f>
        <v>0</v>
      </c>
      <c r="AC19" s="267" t="n">
        <f aca="false">IFERROR(AB19/AB$19,0)</f>
        <v>0</v>
      </c>
      <c r="AD19" s="268" t="n">
        <f aca="false">IFERROR(AB19/AB$8,0)</f>
        <v>0</v>
      </c>
      <c r="AE19" s="269" t="n">
        <f aca="false">IFERROR(AB19/AB$7,0)</f>
        <v>0</v>
      </c>
      <c r="AF19" s="270" t="n">
        <f aca="false">SUM(AF14:AF18)</f>
        <v>0</v>
      </c>
      <c r="AG19" s="267" t="n">
        <f aca="false">IFERROR(AF19/AF$19,0)</f>
        <v>0</v>
      </c>
      <c r="AH19" s="268" t="n">
        <f aca="false">IFERROR(AF19/AF$8,0)</f>
        <v>0</v>
      </c>
      <c r="AI19" s="269" t="n">
        <f aca="false">IFERROR(AF19/AF$7,0)</f>
        <v>0</v>
      </c>
      <c r="AJ19" s="270" t="n">
        <f aca="false">SUM(AJ14:AJ18)</f>
        <v>0</v>
      </c>
      <c r="AK19" s="267" t="n">
        <f aca="false">IFERROR(AJ19/AJ$19,0)</f>
        <v>0</v>
      </c>
      <c r="AL19" s="268" t="n">
        <f aca="false">IFERROR(AJ19/AJ$8,0)</f>
        <v>0</v>
      </c>
      <c r="AM19" s="269" t="n">
        <f aca="false">IFERROR(AJ19/AJ$7,0)</f>
        <v>0</v>
      </c>
      <c r="AN19" s="270" t="n">
        <f aca="false">SUM(AN14:AN18)</f>
        <v>0</v>
      </c>
      <c r="AO19" s="267" t="n">
        <f aca="false">IFERROR(AN19/AN$19,0)</f>
        <v>0</v>
      </c>
      <c r="AP19" s="268" t="n">
        <f aca="false">IFERROR(AN19/AN$8,0)</f>
        <v>0</v>
      </c>
      <c r="AQ19" s="269" t="n">
        <f aca="false">IFERROR(AN19/AN$7,0)</f>
        <v>0</v>
      </c>
    </row>
    <row r="20" customFormat="false" ht="14.25" hidden="false" customHeight="true" outlineLevel="0" collapsed="false">
      <c r="C20" s="460"/>
      <c r="D20" s="276"/>
      <c r="E20" s="273"/>
      <c r="F20" s="274"/>
      <c r="G20" s="275"/>
      <c r="H20" s="276"/>
      <c r="I20" s="273"/>
      <c r="J20" s="274"/>
      <c r="K20" s="275"/>
      <c r="L20" s="276"/>
      <c r="M20" s="273"/>
      <c r="N20" s="274"/>
      <c r="O20" s="275"/>
      <c r="P20" s="276"/>
      <c r="Q20" s="273"/>
      <c r="R20" s="274"/>
      <c r="S20" s="275"/>
      <c r="T20" s="276"/>
      <c r="U20" s="273"/>
      <c r="V20" s="274"/>
      <c r="W20" s="275"/>
      <c r="X20" s="276"/>
      <c r="Y20" s="273"/>
      <c r="Z20" s="274"/>
      <c r="AA20" s="275"/>
      <c r="AB20" s="276"/>
      <c r="AC20" s="273"/>
      <c r="AD20" s="274"/>
      <c r="AE20" s="275"/>
      <c r="AF20" s="276"/>
      <c r="AG20" s="273"/>
      <c r="AH20" s="274"/>
      <c r="AI20" s="275"/>
      <c r="AJ20" s="276"/>
      <c r="AK20" s="273"/>
      <c r="AL20" s="274"/>
      <c r="AM20" s="275"/>
      <c r="AN20" s="461"/>
      <c r="AO20" s="220"/>
      <c r="AP20" s="462"/>
      <c r="AQ20" s="463"/>
    </row>
    <row r="21" customFormat="false" ht="14.25" hidden="false" customHeight="true" outlineLevel="0" collapsed="false">
      <c r="C21" s="460" t="s">
        <v>140</v>
      </c>
      <c r="D21" s="280"/>
      <c r="E21" s="278"/>
      <c r="F21" s="277"/>
      <c r="G21" s="279"/>
      <c r="H21" s="280"/>
      <c r="I21" s="278"/>
      <c r="J21" s="277"/>
      <c r="K21" s="279"/>
      <c r="L21" s="280"/>
      <c r="M21" s="278"/>
      <c r="N21" s="277"/>
      <c r="O21" s="279"/>
      <c r="P21" s="280"/>
      <c r="Q21" s="278"/>
      <c r="R21" s="277"/>
      <c r="S21" s="279"/>
      <c r="T21" s="280"/>
      <c r="U21" s="278"/>
      <c r="V21" s="277"/>
      <c r="W21" s="279"/>
      <c r="X21" s="280"/>
      <c r="Y21" s="278"/>
      <c r="Z21" s="277"/>
      <c r="AA21" s="279"/>
      <c r="AB21" s="280"/>
      <c r="AC21" s="278"/>
      <c r="AD21" s="277"/>
      <c r="AE21" s="279"/>
      <c r="AF21" s="280"/>
      <c r="AG21" s="278"/>
      <c r="AH21" s="277"/>
      <c r="AI21" s="279"/>
      <c r="AJ21" s="280"/>
      <c r="AK21" s="278"/>
      <c r="AL21" s="277"/>
      <c r="AM21" s="279"/>
      <c r="AN21" s="464"/>
      <c r="AO21" s="465"/>
      <c r="AP21" s="466"/>
      <c r="AQ21" s="467"/>
    </row>
    <row r="22" customFormat="false" ht="14.25" hidden="false" customHeight="true" outlineLevel="0" collapsed="false">
      <c r="C22" s="468" t="s">
        <v>141</v>
      </c>
      <c r="D22" s="263" t="n">
        <f aca="false">IFERROR(INDEX(Tape!$T$7:$ME$36,MATCH($C$3,Tape!$C$7:$C$36,0),MATCH($C22&amp;"+"&amp;D$5,Tape!$T$1:$ME$1,0)),0)</f>
        <v>0</v>
      </c>
      <c r="E22" s="264" t="n">
        <f aca="false">IFERROR(D22/D14,0)</f>
        <v>0</v>
      </c>
      <c r="F22" s="261" t="n">
        <f aca="false">IFERROR(D22/D$8,0)</f>
        <v>0</v>
      </c>
      <c r="G22" s="262" t="n">
        <f aca="false">IFERROR(D22/D$7,0)</f>
        <v>0</v>
      </c>
      <c r="H22" s="263" t="n">
        <f aca="false">IFERROR(INDEX(Tape!$T$7:$ME$36,MATCH($C$3,Tape!$C$7:$C$36,0),MATCH($C22&amp;"+"&amp;H$5,Tape!$T$1:$ME$1,0)),0)</f>
        <v>0</v>
      </c>
      <c r="I22" s="264" t="n">
        <f aca="false">IFERROR(H22/H14,0)</f>
        <v>0</v>
      </c>
      <c r="J22" s="261" t="n">
        <f aca="false">IFERROR(H22/H$8,0)</f>
        <v>0</v>
      </c>
      <c r="K22" s="262" t="n">
        <f aca="false">IFERROR(H22/H$7,0)</f>
        <v>0</v>
      </c>
      <c r="L22" s="263" t="n">
        <f aca="false">IFERROR(INDEX(Tape!$T$7:$ME$36,MATCH($C$3,Tape!$C$7:$C$36,0),MATCH($C22&amp;"+"&amp;L$5,Tape!$T$1:$ME$1,0)),0)</f>
        <v>0</v>
      </c>
      <c r="M22" s="264" t="n">
        <f aca="false">IFERROR(L22/L14,0)</f>
        <v>0</v>
      </c>
      <c r="N22" s="261" t="n">
        <f aca="false">IFERROR(L22/L$8,0)</f>
        <v>0</v>
      </c>
      <c r="O22" s="262" t="n">
        <f aca="false">IFERROR(L22/L$7,0)</f>
        <v>0</v>
      </c>
      <c r="P22" s="263" t="n">
        <f aca="false">IFERROR(INDEX(Tape!$T$7:$ME$36,MATCH($C$3,Tape!$C$7:$C$36,0),MATCH($C22&amp;"+"&amp;P$5,Tape!$T$1:$ME$1,0)),0)</f>
        <v>0</v>
      </c>
      <c r="Q22" s="264" t="n">
        <f aca="false">IFERROR(P22/P14,0)</f>
        <v>0</v>
      </c>
      <c r="R22" s="261" t="n">
        <f aca="false">IFERROR(P22/P$8,0)</f>
        <v>0</v>
      </c>
      <c r="S22" s="262" t="n">
        <f aca="false">IFERROR(P22/P$7,0)</f>
        <v>0</v>
      </c>
      <c r="T22" s="263" t="n">
        <f aca="false">IFERROR(INDEX(Tape!$T$7:$ME$36,MATCH($C$3,Tape!$C$7:$C$36,0),MATCH($C22&amp;"+"&amp;T$5,Tape!$T$1:$ME$1,0)),0)</f>
        <v>0</v>
      </c>
      <c r="U22" s="264" t="n">
        <f aca="false">IFERROR(T22/T14,0)</f>
        <v>0</v>
      </c>
      <c r="V22" s="261" t="n">
        <f aca="false">IFERROR(T22/T$8,0)</f>
        <v>0</v>
      </c>
      <c r="W22" s="262" t="n">
        <f aca="false">IFERROR(T22/T$7,0)</f>
        <v>0</v>
      </c>
      <c r="X22" s="263" t="n">
        <f aca="false">IFERROR(INDEX(Tape!$T$7:$ME$36,MATCH($C$3,Tape!$C$7:$C$36,0),MATCH($C22&amp;"+"&amp;X$5,Tape!$T$1:$ME$1,0)),0)</f>
        <v>0</v>
      </c>
      <c r="Y22" s="264" t="n">
        <f aca="false">IFERROR(X22/X14,0)</f>
        <v>0</v>
      </c>
      <c r="Z22" s="261" t="n">
        <f aca="false">IFERROR(X22/X$8,0)</f>
        <v>0</v>
      </c>
      <c r="AA22" s="262" t="n">
        <f aca="false">IFERROR(X22/X$7,0)</f>
        <v>0</v>
      </c>
      <c r="AB22" s="263" t="n">
        <f aca="false">IFERROR(INDEX(Tape!$T$7:$ME$36,MATCH($C$3,Tape!$C$7:$C$36,0),MATCH($C22&amp;"+"&amp;AB$5,Tape!$T$1:$ME$1,0)),0)</f>
        <v>0</v>
      </c>
      <c r="AC22" s="264" t="n">
        <f aca="false">IFERROR(AB22/AB14,0)</f>
        <v>0</v>
      </c>
      <c r="AD22" s="261" t="n">
        <f aca="false">IFERROR(AB22/AB$8,0)</f>
        <v>0</v>
      </c>
      <c r="AE22" s="262" t="n">
        <f aca="false">IFERROR(AB22/AB$7,0)</f>
        <v>0</v>
      </c>
      <c r="AF22" s="263" t="n">
        <f aca="false">IFERROR(INDEX(Tape!$T$7:$ME$36,MATCH($C$3,Tape!$C$7:$C$36,0),MATCH($C22&amp;"+"&amp;AF$5,Tape!$T$1:$ME$1,0)),0)</f>
        <v>0</v>
      </c>
      <c r="AG22" s="264" t="n">
        <f aca="false">IFERROR(AF22/AF14,0)</f>
        <v>0</v>
      </c>
      <c r="AH22" s="261" t="n">
        <f aca="false">IFERROR(AF22/AF$8,0)</f>
        <v>0</v>
      </c>
      <c r="AI22" s="262" t="n">
        <f aca="false">IFERROR(AF22/AF$7,0)</f>
        <v>0</v>
      </c>
      <c r="AJ22" s="263" t="n">
        <f aca="false">IFERROR(INDEX(Tape!$T$7:$ME$36,MATCH($C$3,Tape!$C$7:$C$36,0),MATCH($C22&amp;"+"&amp;AJ$5,Tape!$T$1:$ME$1,0)),0)</f>
        <v>0</v>
      </c>
      <c r="AK22" s="264" t="n">
        <f aca="false">IFERROR(AJ22/AJ14,0)</f>
        <v>0</v>
      </c>
      <c r="AL22" s="261" t="n">
        <f aca="false">IFERROR(AJ22/AJ$8,0)</f>
        <v>0</v>
      </c>
      <c r="AM22" s="262" t="n">
        <f aca="false">IFERROR(AJ22/AJ$7,0)</f>
        <v>0</v>
      </c>
      <c r="AN22" s="469" t="n">
        <f aca="false">AO22*AN14</f>
        <v>0</v>
      </c>
      <c r="AO22" s="470" t="n">
        <f aca="false">AC22</f>
        <v>0</v>
      </c>
      <c r="AP22" s="455" t="n">
        <f aca="false">IFERROR(AN22/AN$8,0)</f>
        <v>0</v>
      </c>
      <c r="AQ22" s="456" t="n">
        <f aca="false">IFERROR(AN22/AN$7,0)</f>
        <v>0</v>
      </c>
      <c r="AR22" s="282"/>
    </row>
    <row r="23" customFormat="false" ht="14.25" hidden="false" customHeight="true" outlineLevel="0" collapsed="false">
      <c r="C23" s="468" t="s">
        <v>142</v>
      </c>
      <c r="D23" s="263" t="n">
        <f aca="false">IFERROR(INDEX(Tape!$T$7:$ME$36,MATCH($C$3,Tape!$C$7:$C$36,0),MATCH($C23&amp;"+"&amp;D$5,Tape!$T$1:$ME$1,0)),0)</f>
        <v>0</v>
      </c>
      <c r="E23" s="264" t="str">
        <f aca="false">IFERROR(D23/D15,"-")</f>
        <v>-</v>
      </c>
      <c r="F23" s="261" t="n">
        <f aca="false">IFERROR(D23/D$8,0)</f>
        <v>0</v>
      </c>
      <c r="G23" s="262" t="n">
        <f aca="false">IFERROR(D23/D$7,0)</f>
        <v>0</v>
      </c>
      <c r="H23" s="263" t="n">
        <f aca="false">IFERROR(INDEX(Tape!$T$7:$ME$36,MATCH($C$3,Tape!$C$7:$C$36,0),MATCH($C23&amp;"+"&amp;H$5,Tape!$T$1:$ME$1,0)),0)</f>
        <v>0</v>
      </c>
      <c r="I23" s="264" t="str">
        <f aca="false">IFERROR(H23/H15,"-")</f>
        <v>-</v>
      </c>
      <c r="J23" s="261" t="n">
        <f aca="false">IFERROR(H23/H$8,0)</f>
        <v>0</v>
      </c>
      <c r="K23" s="262" t="n">
        <f aca="false">IFERROR(H23/H$7,0)</f>
        <v>0</v>
      </c>
      <c r="L23" s="263" t="n">
        <f aca="false">IFERROR(INDEX(Tape!$T$7:$ME$36,MATCH($C$3,Tape!$C$7:$C$36,0),MATCH($C23&amp;"+"&amp;L$5,Tape!$T$1:$ME$1,0)),0)</f>
        <v>0</v>
      </c>
      <c r="M23" s="264" t="str">
        <f aca="false">IFERROR(L23/L15,"-")</f>
        <v>-</v>
      </c>
      <c r="N23" s="261" t="n">
        <f aca="false">IFERROR(L23/L$8,0)</f>
        <v>0</v>
      </c>
      <c r="O23" s="262" t="n">
        <f aca="false">IFERROR(L23/L$7,0)</f>
        <v>0</v>
      </c>
      <c r="P23" s="263" t="n">
        <f aca="false">IFERROR(INDEX(Tape!$T$7:$ME$36,MATCH($C$3,Tape!$C$7:$C$36,0),MATCH($C23&amp;"+"&amp;P$5,Tape!$T$1:$ME$1,0)),0)</f>
        <v>0</v>
      </c>
      <c r="Q23" s="264" t="str">
        <f aca="false">IFERROR(P23/P15,"-")</f>
        <v>-</v>
      </c>
      <c r="R23" s="261" t="n">
        <f aca="false">IFERROR(P23/P$8,0)</f>
        <v>0</v>
      </c>
      <c r="S23" s="262" t="n">
        <f aca="false">IFERROR(P23/P$7,0)</f>
        <v>0</v>
      </c>
      <c r="T23" s="263" t="n">
        <f aca="false">IFERROR(INDEX(Tape!$T$7:$ME$36,MATCH($C$3,Tape!$C$7:$C$36,0),MATCH($C23&amp;"+"&amp;T$5,Tape!$T$1:$ME$1,0)),0)</f>
        <v>0</v>
      </c>
      <c r="U23" s="264" t="str">
        <f aca="false">IFERROR(T23/T15,"-")</f>
        <v>-</v>
      </c>
      <c r="V23" s="261" t="n">
        <f aca="false">IFERROR(T23/T$8,0)</f>
        <v>0</v>
      </c>
      <c r="W23" s="262" t="n">
        <f aca="false">IFERROR(T23/T$7,0)</f>
        <v>0</v>
      </c>
      <c r="X23" s="263" t="n">
        <f aca="false">IFERROR(INDEX(Tape!$T$7:$ME$36,MATCH($C$3,Tape!$C$7:$C$36,0),MATCH($C23&amp;"+"&amp;X$5,Tape!$T$1:$ME$1,0)),0)</f>
        <v>0</v>
      </c>
      <c r="Y23" s="264" t="str">
        <f aca="false">IFERROR(X23/X15,"-")</f>
        <v>-</v>
      </c>
      <c r="Z23" s="261" t="n">
        <f aca="false">IFERROR(X23/X$8,0)</f>
        <v>0</v>
      </c>
      <c r="AA23" s="262" t="n">
        <f aca="false">IFERROR(X23/X$7,0)</f>
        <v>0</v>
      </c>
      <c r="AB23" s="263" t="n">
        <f aca="false">IFERROR(INDEX(Tape!$T$7:$ME$36,MATCH($C$3,Tape!$C$7:$C$36,0),MATCH($C23&amp;"+"&amp;AB$5,Tape!$T$1:$ME$1,0)),0)</f>
        <v>0</v>
      </c>
      <c r="AC23" s="264" t="str">
        <f aca="false">IFERROR(AB23/AB15,"-")</f>
        <v>-</v>
      </c>
      <c r="AD23" s="261" t="n">
        <f aca="false">IFERROR(AB23/AB$8,0)</f>
        <v>0</v>
      </c>
      <c r="AE23" s="262" t="n">
        <f aca="false">IFERROR(AB23/AB$7,0)</f>
        <v>0</v>
      </c>
      <c r="AF23" s="263" t="n">
        <f aca="false">IFERROR(INDEX(Tape!$T$7:$ME$36,MATCH($C$3,Tape!$C$7:$C$36,0),MATCH($C23&amp;"+"&amp;AF$5,Tape!$T$1:$ME$1,0)),0)</f>
        <v>0</v>
      </c>
      <c r="AG23" s="264" t="str">
        <f aca="false">IFERROR(AF23/AF15,"-")</f>
        <v>-</v>
      </c>
      <c r="AH23" s="261" t="n">
        <f aca="false">IFERROR(AF23/AF$8,0)</f>
        <v>0</v>
      </c>
      <c r="AI23" s="262" t="n">
        <f aca="false">IFERROR(AF23/AF$7,0)</f>
        <v>0</v>
      </c>
      <c r="AJ23" s="263" t="n">
        <f aca="false">IFERROR(INDEX(Tape!$T$7:$ME$36,MATCH($C$3,Tape!$C$7:$C$36,0),MATCH($C23&amp;"+"&amp;AJ$5,Tape!$T$1:$ME$1,0)),0)</f>
        <v>0</v>
      </c>
      <c r="AK23" s="264" t="str">
        <f aca="false">IFERROR(AJ23/AJ15,"-")</f>
        <v>-</v>
      </c>
      <c r="AL23" s="261" t="n">
        <f aca="false">IFERROR(AJ23/AJ$8,0)</f>
        <v>0</v>
      </c>
      <c r="AM23" s="262" t="n">
        <f aca="false">IFERROR(AJ23/AJ$7,0)</f>
        <v>0</v>
      </c>
      <c r="AN23" s="469" t="str">
        <f aca="false">IFERROR(AO23*AN15,"-")</f>
        <v>-</v>
      </c>
      <c r="AO23" s="470" t="str">
        <f aca="false">IFERROR(AC23,"-")</f>
        <v>-</v>
      </c>
      <c r="AP23" s="455" t="str">
        <f aca="false">IFERROR(AN23/AN$8,"-")</f>
        <v>-</v>
      </c>
      <c r="AQ23" s="456" t="str">
        <f aca="false">IFERROR(AN23/AN$7,"-")</f>
        <v>-</v>
      </c>
      <c r="AR23" s="282"/>
    </row>
    <row r="24" customFormat="false" ht="14.25" hidden="false" customHeight="true" outlineLevel="0" collapsed="false">
      <c r="C24" s="468" t="s">
        <v>143</v>
      </c>
      <c r="D24" s="263" t="n">
        <f aca="false">IFERROR(INDEX(Tape!$T$7:$ME$36,MATCH($C$3,Tape!$C$7:$C$36,0),MATCH($C24&amp;"+"&amp;D$5,Tape!$T$1:$ME$1,0)),0)</f>
        <v>0</v>
      </c>
      <c r="E24" s="264" t="n">
        <f aca="false">IFERROR(D24/D16,0)</f>
        <v>0</v>
      </c>
      <c r="F24" s="261" t="n">
        <f aca="false">IFERROR(D24/D$8,0)</f>
        <v>0</v>
      </c>
      <c r="G24" s="262" t="n">
        <f aca="false">IFERROR(D24/D$7,0)</f>
        <v>0</v>
      </c>
      <c r="H24" s="263" t="n">
        <f aca="false">IFERROR(INDEX(Tape!$T$7:$ME$36,MATCH($C$3,Tape!$C$7:$C$36,0),MATCH($C24&amp;"+"&amp;H$5,Tape!$T$1:$ME$1,0)),0)</f>
        <v>0</v>
      </c>
      <c r="I24" s="264" t="n">
        <f aca="false">IFERROR(H24/H16,0)</f>
        <v>0</v>
      </c>
      <c r="J24" s="261" t="n">
        <f aca="false">IFERROR(H24/H$8,0)</f>
        <v>0</v>
      </c>
      <c r="K24" s="262" t="n">
        <f aca="false">IFERROR(H24/H$7,0)</f>
        <v>0</v>
      </c>
      <c r="L24" s="263" t="n">
        <f aca="false">IFERROR(INDEX(Tape!$T$7:$ME$36,MATCH($C$3,Tape!$C$7:$C$36,0),MATCH($C24&amp;"+"&amp;L$5,Tape!$T$1:$ME$1,0)),0)</f>
        <v>0</v>
      </c>
      <c r="M24" s="264" t="n">
        <f aca="false">IFERROR(L24/L16,0)</f>
        <v>0</v>
      </c>
      <c r="N24" s="261" t="n">
        <f aca="false">IFERROR(L24/L$8,0)</f>
        <v>0</v>
      </c>
      <c r="O24" s="262" t="n">
        <f aca="false">IFERROR(L24/L$7,0)</f>
        <v>0</v>
      </c>
      <c r="P24" s="263" t="n">
        <f aca="false">IFERROR(INDEX(Tape!$T$7:$ME$36,MATCH($C$3,Tape!$C$7:$C$36,0),MATCH($C24&amp;"+"&amp;P$5,Tape!$T$1:$ME$1,0)),0)</f>
        <v>0</v>
      </c>
      <c r="Q24" s="264" t="n">
        <f aca="false">IFERROR(P24/P16,0)</f>
        <v>0</v>
      </c>
      <c r="R24" s="261" t="n">
        <f aca="false">IFERROR(P24/P$8,0)</f>
        <v>0</v>
      </c>
      <c r="S24" s="262" t="n">
        <f aca="false">IFERROR(P24/P$7,0)</f>
        <v>0</v>
      </c>
      <c r="T24" s="263" t="n">
        <f aca="false">IFERROR(INDEX(Tape!$T$7:$ME$36,MATCH($C$3,Tape!$C$7:$C$36,0),MATCH($C24&amp;"+"&amp;T$5,Tape!$T$1:$ME$1,0)),0)</f>
        <v>0</v>
      </c>
      <c r="U24" s="264" t="n">
        <f aca="false">IFERROR(T24/T16,0)</f>
        <v>0</v>
      </c>
      <c r="V24" s="261" t="n">
        <f aca="false">IFERROR(T24/T$8,0)</f>
        <v>0</v>
      </c>
      <c r="W24" s="262" t="n">
        <f aca="false">IFERROR(T24/T$7,0)</f>
        <v>0</v>
      </c>
      <c r="X24" s="263" t="n">
        <f aca="false">IFERROR(INDEX(Tape!$T$7:$ME$36,MATCH($C$3,Tape!$C$7:$C$36,0),MATCH($C24&amp;"+"&amp;X$5,Tape!$T$1:$ME$1,0)),0)</f>
        <v>0</v>
      </c>
      <c r="Y24" s="264" t="n">
        <f aca="false">IFERROR(X24/X16,0)</f>
        <v>0</v>
      </c>
      <c r="Z24" s="261" t="n">
        <f aca="false">IFERROR(X24/X$8,0)</f>
        <v>0</v>
      </c>
      <c r="AA24" s="262" t="n">
        <f aca="false">IFERROR(X24/X$7,0)</f>
        <v>0</v>
      </c>
      <c r="AB24" s="263" t="n">
        <f aca="false">IFERROR(INDEX(Tape!$T$7:$ME$36,MATCH($C$3,Tape!$C$7:$C$36,0),MATCH($C24&amp;"+"&amp;AB$5,Tape!$T$1:$ME$1,0)),0)</f>
        <v>0</v>
      </c>
      <c r="AC24" s="264" t="n">
        <f aca="false">IFERROR(AB24/AB16,0)</f>
        <v>0</v>
      </c>
      <c r="AD24" s="261" t="n">
        <f aca="false">IFERROR(AB24/AB$8,0)</f>
        <v>0</v>
      </c>
      <c r="AE24" s="262" t="n">
        <f aca="false">IFERROR(AB24/AB$7,0)</f>
        <v>0</v>
      </c>
      <c r="AF24" s="263" t="n">
        <f aca="false">IFERROR(INDEX(Tape!$T$7:$ME$36,MATCH($C$3,Tape!$C$7:$C$36,0),MATCH($C24&amp;"+"&amp;AF$5,Tape!$T$1:$ME$1,0)),0)</f>
        <v>0</v>
      </c>
      <c r="AG24" s="264" t="n">
        <f aca="false">IFERROR(AF24/AF16,0)</f>
        <v>0</v>
      </c>
      <c r="AH24" s="261" t="n">
        <f aca="false">IFERROR(AF24/AF$8,0)</f>
        <v>0</v>
      </c>
      <c r="AI24" s="262" t="n">
        <f aca="false">IFERROR(AF24/AF$7,0)</f>
        <v>0</v>
      </c>
      <c r="AJ24" s="263" t="n">
        <f aca="false">IFERROR(INDEX(Tape!$T$7:$ME$36,MATCH($C$3,Tape!$C$7:$C$36,0),MATCH($C24&amp;"+"&amp;AJ$5,Tape!$T$1:$ME$1,0)),0)</f>
        <v>0</v>
      </c>
      <c r="AK24" s="264" t="n">
        <f aca="false">IFERROR(AJ24/AJ16,0)</f>
        <v>0</v>
      </c>
      <c r="AL24" s="261" t="n">
        <f aca="false">IFERROR(AJ24/AJ$8,0)</f>
        <v>0</v>
      </c>
      <c r="AM24" s="262" t="n">
        <f aca="false">IFERROR(AJ24/AJ$7,0)</f>
        <v>0</v>
      </c>
      <c r="AN24" s="469" t="n">
        <f aca="false">AO24*AN16</f>
        <v>0</v>
      </c>
      <c r="AO24" s="470" t="n">
        <f aca="false">AC24</f>
        <v>0</v>
      </c>
      <c r="AP24" s="455" t="n">
        <f aca="false">IFERROR(AN24/AN$8,0)</f>
        <v>0</v>
      </c>
      <c r="AQ24" s="456" t="n">
        <f aca="false">IFERROR(AN24/AN$7,0)</f>
        <v>0</v>
      </c>
      <c r="AR24" s="283"/>
    </row>
    <row r="25" customFormat="false" ht="14.25" hidden="false" customHeight="true" outlineLevel="0" collapsed="false">
      <c r="C25" s="471" t="s">
        <v>144</v>
      </c>
      <c r="D25" s="289" t="n">
        <f aca="false">SUM(D22:D24)</f>
        <v>0</v>
      </c>
      <c r="E25" s="286" t="n">
        <f aca="false">IFERROR(D25/D$19,0)</f>
        <v>0</v>
      </c>
      <c r="F25" s="287" t="n">
        <f aca="false">IFERROR(D25/D$8,0)</f>
        <v>0</v>
      </c>
      <c r="G25" s="288" t="n">
        <f aca="false">IFERROR(D25/D$7,0)</f>
        <v>0</v>
      </c>
      <c r="H25" s="289" t="n">
        <f aca="false">SUM(H22:H24)</f>
        <v>0</v>
      </c>
      <c r="I25" s="286" t="n">
        <f aca="false">IFERROR(H25/H$19,0)</f>
        <v>0</v>
      </c>
      <c r="J25" s="287" t="n">
        <f aca="false">IFERROR(H25/H$8,0)</f>
        <v>0</v>
      </c>
      <c r="K25" s="288" t="n">
        <f aca="false">IFERROR(H25/H$7,0)</f>
        <v>0</v>
      </c>
      <c r="L25" s="289" t="n">
        <f aca="false">SUM(L22:L24)</f>
        <v>0</v>
      </c>
      <c r="M25" s="286" t="n">
        <f aca="false">IFERROR(L25/L$19,0)</f>
        <v>0</v>
      </c>
      <c r="N25" s="287" t="n">
        <f aca="false">IFERROR(L25/L$8,0)</f>
        <v>0</v>
      </c>
      <c r="O25" s="288" t="n">
        <f aca="false">IFERROR(L25/L$7,0)</f>
        <v>0</v>
      </c>
      <c r="P25" s="289" t="n">
        <f aca="false">SUM(P22:P24)</f>
        <v>0</v>
      </c>
      <c r="Q25" s="286" t="n">
        <f aca="false">IFERROR(P25/P$19,0)</f>
        <v>0</v>
      </c>
      <c r="R25" s="287" t="n">
        <f aca="false">IFERROR(P25/P$8,0)</f>
        <v>0</v>
      </c>
      <c r="S25" s="288" t="n">
        <f aca="false">IFERROR(P25/P$7,0)</f>
        <v>0</v>
      </c>
      <c r="T25" s="289" t="n">
        <f aca="false">SUM(T22:T24)</f>
        <v>0</v>
      </c>
      <c r="U25" s="286" t="n">
        <f aca="false">IFERROR(T25/T$19,0)</f>
        <v>0</v>
      </c>
      <c r="V25" s="287" t="n">
        <f aca="false">IFERROR(T25/T$8,0)</f>
        <v>0</v>
      </c>
      <c r="W25" s="288" t="n">
        <f aca="false">IFERROR(T25/T$7,0)</f>
        <v>0</v>
      </c>
      <c r="X25" s="289" t="n">
        <f aca="false">SUM(X22:X24)</f>
        <v>0</v>
      </c>
      <c r="Y25" s="286" t="n">
        <f aca="false">IFERROR(X25/X$19,0)</f>
        <v>0</v>
      </c>
      <c r="Z25" s="287" t="n">
        <f aca="false">IFERROR(X25/X$8,0)</f>
        <v>0</v>
      </c>
      <c r="AA25" s="288" t="n">
        <f aca="false">IFERROR(X25/X$7,0)</f>
        <v>0</v>
      </c>
      <c r="AB25" s="289" t="n">
        <f aca="false">SUM(AB22:AB24)</f>
        <v>0</v>
      </c>
      <c r="AC25" s="286" t="n">
        <f aca="false">IFERROR(AB25/AB$19,0)</f>
        <v>0</v>
      </c>
      <c r="AD25" s="287" t="n">
        <f aca="false">IFERROR(AB25/AB$8,0)</f>
        <v>0</v>
      </c>
      <c r="AE25" s="288" t="n">
        <f aca="false">IFERROR(AB25/AB$7,0)</f>
        <v>0</v>
      </c>
      <c r="AF25" s="289" t="n">
        <f aca="false">SUM(AF22:AF24)</f>
        <v>0</v>
      </c>
      <c r="AG25" s="286" t="n">
        <f aca="false">IFERROR(AF25/AF$19,0)</f>
        <v>0</v>
      </c>
      <c r="AH25" s="287" t="n">
        <f aca="false">IFERROR(AF25/AF$8,0)</f>
        <v>0</v>
      </c>
      <c r="AI25" s="288" t="n">
        <f aca="false">IFERROR(AF25/AF$7,0)</f>
        <v>0</v>
      </c>
      <c r="AJ25" s="289" t="n">
        <f aca="false">SUM(AJ22:AJ24)</f>
        <v>0</v>
      </c>
      <c r="AK25" s="286" t="n">
        <f aca="false">IFERROR(AJ25/AJ$19,0)</f>
        <v>0</v>
      </c>
      <c r="AL25" s="287" t="n">
        <f aca="false">IFERROR(AJ25/AJ$8,0)</f>
        <v>0</v>
      </c>
      <c r="AM25" s="288" t="n">
        <f aca="false">IFERROR(AJ25/AJ$7,0)</f>
        <v>0</v>
      </c>
      <c r="AN25" s="472" t="n">
        <f aca="false">SUM(AN22:AN24)</f>
        <v>0</v>
      </c>
      <c r="AO25" s="473" t="n">
        <f aca="false">IFERROR(AN25/AN$19,0)</f>
        <v>0</v>
      </c>
      <c r="AP25" s="474" t="n">
        <f aca="false">IFERROR(AN25/AN$8,0)</f>
        <v>0</v>
      </c>
      <c r="AQ25" s="475" t="n">
        <f aca="false">IFERROR(AN25/AN$7,0)</f>
        <v>0</v>
      </c>
    </row>
    <row r="26" customFormat="false" ht="14.25" hidden="false" customHeight="true" outlineLevel="0" collapsed="false">
      <c r="C26" s="460"/>
      <c r="D26" s="276"/>
      <c r="E26" s="273"/>
      <c r="F26" s="274"/>
      <c r="G26" s="275"/>
      <c r="H26" s="276"/>
      <c r="I26" s="273"/>
      <c r="J26" s="274"/>
      <c r="K26" s="275"/>
      <c r="L26" s="276"/>
      <c r="M26" s="273"/>
      <c r="N26" s="274"/>
      <c r="O26" s="275"/>
      <c r="P26" s="276"/>
      <c r="Q26" s="273"/>
      <c r="R26" s="274"/>
      <c r="S26" s="275"/>
      <c r="T26" s="276"/>
      <c r="U26" s="273"/>
      <c r="V26" s="274"/>
      <c r="W26" s="275"/>
      <c r="X26" s="276"/>
      <c r="Y26" s="273"/>
      <c r="Z26" s="274"/>
      <c r="AA26" s="275"/>
      <c r="AB26" s="276"/>
      <c r="AC26" s="273"/>
      <c r="AD26" s="274"/>
      <c r="AE26" s="275"/>
      <c r="AF26" s="276"/>
      <c r="AG26" s="273"/>
      <c r="AH26" s="274"/>
      <c r="AI26" s="275"/>
      <c r="AJ26" s="276"/>
      <c r="AK26" s="273"/>
      <c r="AL26" s="274"/>
      <c r="AM26" s="275"/>
      <c r="AN26" s="461"/>
      <c r="AO26" s="220"/>
      <c r="AP26" s="462"/>
      <c r="AQ26" s="463"/>
    </row>
    <row r="27" s="290" customFormat="true" ht="14.25" hidden="false" customHeight="true" outlineLevel="0" collapsed="false">
      <c r="C27" s="459" t="s">
        <v>145</v>
      </c>
      <c r="D27" s="270" t="n">
        <f aca="false">D19-D25</f>
        <v>0</v>
      </c>
      <c r="E27" s="267" t="n">
        <f aca="false">IFERROR(D27/D$19,0)</f>
        <v>0</v>
      </c>
      <c r="F27" s="268" t="n">
        <f aca="false">IFERROR(D27/D$8,0)</f>
        <v>0</v>
      </c>
      <c r="G27" s="269" t="n">
        <f aca="false">IFERROR(D27/D$7,0)</f>
        <v>0</v>
      </c>
      <c r="H27" s="270" t="n">
        <f aca="false">H19-H25</f>
        <v>0</v>
      </c>
      <c r="I27" s="267" t="n">
        <f aca="false">IFERROR(H27/H$19,0)</f>
        <v>0</v>
      </c>
      <c r="J27" s="268" t="n">
        <f aca="false">IFERROR(H27/H$8,0)</f>
        <v>0</v>
      </c>
      <c r="K27" s="269" t="n">
        <f aca="false">IFERROR(H27/H$7,0)</f>
        <v>0</v>
      </c>
      <c r="L27" s="270" t="n">
        <f aca="false">L19-L25</f>
        <v>0</v>
      </c>
      <c r="M27" s="267" t="n">
        <f aca="false">IFERROR(L27/L$19,0)</f>
        <v>0</v>
      </c>
      <c r="N27" s="268" t="n">
        <f aca="false">IFERROR(L27/L$8,0)</f>
        <v>0</v>
      </c>
      <c r="O27" s="269" t="n">
        <f aca="false">IFERROR(L27/L$7,0)</f>
        <v>0</v>
      </c>
      <c r="P27" s="270" t="n">
        <f aca="false">P19-P25</f>
        <v>0</v>
      </c>
      <c r="Q27" s="267" t="n">
        <f aca="false">IFERROR(P27/P$19,0)</f>
        <v>0</v>
      </c>
      <c r="R27" s="268" t="n">
        <f aca="false">IFERROR(P27/P$8,0)</f>
        <v>0</v>
      </c>
      <c r="S27" s="269" t="n">
        <f aca="false">IFERROR(P27/P$7,0)</f>
        <v>0</v>
      </c>
      <c r="T27" s="270" t="n">
        <f aca="false">T19-T25</f>
        <v>0</v>
      </c>
      <c r="U27" s="267" t="n">
        <f aca="false">IFERROR(T27/T$19,0)</f>
        <v>0</v>
      </c>
      <c r="V27" s="268" t="n">
        <f aca="false">IFERROR(T27/T$8,0)</f>
        <v>0</v>
      </c>
      <c r="W27" s="269" t="n">
        <f aca="false">IFERROR(T27/T$7,0)</f>
        <v>0</v>
      </c>
      <c r="X27" s="270" t="n">
        <f aca="false">X19-X25</f>
        <v>0</v>
      </c>
      <c r="Y27" s="267" t="n">
        <f aca="false">IFERROR(X27/X$19,0)</f>
        <v>0</v>
      </c>
      <c r="Z27" s="268" t="n">
        <f aca="false">IFERROR(X27/X$8,0)</f>
        <v>0</v>
      </c>
      <c r="AA27" s="269" t="n">
        <f aca="false">IFERROR(X27/X$7,0)</f>
        <v>0</v>
      </c>
      <c r="AB27" s="270" t="n">
        <f aca="false">AB19-AB25</f>
        <v>0</v>
      </c>
      <c r="AC27" s="267" t="n">
        <f aca="false">IFERROR(AB27/AB$19,0)</f>
        <v>0</v>
      </c>
      <c r="AD27" s="268" t="n">
        <f aca="false">IFERROR(AB27/AB$8,0)</f>
        <v>0</v>
      </c>
      <c r="AE27" s="269" t="n">
        <f aca="false">IFERROR(AB27/AB$7,0)</f>
        <v>0</v>
      </c>
      <c r="AF27" s="270" t="n">
        <f aca="false">AF19-AF25</f>
        <v>0</v>
      </c>
      <c r="AG27" s="267" t="n">
        <f aca="false">IFERROR(AF27/AF$19,0)</f>
        <v>0</v>
      </c>
      <c r="AH27" s="268" t="n">
        <f aca="false">IFERROR(AF27/AF$8,0)</f>
        <v>0</v>
      </c>
      <c r="AI27" s="269" t="n">
        <f aca="false">IFERROR(AF27/AF$7,0)</f>
        <v>0</v>
      </c>
      <c r="AJ27" s="270" t="n">
        <f aca="false">AJ19-AJ25</f>
        <v>0</v>
      </c>
      <c r="AK27" s="267" t="n">
        <f aca="false">IFERROR(AJ27/AJ$19,0)</f>
        <v>0</v>
      </c>
      <c r="AL27" s="268" t="n">
        <f aca="false">IFERROR(AJ27/AJ$8,0)</f>
        <v>0</v>
      </c>
      <c r="AM27" s="269" t="n">
        <f aca="false">IFERROR(AJ27/AJ$7,0)</f>
        <v>0</v>
      </c>
      <c r="AN27" s="270" t="n">
        <f aca="false">AN19-AN25</f>
        <v>0</v>
      </c>
      <c r="AO27" s="267" t="n">
        <f aca="false">IFERROR(AN27/AN$19,0)</f>
        <v>0</v>
      </c>
      <c r="AP27" s="268" t="n">
        <f aca="false">IFERROR(AN27/AN$8,0)</f>
        <v>0</v>
      </c>
      <c r="AQ27" s="269" t="n">
        <f aca="false">IFERROR(AN27/AN$7,0)</f>
        <v>0</v>
      </c>
    </row>
    <row r="28" customFormat="false" ht="14.25" hidden="false" customHeight="true" outlineLevel="0" collapsed="false">
      <c r="C28" s="460"/>
      <c r="D28" s="276"/>
      <c r="E28" s="273"/>
      <c r="F28" s="274"/>
      <c r="G28" s="275"/>
      <c r="H28" s="276"/>
      <c r="I28" s="273"/>
      <c r="J28" s="274"/>
      <c r="K28" s="275"/>
      <c r="L28" s="276"/>
      <c r="M28" s="273"/>
      <c r="N28" s="274"/>
      <c r="O28" s="275"/>
      <c r="P28" s="276"/>
      <c r="Q28" s="273"/>
      <c r="R28" s="274"/>
      <c r="S28" s="275"/>
      <c r="T28" s="276"/>
      <c r="U28" s="273"/>
      <c r="V28" s="274"/>
      <c r="W28" s="275"/>
      <c r="X28" s="276"/>
      <c r="Y28" s="273"/>
      <c r="Z28" s="274"/>
      <c r="AA28" s="275"/>
      <c r="AB28" s="276"/>
      <c r="AC28" s="273"/>
      <c r="AD28" s="274"/>
      <c r="AE28" s="275"/>
      <c r="AF28" s="276"/>
      <c r="AG28" s="273"/>
      <c r="AH28" s="274"/>
      <c r="AI28" s="275"/>
      <c r="AJ28" s="276"/>
      <c r="AK28" s="273"/>
      <c r="AL28" s="274"/>
      <c r="AM28" s="275"/>
      <c r="AN28" s="461"/>
      <c r="AO28" s="220"/>
      <c r="AP28" s="462"/>
      <c r="AQ28" s="463"/>
    </row>
    <row r="29" customFormat="false" ht="14.25" hidden="false" customHeight="true" outlineLevel="0" collapsed="false">
      <c r="C29" s="460" t="s">
        <v>146</v>
      </c>
      <c r="D29" s="293"/>
      <c r="E29" s="273"/>
      <c r="F29" s="291"/>
      <c r="G29" s="292"/>
      <c r="H29" s="293"/>
      <c r="I29" s="273"/>
      <c r="J29" s="291"/>
      <c r="K29" s="292"/>
      <c r="L29" s="293"/>
      <c r="M29" s="273"/>
      <c r="N29" s="291"/>
      <c r="O29" s="292"/>
      <c r="P29" s="293"/>
      <c r="Q29" s="273"/>
      <c r="R29" s="291"/>
      <c r="S29" s="292"/>
      <c r="T29" s="293"/>
      <c r="U29" s="273"/>
      <c r="V29" s="291"/>
      <c r="W29" s="292"/>
      <c r="X29" s="293"/>
      <c r="Y29" s="273"/>
      <c r="Z29" s="291"/>
      <c r="AA29" s="292"/>
      <c r="AB29" s="293"/>
      <c r="AC29" s="273"/>
      <c r="AD29" s="291"/>
      <c r="AE29" s="292"/>
      <c r="AF29" s="293"/>
      <c r="AG29" s="273"/>
      <c r="AH29" s="291"/>
      <c r="AI29" s="292"/>
      <c r="AJ29" s="293"/>
      <c r="AK29" s="273"/>
      <c r="AL29" s="291"/>
      <c r="AM29" s="292"/>
      <c r="AN29" s="476"/>
      <c r="AO29" s="220"/>
      <c r="AP29" s="477"/>
      <c r="AQ29" s="478"/>
      <c r="AR29" s="219"/>
    </row>
    <row r="30" customFormat="false" ht="14.25" hidden="false" customHeight="true" outlineLevel="0" collapsed="false">
      <c r="C30" s="468" t="s">
        <v>147</v>
      </c>
      <c r="D30" s="263" t="n">
        <f aca="false">IFERROR(INDEX(Tape!$T$7:$ME$36,MATCH($C$3,Tape!$C$7:$C$36,0),MATCH($C30&amp;"+"&amp;D$5,Tape!$T$1:$ME$1,0)),0)</f>
        <v>0</v>
      </c>
      <c r="E30" s="264" t="n">
        <f aca="false">IFERROR(D30/D$19,0)</f>
        <v>0</v>
      </c>
      <c r="F30" s="261" t="n">
        <f aca="false">IFERROR(D30/D$8,0)</f>
        <v>0</v>
      </c>
      <c r="G30" s="262" t="n">
        <f aca="false">IFERROR(D30/D$7,0)</f>
        <v>0</v>
      </c>
      <c r="H30" s="263" t="n">
        <f aca="false">IFERROR(INDEX(Tape!$T$7:$ME$36,MATCH($C$3,Tape!$C$7:$C$36,0),MATCH($C30&amp;"+"&amp;H$5,Tape!$T$1:$ME$1,0)),0)</f>
        <v>0</v>
      </c>
      <c r="I30" s="264" t="n">
        <f aca="false">IFERROR(H30/H$19,0)</f>
        <v>0</v>
      </c>
      <c r="J30" s="261" t="n">
        <f aca="false">IFERROR(H30/H$8,0)</f>
        <v>0</v>
      </c>
      <c r="K30" s="262" t="n">
        <f aca="false">IFERROR(H30/H$7,0)</f>
        <v>0</v>
      </c>
      <c r="L30" s="263" t="n">
        <f aca="false">IFERROR(INDEX(Tape!$T$7:$ME$36,MATCH($C$3,Tape!$C$7:$C$36,0),MATCH($C30&amp;"+"&amp;L$5,Tape!$T$1:$ME$1,0)),0)</f>
        <v>0</v>
      </c>
      <c r="M30" s="264" t="n">
        <f aca="false">IFERROR(L30/L$19,0)</f>
        <v>0</v>
      </c>
      <c r="N30" s="261" t="n">
        <f aca="false">IFERROR(L30/L$8,0)</f>
        <v>0</v>
      </c>
      <c r="O30" s="262" t="n">
        <f aca="false">IFERROR(L30/L$7,0)</f>
        <v>0</v>
      </c>
      <c r="P30" s="263" t="n">
        <f aca="false">IFERROR(INDEX(Tape!$T$7:$ME$36,MATCH($C$3,Tape!$C$7:$C$36,0),MATCH($C30&amp;"+"&amp;P$5,Tape!$T$1:$ME$1,0)),0)</f>
        <v>0</v>
      </c>
      <c r="Q30" s="264" t="n">
        <f aca="false">IFERROR(P30/P$19,0)</f>
        <v>0</v>
      </c>
      <c r="R30" s="261" t="n">
        <f aca="false">IFERROR(P30/P$8,0)</f>
        <v>0</v>
      </c>
      <c r="S30" s="262" t="n">
        <f aca="false">IFERROR(P30/P$7,0)</f>
        <v>0</v>
      </c>
      <c r="T30" s="263" t="n">
        <f aca="false">IFERROR(INDEX(Tape!$T$7:$ME$36,MATCH($C$3,Tape!$C$7:$C$36,0),MATCH($C30&amp;"+"&amp;T$5,Tape!$T$1:$ME$1,0)),0)</f>
        <v>0</v>
      </c>
      <c r="U30" s="264" t="n">
        <f aca="false">IFERROR(T30/T$19,0)</f>
        <v>0</v>
      </c>
      <c r="V30" s="261" t="n">
        <f aca="false">IFERROR(T30/T$8,0)</f>
        <v>0</v>
      </c>
      <c r="W30" s="262" t="n">
        <f aca="false">IFERROR(T30/T$7,0)</f>
        <v>0</v>
      </c>
      <c r="X30" s="263" t="n">
        <f aca="false">IFERROR(INDEX(Tape!$T$7:$ME$36,MATCH($C$3,Tape!$C$7:$C$36,0),MATCH($C30&amp;"+"&amp;X$5,Tape!$T$1:$ME$1,0)),0)</f>
        <v>0</v>
      </c>
      <c r="Y30" s="264" t="n">
        <f aca="false">IFERROR(X30/X$19,0)</f>
        <v>0</v>
      </c>
      <c r="Z30" s="261" t="n">
        <f aca="false">IFERROR(X30/X$8,0)</f>
        <v>0</v>
      </c>
      <c r="AA30" s="262" t="n">
        <f aca="false">IFERROR(X30/X$7,0)</f>
        <v>0</v>
      </c>
      <c r="AB30" s="263" t="n">
        <f aca="false">IFERROR(INDEX(Tape!$T$7:$ME$36,MATCH($C$3,Tape!$C$7:$C$36,0),MATCH($C30&amp;"+"&amp;AB$5,Tape!$T$1:$ME$1,0)),0)</f>
        <v>0</v>
      </c>
      <c r="AC30" s="264" t="n">
        <f aca="false">IFERROR(AB30/AB$19,0)</f>
        <v>0</v>
      </c>
      <c r="AD30" s="261" t="n">
        <f aca="false">IFERROR(AB30/AB$8,0)</f>
        <v>0</v>
      </c>
      <c r="AE30" s="262" t="n">
        <f aca="false">IFERROR(AB30/AB$7,0)</f>
        <v>0</v>
      </c>
      <c r="AF30" s="263" t="n">
        <f aca="false">IFERROR(INDEX(Tape!$T$7:$ME$36,MATCH($C$3,Tape!$C$7:$C$36,0),MATCH($C30&amp;"+"&amp;AF$5,Tape!$T$1:$ME$1,0)),0)</f>
        <v>0</v>
      </c>
      <c r="AG30" s="264" t="n">
        <f aca="false">IFERROR(AF30/AF$19,0)</f>
        <v>0</v>
      </c>
      <c r="AH30" s="261" t="n">
        <f aca="false">IFERROR(AF30/AF$8,0)</f>
        <v>0</v>
      </c>
      <c r="AI30" s="262" t="n">
        <f aca="false">IFERROR(AF30/AF$7,0)</f>
        <v>0</v>
      </c>
      <c r="AJ30" s="263" t="n">
        <f aca="false">IFERROR(INDEX(Tape!$T$7:$ME$36,MATCH($C$3,Tape!$C$7:$C$36,0),MATCH($C30&amp;"+"&amp;AJ$5,Tape!$T$1:$ME$1,0)),0)</f>
        <v>0</v>
      </c>
      <c r="AK30" s="264" t="n">
        <f aca="false">IFERROR(AJ30/AJ$19,0)</f>
        <v>0</v>
      </c>
      <c r="AL30" s="261" t="n">
        <f aca="false">IFERROR(AJ30/AJ$8,0)</f>
        <v>0</v>
      </c>
      <c r="AM30" s="262" t="n">
        <f aca="false">IFERROR(AJ30/AJ$7,0)</f>
        <v>0</v>
      </c>
      <c r="AN30" s="453" t="n">
        <f aca="false">AQ30*AN$7</f>
        <v>0</v>
      </c>
      <c r="AO30" s="457" t="n">
        <f aca="false">IFERROR(AN30/AN$19,0)</f>
        <v>0</v>
      </c>
      <c r="AP30" s="455" t="n">
        <f aca="false">IFERROR(AN30/AN$8,0)</f>
        <v>0</v>
      </c>
      <c r="AQ30" s="479" t="n">
        <f aca="false">AE30</f>
        <v>0</v>
      </c>
      <c r="AR30" s="219"/>
      <c r="AS30" s="252"/>
    </row>
    <row r="31" customFormat="false" ht="14.25" hidden="false" customHeight="true" outlineLevel="0" collapsed="false">
      <c r="C31" s="468" t="s">
        <v>148</v>
      </c>
      <c r="D31" s="263" t="n">
        <f aca="false">IFERROR(INDEX(Tape!$T$7:$ME$36,MATCH($C$3,Tape!$C$7:$C$36,0),MATCH($C31&amp;"+"&amp;D$5,Tape!$T$1:$ME$1,0)),0)</f>
        <v>0</v>
      </c>
      <c r="E31" s="264" t="n">
        <f aca="false">IFERROR(D31/D$19,0)</f>
        <v>0</v>
      </c>
      <c r="F31" s="261" t="n">
        <f aca="false">IFERROR(D31/D$8,0)</f>
        <v>0</v>
      </c>
      <c r="G31" s="262" t="n">
        <f aca="false">IFERROR(D31/D$7,0)</f>
        <v>0</v>
      </c>
      <c r="H31" s="263" t="n">
        <f aca="false">IFERROR(INDEX(Tape!$T$7:$ME$36,MATCH($C$3,Tape!$C$7:$C$36,0),MATCH($C31&amp;"+"&amp;H$5,Tape!$T$1:$ME$1,0)),0)</f>
        <v>0</v>
      </c>
      <c r="I31" s="264" t="n">
        <f aca="false">IFERROR(H31/H$19,0)</f>
        <v>0</v>
      </c>
      <c r="J31" s="261" t="n">
        <f aca="false">IFERROR(H31/H$8,0)</f>
        <v>0</v>
      </c>
      <c r="K31" s="262" t="n">
        <f aca="false">IFERROR(H31/H$7,0)</f>
        <v>0</v>
      </c>
      <c r="L31" s="263" t="n">
        <f aca="false">IFERROR(INDEX(Tape!$T$7:$ME$36,MATCH($C$3,Tape!$C$7:$C$36,0),MATCH($C31&amp;"+"&amp;L$5,Tape!$T$1:$ME$1,0)),0)</f>
        <v>0</v>
      </c>
      <c r="M31" s="264" t="n">
        <f aca="false">IFERROR(L31/L$19,0)</f>
        <v>0</v>
      </c>
      <c r="N31" s="261" t="n">
        <f aca="false">IFERROR(L31/L$8,0)</f>
        <v>0</v>
      </c>
      <c r="O31" s="262" t="n">
        <f aca="false">IFERROR(L31/L$7,0)</f>
        <v>0</v>
      </c>
      <c r="P31" s="263" t="n">
        <f aca="false">IFERROR(INDEX(Tape!$T$7:$ME$36,MATCH($C$3,Tape!$C$7:$C$36,0),MATCH($C31&amp;"+"&amp;P$5,Tape!$T$1:$ME$1,0)),0)</f>
        <v>0</v>
      </c>
      <c r="Q31" s="264" t="n">
        <f aca="false">IFERROR(P31/P$19,0)</f>
        <v>0</v>
      </c>
      <c r="R31" s="261" t="n">
        <f aca="false">IFERROR(P31/P$8,0)</f>
        <v>0</v>
      </c>
      <c r="S31" s="262" t="n">
        <f aca="false">IFERROR(P31/P$7,0)</f>
        <v>0</v>
      </c>
      <c r="T31" s="263" t="n">
        <f aca="false">IFERROR(INDEX(Tape!$T$7:$ME$36,MATCH($C$3,Tape!$C$7:$C$36,0),MATCH($C31&amp;"+"&amp;T$5,Tape!$T$1:$ME$1,0)),0)</f>
        <v>0</v>
      </c>
      <c r="U31" s="264" t="n">
        <f aca="false">IFERROR(T31/T$19,0)</f>
        <v>0</v>
      </c>
      <c r="V31" s="261" t="n">
        <f aca="false">IFERROR(T31/T$8,0)</f>
        <v>0</v>
      </c>
      <c r="W31" s="262" t="n">
        <f aca="false">IFERROR(T31/T$7,0)</f>
        <v>0</v>
      </c>
      <c r="X31" s="263" t="n">
        <f aca="false">IFERROR(INDEX(Tape!$T$7:$ME$36,MATCH($C$3,Tape!$C$7:$C$36,0),MATCH($C31&amp;"+"&amp;X$5,Tape!$T$1:$ME$1,0)),0)</f>
        <v>0</v>
      </c>
      <c r="Y31" s="264" t="n">
        <f aca="false">IFERROR(X31/X$19,0)</f>
        <v>0</v>
      </c>
      <c r="Z31" s="261" t="n">
        <f aca="false">IFERROR(X31/X$8,0)</f>
        <v>0</v>
      </c>
      <c r="AA31" s="262" t="n">
        <f aca="false">IFERROR(X31/X$7,0)</f>
        <v>0</v>
      </c>
      <c r="AB31" s="263" t="n">
        <f aca="false">IFERROR(INDEX(Tape!$T$7:$ME$36,MATCH($C$3,Tape!$C$7:$C$36,0),MATCH($C31&amp;"+"&amp;AB$5,Tape!$T$1:$ME$1,0)),0)</f>
        <v>0</v>
      </c>
      <c r="AC31" s="264" t="n">
        <f aca="false">IFERROR(AB31/AB$19,0)</f>
        <v>0</v>
      </c>
      <c r="AD31" s="261" t="n">
        <f aca="false">IFERROR(AB31/AB$8,0)</f>
        <v>0</v>
      </c>
      <c r="AE31" s="262" t="n">
        <f aca="false">IFERROR(AB31/AB$7,0)</f>
        <v>0</v>
      </c>
      <c r="AF31" s="263" t="n">
        <f aca="false">IFERROR(INDEX(Tape!$T$7:$ME$36,MATCH($C$3,Tape!$C$7:$C$36,0),MATCH($C31&amp;"+"&amp;AF$5,Tape!$T$1:$ME$1,0)),0)</f>
        <v>0</v>
      </c>
      <c r="AG31" s="264" t="n">
        <f aca="false">IFERROR(AF31/AF$19,0)</f>
        <v>0</v>
      </c>
      <c r="AH31" s="261" t="n">
        <f aca="false">IFERROR(AF31/AF$8,0)</f>
        <v>0</v>
      </c>
      <c r="AI31" s="262" t="n">
        <f aca="false">IFERROR(AF31/AF$7,0)</f>
        <v>0</v>
      </c>
      <c r="AJ31" s="263" t="n">
        <f aca="false">IFERROR(INDEX(Tape!$T$7:$ME$36,MATCH($C$3,Tape!$C$7:$C$36,0),MATCH($C31&amp;"+"&amp;AJ$5,Tape!$T$1:$ME$1,0)),0)</f>
        <v>0</v>
      </c>
      <c r="AK31" s="264" t="n">
        <f aca="false">IFERROR(AJ31/AJ$19,0)</f>
        <v>0</v>
      </c>
      <c r="AL31" s="261" t="n">
        <f aca="false">IFERROR(AJ31/AJ$8,0)</f>
        <v>0</v>
      </c>
      <c r="AM31" s="262" t="n">
        <f aca="false">IFERROR(AJ31/AJ$7,0)</f>
        <v>0</v>
      </c>
      <c r="AN31" s="453" t="n">
        <f aca="false">AP31*AN$8</f>
        <v>0</v>
      </c>
      <c r="AO31" s="457" t="n">
        <f aca="false">IFERROR(AN31/AN$19,0)</f>
        <v>0</v>
      </c>
      <c r="AP31" s="458" t="n">
        <f aca="false">AD31</f>
        <v>0</v>
      </c>
      <c r="AQ31" s="262" t="n">
        <f aca="false">IFERROR(AN31/AN$7,0)</f>
        <v>0</v>
      </c>
      <c r="AR31" s="219"/>
    </row>
    <row r="32" customFormat="false" ht="14.25" hidden="false" customHeight="true" outlineLevel="0" collapsed="false">
      <c r="C32" s="468" t="s">
        <v>149</v>
      </c>
      <c r="D32" s="263" t="n">
        <f aca="false">IFERROR(INDEX(Tape!$T$7:$ME$36,MATCH($C$3,Tape!$C$7:$C$36,0),MATCH($C32&amp;"+"&amp;D$5,Tape!$T$1:$ME$1,0)),0)</f>
        <v>0</v>
      </c>
      <c r="E32" s="264" t="n">
        <f aca="false">IFERROR(D32/D$19,0)</f>
        <v>0</v>
      </c>
      <c r="F32" s="261" t="n">
        <f aca="false">IFERROR(D32/D$8,0)</f>
        <v>0</v>
      </c>
      <c r="G32" s="262" t="n">
        <f aca="false">IFERROR(D32/D$7,0)</f>
        <v>0</v>
      </c>
      <c r="H32" s="263" t="n">
        <f aca="false">IFERROR(INDEX(Tape!$T$7:$ME$36,MATCH($C$3,Tape!$C$7:$C$36,0),MATCH($C32&amp;"+"&amp;H$5,Tape!$T$1:$ME$1,0)),0)</f>
        <v>0</v>
      </c>
      <c r="I32" s="264" t="n">
        <f aca="false">IFERROR(H32/H$19,0)</f>
        <v>0</v>
      </c>
      <c r="J32" s="261" t="n">
        <f aca="false">IFERROR(H32/H$8,0)</f>
        <v>0</v>
      </c>
      <c r="K32" s="262" t="n">
        <f aca="false">IFERROR(H32/H$7,0)</f>
        <v>0</v>
      </c>
      <c r="L32" s="263" t="n">
        <f aca="false">IFERROR(INDEX(Tape!$T$7:$ME$36,MATCH($C$3,Tape!$C$7:$C$36,0),MATCH($C32&amp;"+"&amp;L$5,Tape!$T$1:$ME$1,0)),0)</f>
        <v>0</v>
      </c>
      <c r="M32" s="264" t="n">
        <f aca="false">IFERROR(L32/L$19,0)</f>
        <v>0</v>
      </c>
      <c r="N32" s="261" t="n">
        <f aca="false">IFERROR(L32/L$8,0)</f>
        <v>0</v>
      </c>
      <c r="O32" s="262" t="n">
        <f aca="false">IFERROR(L32/L$7,0)</f>
        <v>0</v>
      </c>
      <c r="P32" s="263" t="n">
        <f aca="false">IFERROR(INDEX(Tape!$T$7:$ME$36,MATCH($C$3,Tape!$C$7:$C$36,0),MATCH($C32&amp;"+"&amp;P$5,Tape!$T$1:$ME$1,0)),0)</f>
        <v>0</v>
      </c>
      <c r="Q32" s="264" t="n">
        <f aca="false">IFERROR(P32/P$19,0)</f>
        <v>0</v>
      </c>
      <c r="R32" s="261" t="n">
        <f aca="false">IFERROR(P32/P$8,0)</f>
        <v>0</v>
      </c>
      <c r="S32" s="262" t="n">
        <f aca="false">IFERROR(P32/P$7,0)</f>
        <v>0</v>
      </c>
      <c r="T32" s="263" t="n">
        <f aca="false">IFERROR(INDEX(Tape!$T$7:$ME$36,MATCH($C$3,Tape!$C$7:$C$36,0),MATCH($C32&amp;"+"&amp;T$5,Tape!$T$1:$ME$1,0)),0)</f>
        <v>0</v>
      </c>
      <c r="U32" s="264" t="n">
        <f aca="false">IFERROR(T32/T$19,0)</f>
        <v>0</v>
      </c>
      <c r="V32" s="261" t="n">
        <f aca="false">IFERROR(T32/T$8,0)</f>
        <v>0</v>
      </c>
      <c r="W32" s="262" t="n">
        <f aca="false">IFERROR(T32/T$7,0)</f>
        <v>0</v>
      </c>
      <c r="X32" s="263" t="n">
        <f aca="false">IFERROR(INDEX(Tape!$T$7:$ME$36,MATCH($C$3,Tape!$C$7:$C$36,0),MATCH($C32&amp;"+"&amp;X$5,Tape!$T$1:$ME$1,0)),0)</f>
        <v>0</v>
      </c>
      <c r="Y32" s="264" t="n">
        <f aca="false">IFERROR(X32/X$19,0)</f>
        <v>0</v>
      </c>
      <c r="Z32" s="261" t="n">
        <f aca="false">IFERROR(X32/X$8,0)</f>
        <v>0</v>
      </c>
      <c r="AA32" s="262" t="n">
        <f aca="false">IFERROR(X32/X$7,0)</f>
        <v>0</v>
      </c>
      <c r="AB32" s="263" t="n">
        <f aca="false">IFERROR(INDEX(Tape!$T$7:$ME$36,MATCH($C$3,Tape!$C$7:$C$36,0),MATCH($C32&amp;"+"&amp;AB$5,Tape!$T$1:$ME$1,0)),0)</f>
        <v>0</v>
      </c>
      <c r="AC32" s="264" t="n">
        <f aca="false">IFERROR(AB32/AB$19,0)</f>
        <v>0</v>
      </c>
      <c r="AD32" s="261" t="n">
        <f aca="false">IFERROR(AB32/AB$8,0)</f>
        <v>0</v>
      </c>
      <c r="AE32" s="262" t="n">
        <f aca="false">IFERROR(AB32/AB$7,0)</f>
        <v>0</v>
      </c>
      <c r="AF32" s="263" t="n">
        <f aca="false">IFERROR(INDEX(Tape!$T$7:$ME$36,MATCH($C$3,Tape!$C$7:$C$36,0),MATCH($C32&amp;"+"&amp;AF$5,Tape!$T$1:$ME$1,0)),0)</f>
        <v>0</v>
      </c>
      <c r="AG32" s="264" t="n">
        <f aca="false">IFERROR(AF32/AF$19,0)</f>
        <v>0</v>
      </c>
      <c r="AH32" s="261" t="n">
        <f aca="false">IFERROR(AF32/AF$8,0)</f>
        <v>0</v>
      </c>
      <c r="AI32" s="262" t="n">
        <f aca="false">IFERROR(AF32/AF$7,0)</f>
        <v>0</v>
      </c>
      <c r="AJ32" s="263" t="n">
        <f aca="false">IFERROR(INDEX(Tape!$T$7:$ME$36,MATCH($C$3,Tape!$C$7:$C$36,0),MATCH($C32&amp;"+"&amp;AJ$5,Tape!$T$1:$ME$1,0)),0)</f>
        <v>0</v>
      </c>
      <c r="AK32" s="264" t="n">
        <f aca="false">IFERROR(AJ32/AJ$19,0)</f>
        <v>0</v>
      </c>
      <c r="AL32" s="261" t="n">
        <f aca="false">IFERROR(AJ32/AJ$8,0)</f>
        <v>0</v>
      </c>
      <c r="AM32" s="262" t="n">
        <f aca="false">IFERROR(AJ32/AJ$7,0)</f>
        <v>0</v>
      </c>
      <c r="AN32" s="453" t="n">
        <f aca="false">AQ32*AN$7</f>
        <v>0</v>
      </c>
      <c r="AO32" s="457" t="n">
        <f aca="false">IFERROR(AN32/AN$19,0)</f>
        <v>0</v>
      </c>
      <c r="AP32" s="455" t="n">
        <f aca="false">IFERROR(AN32/AN$8,0)</f>
        <v>0</v>
      </c>
      <c r="AQ32" s="479" t="n">
        <f aca="false">AE32</f>
        <v>0</v>
      </c>
      <c r="AR32" s="219"/>
    </row>
    <row r="33" customFormat="false" ht="14.25" hidden="false" customHeight="true" outlineLevel="0" collapsed="false">
      <c r="C33" s="468" t="s">
        <v>150</v>
      </c>
      <c r="D33" s="263" t="n">
        <f aca="false">IFERROR(INDEX(Tape!$T$7:$ME$36,MATCH($C$3,Tape!$C$7:$C$36,0),MATCH($C33&amp;"+"&amp;D$5,Tape!$T$1:$ME$1,0)),0)</f>
        <v>0</v>
      </c>
      <c r="E33" s="264" t="n">
        <f aca="false">IFERROR(D33/D$19,0)</f>
        <v>0</v>
      </c>
      <c r="F33" s="261" t="n">
        <f aca="false">IFERROR(D33/D$8,0)</f>
        <v>0</v>
      </c>
      <c r="G33" s="262" t="n">
        <f aca="false">IFERROR(D33/D$7,0)</f>
        <v>0</v>
      </c>
      <c r="H33" s="263" t="n">
        <f aca="false">IFERROR(INDEX(Tape!$T$7:$ME$36,MATCH($C$3,Tape!$C$7:$C$36,0),MATCH($C33&amp;"+"&amp;H$5,Tape!$T$1:$ME$1,0)),0)</f>
        <v>0</v>
      </c>
      <c r="I33" s="264" t="n">
        <f aca="false">IFERROR(H33/H$19,0)</f>
        <v>0</v>
      </c>
      <c r="J33" s="261" t="n">
        <f aca="false">IFERROR(H33/H$8,0)</f>
        <v>0</v>
      </c>
      <c r="K33" s="262" t="n">
        <f aca="false">IFERROR(H33/H$7,0)</f>
        <v>0</v>
      </c>
      <c r="L33" s="263" t="n">
        <f aca="false">IFERROR(INDEX(Tape!$T$7:$ME$36,MATCH($C$3,Tape!$C$7:$C$36,0),MATCH($C33&amp;"+"&amp;L$5,Tape!$T$1:$ME$1,0)),0)</f>
        <v>0</v>
      </c>
      <c r="M33" s="264" t="n">
        <f aca="false">IFERROR(L33/L$19,0)</f>
        <v>0</v>
      </c>
      <c r="N33" s="261" t="n">
        <f aca="false">IFERROR(L33/L$8,0)</f>
        <v>0</v>
      </c>
      <c r="O33" s="262" t="n">
        <f aca="false">IFERROR(L33/L$7,0)</f>
        <v>0</v>
      </c>
      <c r="P33" s="263" t="n">
        <f aca="false">IFERROR(INDEX(Tape!$T$7:$ME$36,MATCH($C$3,Tape!$C$7:$C$36,0),MATCH($C33&amp;"+"&amp;P$5,Tape!$T$1:$ME$1,0)),0)</f>
        <v>0</v>
      </c>
      <c r="Q33" s="264" t="n">
        <f aca="false">IFERROR(P33/P$19,0)</f>
        <v>0</v>
      </c>
      <c r="R33" s="261" t="n">
        <f aca="false">IFERROR(P33/P$8,0)</f>
        <v>0</v>
      </c>
      <c r="S33" s="262" t="n">
        <f aca="false">IFERROR(P33/P$7,0)</f>
        <v>0</v>
      </c>
      <c r="T33" s="263" t="n">
        <f aca="false">IFERROR(INDEX(Tape!$T$7:$ME$36,MATCH($C$3,Tape!$C$7:$C$36,0),MATCH($C33&amp;"+"&amp;T$5,Tape!$T$1:$ME$1,0)),0)</f>
        <v>0</v>
      </c>
      <c r="U33" s="264" t="n">
        <f aca="false">IFERROR(T33/T$19,0)</f>
        <v>0</v>
      </c>
      <c r="V33" s="261" t="n">
        <f aca="false">IFERROR(T33/T$8,0)</f>
        <v>0</v>
      </c>
      <c r="W33" s="262" t="n">
        <f aca="false">IFERROR(T33/T$7,0)</f>
        <v>0</v>
      </c>
      <c r="X33" s="263" t="n">
        <f aca="false">IFERROR(INDEX(Tape!$T$7:$ME$36,MATCH($C$3,Tape!$C$7:$C$36,0),MATCH($C33&amp;"+"&amp;X$5,Tape!$T$1:$ME$1,0)),0)</f>
        <v>0</v>
      </c>
      <c r="Y33" s="264" t="n">
        <f aca="false">IFERROR(X33/X$19,0)</f>
        <v>0</v>
      </c>
      <c r="Z33" s="261" t="n">
        <f aca="false">IFERROR(X33/X$8,0)</f>
        <v>0</v>
      </c>
      <c r="AA33" s="262" t="n">
        <f aca="false">IFERROR(X33/X$7,0)</f>
        <v>0</v>
      </c>
      <c r="AB33" s="263" t="n">
        <f aca="false">IFERROR(INDEX(Tape!$T$7:$ME$36,MATCH($C$3,Tape!$C$7:$C$36,0),MATCH($C33&amp;"+"&amp;AB$5,Tape!$T$1:$ME$1,0)),0)</f>
        <v>0</v>
      </c>
      <c r="AC33" s="264" t="n">
        <f aca="false">IFERROR(AB33/AB$19,0)</f>
        <v>0</v>
      </c>
      <c r="AD33" s="261" t="n">
        <f aca="false">IFERROR(AB33/AB$8,0)</f>
        <v>0</v>
      </c>
      <c r="AE33" s="262" t="n">
        <f aca="false">IFERROR(AB33/AB$7,0)</f>
        <v>0</v>
      </c>
      <c r="AF33" s="263" t="n">
        <f aca="false">IFERROR(INDEX(Tape!$T$7:$ME$36,MATCH($C$3,Tape!$C$7:$C$36,0),MATCH($C33&amp;"+"&amp;AF$5,Tape!$T$1:$ME$1,0)),0)</f>
        <v>0</v>
      </c>
      <c r="AG33" s="264" t="n">
        <f aca="false">IFERROR(AF33/AF$19,0)</f>
        <v>0</v>
      </c>
      <c r="AH33" s="261" t="n">
        <f aca="false">IFERROR(AF33/AF$8,0)</f>
        <v>0</v>
      </c>
      <c r="AI33" s="262" t="n">
        <f aca="false">IFERROR(AF33/AF$7,0)</f>
        <v>0</v>
      </c>
      <c r="AJ33" s="263" t="n">
        <f aca="false">IFERROR(INDEX(Tape!$T$7:$ME$36,MATCH($C$3,Tape!$C$7:$C$36,0),MATCH($C33&amp;"+"&amp;AJ$5,Tape!$T$1:$ME$1,0)),0)</f>
        <v>0</v>
      </c>
      <c r="AK33" s="264" t="n">
        <f aca="false">IFERROR(AJ33/AJ$19,0)</f>
        <v>0</v>
      </c>
      <c r="AL33" s="261" t="n">
        <f aca="false">IFERROR(AJ33/AJ$8,0)</f>
        <v>0</v>
      </c>
      <c r="AM33" s="262" t="n">
        <f aca="false">IFERROR(AJ33/AJ$7,0)</f>
        <v>0</v>
      </c>
      <c r="AN33" s="453" t="n">
        <f aca="false">AQ33*AN$7</f>
        <v>0</v>
      </c>
      <c r="AO33" s="457" t="n">
        <f aca="false">IFERROR(AN33/AN$19,0)</f>
        <v>0</v>
      </c>
      <c r="AP33" s="455" t="n">
        <f aca="false">IFERROR(AN33/AN$8,0)</f>
        <v>0</v>
      </c>
      <c r="AQ33" s="479" t="n">
        <f aca="false">AE33</f>
        <v>0</v>
      </c>
      <c r="AR33" s="219"/>
    </row>
    <row r="34" customFormat="false" ht="14.25" hidden="false" customHeight="true" outlineLevel="0" collapsed="false">
      <c r="C34" s="468" t="s">
        <v>151</v>
      </c>
      <c r="D34" s="263" t="n">
        <f aca="false">IFERROR(INDEX(Tape!$T$7:$ME$36,MATCH($C$3,Tape!$C$7:$C$36,0),MATCH($C34&amp;"+"&amp;D$5,Tape!$T$1:$ME$1,0)),0)</f>
        <v>0</v>
      </c>
      <c r="E34" s="264" t="n">
        <f aca="false">IFERROR(D34/D$19,0)</f>
        <v>0</v>
      </c>
      <c r="F34" s="261" t="n">
        <f aca="false">IFERROR(D34/D$8,0)</f>
        <v>0</v>
      </c>
      <c r="G34" s="262" t="n">
        <f aca="false">IFERROR(D34/D$7,0)</f>
        <v>0</v>
      </c>
      <c r="H34" s="263" t="n">
        <f aca="false">IFERROR(INDEX(Tape!$T$7:$ME$36,MATCH($C$3,Tape!$C$7:$C$36,0),MATCH($C34&amp;"+"&amp;H$5,Tape!$T$1:$ME$1,0)),0)</f>
        <v>0</v>
      </c>
      <c r="I34" s="264" t="n">
        <f aca="false">IFERROR(H34/H$19,0)</f>
        <v>0</v>
      </c>
      <c r="J34" s="261" t="n">
        <f aca="false">IFERROR(H34/H$8,0)</f>
        <v>0</v>
      </c>
      <c r="K34" s="262" t="n">
        <f aca="false">IFERROR(H34/H$7,0)</f>
        <v>0</v>
      </c>
      <c r="L34" s="263" t="n">
        <f aca="false">IFERROR(INDEX(Tape!$T$7:$ME$36,MATCH($C$3,Tape!$C$7:$C$36,0),MATCH($C34&amp;"+"&amp;L$5,Tape!$T$1:$ME$1,0)),0)</f>
        <v>0</v>
      </c>
      <c r="M34" s="264" t="n">
        <f aca="false">IFERROR(L34/L$19,0)</f>
        <v>0</v>
      </c>
      <c r="N34" s="261" t="n">
        <f aca="false">IFERROR(L34/L$8,0)</f>
        <v>0</v>
      </c>
      <c r="O34" s="262" t="n">
        <f aca="false">IFERROR(L34/L$7,0)</f>
        <v>0</v>
      </c>
      <c r="P34" s="263" t="n">
        <f aca="false">IFERROR(INDEX(Tape!$T$7:$ME$36,MATCH($C$3,Tape!$C$7:$C$36,0),MATCH($C34&amp;"+"&amp;P$5,Tape!$T$1:$ME$1,0)),0)</f>
        <v>0</v>
      </c>
      <c r="Q34" s="264" t="n">
        <f aca="false">IFERROR(P34/P$19,0)</f>
        <v>0</v>
      </c>
      <c r="R34" s="261" t="n">
        <f aca="false">IFERROR(P34/P$8,0)</f>
        <v>0</v>
      </c>
      <c r="S34" s="262" t="n">
        <f aca="false">IFERROR(P34/P$7,0)</f>
        <v>0</v>
      </c>
      <c r="T34" s="263" t="n">
        <f aca="false">IFERROR(INDEX(Tape!$T$7:$ME$36,MATCH($C$3,Tape!$C$7:$C$36,0),MATCH($C34&amp;"+"&amp;T$5,Tape!$T$1:$ME$1,0)),0)</f>
        <v>0</v>
      </c>
      <c r="U34" s="264" t="n">
        <f aca="false">IFERROR(T34/T$19,0)</f>
        <v>0</v>
      </c>
      <c r="V34" s="261" t="n">
        <f aca="false">IFERROR(T34/T$8,0)</f>
        <v>0</v>
      </c>
      <c r="W34" s="262" t="n">
        <f aca="false">IFERROR(T34/T$7,0)</f>
        <v>0</v>
      </c>
      <c r="X34" s="263" t="n">
        <f aca="false">IFERROR(INDEX(Tape!$T$7:$ME$36,MATCH($C$3,Tape!$C$7:$C$36,0),MATCH($C34&amp;"+"&amp;X$5,Tape!$T$1:$ME$1,0)),0)</f>
        <v>0</v>
      </c>
      <c r="Y34" s="264" t="n">
        <f aca="false">IFERROR(X34/X$19,0)</f>
        <v>0</v>
      </c>
      <c r="Z34" s="261" t="n">
        <f aca="false">IFERROR(X34/X$8,0)</f>
        <v>0</v>
      </c>
      <c r="AA34" s="262" t="n">
        <f aca="false">IFERROR(X34/X$7,0)</f>
        <v>0</v>
      </c>
      <c r="AB34" s="263" t="n">
        <f aca="false">IFERROR(INDEX(Tape!$T$7:$ME$36,MATCH($C$3,Tape!$C$7:$C$36,0),MATCH($C34&amp;"+"&amp;AB$5,Tape!$T$1:$ME$1,0)),0)</f>
        <v>0</v>
      </c>
      <c r="AC34" s="264" t="n">
        <f aca="false">IFERROR(AB34/AB$19,0)</f>
        <v>0</v>
      </c>
      <c r="AD34" s="261" t="n">
        <f aca="false">IFERROR(AB34/AB$8,0)</f>
        <v>0</v>
      </c>
      <c r="AE34" s="262" t="n">
        <f aca="false">IFERROR(AB34/AB$7,0)</f>
        <v>0</v>
      </c>
      <c r="AF34" s="263" t="n">
        <f aca="false">IFERROR(INDEX(Tape!$T$7:$ME$36,MATCH($C$3,Tape!$C$7:$C$36,0),MATCH($C34&amp;"+"&amp;AF$5,Tape!$T$1:$ME$1,0)),0)</f>
        <v>0</v>
      </c>
      <c r="AG34" s="264" t="n">
        <f aca="false">IFERROR(AF34/AF$19,0)</f>
        <v>0</v>
      </c>
      <c r="AH34" s="261" t="n">
        <f aca="false">IFERROR(AF34/AF$8,0)</f>
        <v>0</v>
      </c>
      <c r="AI34" s="262" t="n">
        <f aca="false">IFERROR(AF34/AF$7,0)</f>
        <v>0</v>
      </c>
      <c r="AJ34" s="263" t="n">
        <f aca="false">IFERROR(INDEX(Tape!$T$7:$ME$36,MATCH($C$3,Tape!$C$7:$C$36,0),MATCH($C34&amp;"+"&amp;AJ$5,Tape!$T$1:$ME$1,0)),0)</f>
        <v>0</v>
      </c>
      <c r="AK34" s="264" t="n">
        <f aca="false">IFERROR(AJ34/AJ$19,0)</f>
        <v>0</v>
      </c>
      <c r="AL34" s="261" t="n">
        <f aca="false">IFERROR(AJ34/AJ$8,0)</f>
        <v>0</v>
      </c>
      <c r="AM34" s="262" t="n">
        <f aca="false">IFERROR(AJ34/AJ$7,0)</f>
        <v>0</v>
      </c>
      <c r="AN34" s="469" t="n">
        <f aca="false">AO34*AN19</f>
        <v>0</v>
      </c>
      <c r="AO34" s="470" t="n">
        <f aca="false">IFERROR(MAX(AC34, VLOOKUP($C$3, 'UW Drivers'!$D$9:$AH$38, 31,FALSE())),0)</f>
        <v>0</v>
      </c>
      <c r="AP34" s="455" t="n">
        <f aca="false">IFERROR(AN34/AN$8,0)</f>
        <v>0</v>
      </c>
      <c r="AQ34" s="456" t="n">
        <f aca="false">IFERROR(AN34/AN$7,0)</f>
        <v>0</v>
      </c>
      <c r="AR34" s="219"/>
    </row>
    <row r="35" customFormat="false" ht="14.25" hidden="false" customHeight="true" outlineLevel="0" collapsed="false">
      <c r="C35" s="468" t="s">
        <v>152</v>
      </c>
      <c r="D35" s="263" t="n">
        <f aca="false">IFERROR(INDEX(Tape!$T$7:$ME$36,MATCH($C$3,Tape!$C$7:$C$36,0),MATCH($C35&amp;"+"&amp;D$5,Tape!$T$1:$ME$1,0)),0)</f>
        <v>0</v>
      </c>
      <c r="E35" s="264" t="n">
        <f aca="false">IFERROR(D35/D$19,0)</f>
        <v>0</v>
      </c>
      <c r="F35" s="261" t="n">
        <f aca="false">IFERROR(D35/D$8,0)</f>
        <v>0</v>
      </c>
      <c r="G35" s="262" t="n">
        <f aca="false">IFERROR(D35/D$7,0)</f>
        <v>0</v>
      </c>
      <c r="H35" s="263" t="n">
        <f aca="false">IFERROR(INDEX(Tape!$T$7:$ME$36,MATCH($C$3,Tape!$C$7:$C$36,0),MATCH($C35&amp;"+"&amp;H$5,Tape!$T$1:$ME$1,0)),0)</f>
        <v>0</v>
      </c>
      <c r="I35" s="264" t="n">
        <f aca="false">IFERROR(H35/H$19,0)</f>
        <v>0</v>
      </c>
      <c r="J35" s="261" t="n">
        <f aca="false">IFERROR(H35/H$8,0)</f>
        <v>0</v>
      </c>
      <c r="K35" s="262" t="n">
        <f aca="false">IFERROR(H35/H$7,0)</f>
        <v>0</v>
      </c>
      <c r="L35" s="263" t="n">
        <f aca="false">IFERROR(INDEX(Tape!$T$7:$ME$36,MATCH($C$3,Tape!$C$7:$C$36,0),MATCH($C35&amp;"+"&amp;L$5,Tape!$T$1:$ME$1,0)),0)</f>
        <v>0</v>
      </c>
      <c r="M35" s="264" t="n">
        <f aca="false">IFERROR(L35/L$19,0)</f>
        <v>0</v>
      </c>
      <c r="N35" s="261" t="n">
        <f aca="false">IFERROR(L35/L$8,0)</f>
        <v>0</v>
      </c>
      <c r="O35" s="262" t="n">
        <f aca="false">IFERROR(L35/L$7,0)</f>
        <v>0</v>
      </c>
      <c r="P35" s="263" t="n">
        <f aca="false">IFERROR(INDEX(Tape!$T$7:$ME$36,MATCH($C$3,Tape!$C$7:$C$36,0),MATCH($C35&amp;"+"&amp;P$5,Tape!$T$1:$ME$1,0)),0)</f>
        <v>0</v>
      </c>
      <c r="Q35" s="264" t="n">
        <f aca="false">IFERROR(P35/P$19,0)</f>
        <v>0</v>
      </c>
      <c r="R35" s="261" t="n">
        <f aca="false">IFERROR(P35/P$8,0)</f>
        <v>0</v>
      </c>
      <c r="S35" s="262" t="n">
        <f aca="false">IFERROR(P35/P$7,0)</f>
        <v>0</v>
      </c>
      <c r="T35" s="263" t="n">
        <f aca="false">IFERROR(INDEX(Tape!$T$7:$ME$36,MATCH($C$3,Tape!$C$7:$C$36,0),MATCH($C35&amp;"+"&amp;T$5,Tape!$T$1:$ME$1,0)),0)</f>
        <v>0</v>
      </c>
      <c r="U35" s="264" t="n">
        <f aca="false">IFERROR(T35/T$19,0)</f>
        <v>0</v>
      </c>
      <c r="V35" s="261" t="n">
        <f aca="false">IFERROR(T35/T$8,0)</f>
        <v>0</v>
      </c>
      <c r="W35" s="262" t="n">
        <f aca="false">IFERROR(T35/T$7,0)</f>
        <v>0</v>
      </c>
      <c r="X35" s="263" t="n">
        <f aca="false">IFERROR(INDEX(Tape!$T$7:$ME$36,MATCH($C$3,Tape!$C$7:$C$36,0),MATCH($C35&amp;"+"&amp;X$5,Tape!$T$1:$ME$1,0)),0)</f>
        <v>0</v>
      </c>
      <c r="Y35" s="264" t="n">
        <f aca="false">IFERROR(X35/X$19,0)</f>
        <v>0</v>
      </c>
      <c r="Z35" s="261" t="n">
        <f aca="false">IFERROR(X35/X$8,0)</f>
        <v>0</v>
      </c>
      <c r="AA35" s="262" t="n">
        <f aca="false">IFERROR(X35/X$7,0)</f>
        <v>0</v>
      </c>
      <c r="AB35" s="263" t="n">
        <f aca="false">IFERROR(INDEX(Tape!$T$7:$ME$36,MATCH($C$3,Tape!$C$7:$C$36,0),MATCH($C35&amp;"+"&amp;AB$5,Tape!$T$1:$ME$1,0)),0)</f>
        <v>0</v>
      </c>
      <c r="AC35" s="264" t="n">
        <f aca="false">IFERROR(AB35/AB$19,0)</f>
        <v>0</v>
      </c>
      <c r="AD35" s="261" t="n">
        <f aca="false">IFERROR(AB35/AB$8,0)</f>
        <v>0</v>
      </c>
      <c r="AE35" s="262" t="n">
        <f aca="false">IFERROR(AB35/AB$7,0)</f>
        <v>0</v>
      </c>
      <c r="AF35" s="263" t="n">
        <f aca="false">IFERROR(INDEX(Tape!$T$7:$ME$36,MATCH($C$3,Tape!$C$7:$C$36,0),MATCH($C35&amp;"+"&amp;AF$5,Tape!$T$1:$ME$1,0)),0)</f>
        <v>0</v>
      </c>
      <c r="AG35" s="264" t="n">
        <f aca="false">IFERROR(AF35/AF$19,0)</f>
        <v>0</v>
      </c>
      <c r="AH35" s="261" t="n">
        <f aca="false">IFERROR(AF35/AF$8,0)</f>
        <v>0</v>
      </c>
      <c r="AI35" s="262" t="n">
        <f aca="false">IFERROR(AF35/AF$7,0)</f>
        <v>0</v>
      </c>
      <c r="AJ35" s="263" t="n">
        <f aca="false">IFERROR(INDEX(Tape!$T$7:$ME$36,MATCH($C$3,Tape!$C$7:$C$36,0),MATCH($C35&amp;"+"&amp;AJ$5,Tape!$T$1:$ME$1,0)),0)</f>
        <v>0</v>
      </c>
      <c r="AK35" s="264" t="n">
        <f aca="false">IFERROR(AJ35/AJ$19,0)</f>
        <v>0</v>
      </c>
      <c r="AL35" s="261" t="n">
        <f aca="false">IFERROR(AJ35/AJ$8,0)</f>
        <v>0</v>
      </c>
      <c r="AM35" s="262" t="n">
        <f aca="false">IFERROR(AJ35/AJ$7,0)</f>
        <v>0</v>
      </c>
      <c r="AN35" s="453" t="n">
        <f aca="false">AP35*AN$8</f>
        <v>0</v>
      </c>
      <c r="AO35" s="457" t="n">
        <f aca="false">IFERROR(AN35/AN$19,0)</f>
        <v>0</v>
      </c>
      <c r="AP35" s="458" t="n">
        <f aca="false">AD35</f>
        <v>0</v>
      </c>
      <c r="AQ35" s="262" t="n">
        <f aca="false">IFERROR(AN35/AN$7,0)</f>
        <v>0</v>
      </c>
      <c r="AR35" s="219"/>
      <c r="AS35" s="294"/>
    </row>
    <row r="36" customFormat="false" ht="14.25" hidden="false" customHeight="true" outlineLevel="0" collapsed="false">
      <c r="C36" s="468" t="s">
        <v>153</v>
      </c>
      <c r="D36" s="263" t="n">
        <f aca="false">IFERROR(INDEX(Tape!$T$7:$ME$36,MATCH($C$3,Tape!$C$7:$C$36,0),MATCH($C36&amp;"+"&amp;D$5,Tape!$T$1:$ME$1,0)),0)</f>
        <v>0</v>
      </c>
      <c r="E36" s="264" t="n">
        <f aca="false">IFERROR(D36/D$19,0)</f>
        <v>0</v>
      </c>
      <c r="F36" s="261" t="n">
        <f aca="false">IFERROR(D36/D$8,0)</f>
        <v>0</v>
      </c>
      <c r="G36" s="262" t="n">
        <f aca="false">IFERROR(D36/D$7,0)</f>
        <v>0</v>
      </c>
      <c r="H36" s="263" t="n">
        <f aca="false">IFERROR(INDEX(Tape!$T$7:$ME$36,MATCH($C$3,Tape!$C$7:$C$36,0),MATCH($C36&amp;"+"&amp;H$5,Tape!$T$1:$ME$1,0)),0)</f>
        <v>0</v>
      </c>
      <c r="I36" s="264" t="n">
        <f aca="false">IFERROR(H36/H$19,0)</f>
        <v>0</v>
      </c>
      <c r="J36" s="261" t="n">
        <f aca="false">IFERROR(H36/H$8,0)</f>
        <v>0</v>
      </c>
      <c r="K36" s="262" t="n">
        <f aca="false">IFERROR(H36/H$7,0)</f>
        <v>0</v>
      </c>
      <c r="L36" s="263" t="n">
        <f aca="false">IFERROR(INDEX(Tape!$T$7:$ME$36,MATCH($C$3,Tape!$C$7:$C$36,0),MATCH($C36&amp;"+"&amp;L$5,Tape!$T$1:$ME$1,0)),0)</f>
        <v>0</v>
      </c>
      <c r="M36" s="264" t="n">
        <f aca="false">IFERROR(L36/L$19,0)</f>
        <v>0</v>
      </c>
      <c r="N36" s="261" t="n">
        <f aca="false">IFERROR(L36/L$8,0)</f>
        <v>0</v>
      </c>
      <c r="O36" s="262" t="n">
        <f aca="false">IFERROR(L36/L$7,0)</f>
        <v>0</v>
      </c>
      <c r="P36" s="263" t="n">
        <f aca="false">IFERROR(INDEX(Tape!$T$7:$ME$36,MATCH($C$3,Tape!$C$7:$C$36,0),MATCH($C36&amp;"+"&amp;P$5,Tape!$T$1:$ME$1,0)),0)</f>
        <v>0</v>
      </c>
      <c r="Q36" s="264" t="n">
        <f aca="false">IFERROR(P36/P$19,0)</f>
        <v>0</v>
      </c>
      <c r="R36" s="261" t="n">
        <f aca="false">IFERROR(P36/P$8,0)</f>
        <v>0</v>
      </c>
      <c r="S36" s="262" t="n">
        <f aca="false">IFERROR(P36/P$7,0)</f>
        <v>0</v>
      </c>
      <c r="T36" s="263" t="n">
        <f aca="false">IFERROR(INDEX(Tape!$T$7:$ME$36,MATCH($C$3,Tape!$C$7:$C$36,0),MATCH($C36&amp;"+"&amp;T$5,Tape!$T$1:$ME$1,0)),0)</f>
        <v>0</v>
      </c>
      <c r="U36" s="264" t="n">
        <f aca="false">IFERROR(T36/T$19,0)</f>
        <v>0</v>
      </c>
      <c r="V36" s="261" t="n">
        <f aca="false">IFERROR(T36/T$8,0)</f>
        <v>0</v>
      </c>
      <c r="W36" s="262" t="n">
        <f aca="false">IFERROR(T36/T$7,0)</f>
        <v>0</v>
      </c>
      <c r="X36" s="263" t="n">
        <f aca="false">IFERROR(INDEX(Tape!$T$7:$ME$36,MATCH($C$3,Tape!$C$7:$C$36,0),MATCH($C36&amp;"+"&amp;X$5,Tape!$T$1:$ME$1,0)),0)</f>
        <v>0</v>
      </c>
      <c r="Y36" s="264" t="n">
        <f aca="false">IFERROR(X36/X$19,0)</f>
        <v>0</v>
      </c>
      <c r="Z36" s="261" t="n">
        <f aca="false">IFERROR(X36/X$8,0)</f>
        <v>0</v>
      </c>
      <c r="AA36" s="262" t="n">
        <f aca="false">IFERROR(X36/X$7,0)</f>
        <v>0</v>
      </c>
      <c r="AB36" s="263" t="n">
        <f aca="false">IFERROR(INDEX(Tape!$T$7:$ME$36,MATCH($C$3,Tape!$C$7:$C$36,0),MATCH($C36&amp;"+"&amp;AB$5,Tape!$T$1:$ME$1,0)),0)</f>
        <v>0</v>
      </c>
      <c r="AC36" s="264" t="n">
        <f aca="false">IFERROR(AB36/AB$19,0)</f>
        <v>0</v>
      </c>
      <c r="AD36" s="261" t="n">
        <f aca="false">IFERROR(AB36/AB$8,0)</f>
        <v>0</v>
      </c>
      <c r="AE36" s="262" t="n">
        <f aca="false">IFERROR(AB36/AB$7,0)</f>
        <v>0</v>
      </c>
      <c r="AF36" s="263" t="n">
        <f aca="false">IFERROR(INDEX(Tape!$T$7:$ME$36,MATCH($C$3,Tape!$C$7:$C$36,0),MATCH($C36&amp;"+"&amp;AF$5,Tape!$T$1:$ME$1,0)),0)</f>
        <v>0</v>
      </c>
      <c r="AG36" s="264" t="n">
        <f aca="false">IFERROR(AF36/AF$19,0)</f>
        <v>0</v>
      </c>
      <c r="AH36" s="261" t="n">
        <f aca="false">IFERROR(AF36/AF$8,0)</f>
        <v>0</v>
      </c>
      <c r="AI36" s="262" t="n">
        <f aca="false">IFERROR(AF36/AF$7,0)</f>
        <v>0</v>
      </c>
      <c r="AJ36" s="263" t="n">
        <f aca="false">IFERROR(INDEX(Tape!$T$7:$ME$36,MATCH($C$3,Tape!$C$7:$C$36,0),MATCH($C36&amp;"+"&amp;AJ$5,Tape!$T$1:$ME$1,0)),0)</f>
        <v>0</v>
      </c>
      <c r="AK36" s="264" t="n">
        <f aca="false">IFERROR(AJ36/AJ$19,0)</f>
        <v>0</v>
      </c>
      <c r="AL36" s="261" t="n">
        <f aca="false">IFERROR(AJ36/AJ$8,0)</f>
        <v>0</v>
      </c>
      <c r="AM36" s="262" t="n">
        <f aca="false">IFERROR(AJ36/AJ$7,0)</f>
        <v>0</v>
      </c>
      <c r="AN36" s="453" t="n">
        <f aca="false">AP36*AN$8</f>
        <v>0</v>
      </c>
      <c r="AO36" s="457" t="n">
        <f aca="false">IFERROR(AN36/AN$19,0)</f>
        <v>0</v>
      </c>
      <c r="AP36" s="458" t="n">
        <f aca="false">AD36</f>
        <v>0</v>
      </c>
      <c r="AQ36" s="262" t="n">
        <f aca="false">IFERROR(AN36/AN$7,0)</f>
        <v>0</v>
      </c>
      <c r="AR36" s="219"/>
      <c r="AS36" s="243"/>
    </row>
    <row r="37" customFormat="false" ht="14.25" hidden="false" customHeight="true" outlineLevel="0" collapsed="false">
      <c r="C37" s="471" t="s">
        <v>154</v>
      </c>
      <c r="D37" s="289" t="n">
        <f aca="false">SUM(D30:D36)</f>
        <v>0</v>
      </c>
      <c r="E37" s="295" t="n">
        <f aca="false">IFERROR(D37/D$19,0)</f>
        <v>0</v>
      </c>
      <c r="F37" s="287" t="n">
        <f aca="false">IFERROR(D37/D$8,0)</f>
        <v>0</v>
      </c>
      <c r="G37" s="288" t="n">
        <f aca="false">IFERROR(D37/D$7,0)</f>
        <v>0</v>
      </c>
      <c r="H37" s="289" t="n">
        <f aca="false">SUM(H30:H36)</f>
        <v>0</v>
      </c>
      <c r="I37" s="295" t="n">
        <f aca="false">IFERROR(H37/H$19,0)</f>
        <v>0</v>
      </c>
      <c r="J37" s="287" t="n">
        <f aca="false">IFERROR(H37/H$8,0)</f>
        <v>0</v>
      </c>
      <c r="K37" s="288" t="n">
        <f aca="false">IFERROR(H37/H$7,0)</f>
        <v>0</v>
      </c>
      <c r="L37" s="289" t="n">
        <f aca="false">SUM(L30:L36)</f>
        <v>0</v>
      </c>
      <c r="M37" s="295" t="n">
        <f aca="false">IFERROR(L37/L$19,0)</f>
        <v>0</v>
      </c>
      <c r="N37" s="287" t="n">
        <f aca="false">IFERROR(L37/L$8,0)</f>
        <v>0</v>
      </c>
      <c r="O37" s="288" t="n">
        <f aca="false">IFERROR(L37/L$7,0)</f>
        <v>0</v>
      </c>
      <c r="P37" s="289" t="n">
        <f aca="false">SUM(P30:P36)</f>
        <v>0</v>
      </c>
      <c r="Q37" s="295" t="n">
        <f aca="false">IFERROR(P37/P$19,0)</f>
        <v>0</v>
      </c>
      <c r="R37" s="287" t="n">
        <f aca="false">IFERROR(P37/P$8,0)</f>
        <v>0</v>
      </c>
      <c r="S37" s="288" t="n">
        <f aca="false">IFERROR(P37/P$7,0)</f>
        <v>0</v>
      </c>
      <c r="T37" s="289" t="n">
        <f aca="false">SUM(T30:T36)</f>
        <v>0</v>
      </c>
      <c r="U37" s="295" t="n">
        <f aca="false">IFERROR(T37/T$19,0)</f>
        <v>0</v>
      </c>
      <c r="V37" s="287" t="n">
        <f aca="false">IFERROR(T37/T$8,0)</f>
        <v>0</v>
      </c>
      <c r="W37" s="288" t="n">
        <f aca="false">IFERROR(T37/T$7,0)</f>
        <v>0</v>
      </c>
      <c r="X37" s="289" t="n">
        <f aca="false">SUM(X30:X36)</f>
        <v>0</v>
      </c>
      <c r="Y37" s="295" t="n">
        <f aca="false">IFERROR(X37/X$19,0)</f>
        <v>0</v>
      </c>
      <c r="Z37" s="287" t="n">
        <f aca="false">IFERROR(X37/X$8,0)</f>
        <v>0</v>
      </c>
      <c r="AA37" s="288" t="n">
        <f aca="false">IFERROR(X37/X$7,0)</f>
        <v>0</v>
      </c>
      <c r="AB37" s="289" t="n">
        <f aca="false">SUM(AB30:AB36)</f>
        <v>0</v>
      </c>
      <c r="AC37" s="295" t="n">
        <f aca="false">IFERROR(AB37/AB$19,0)</f>
        <v>0</v>
      </c>
      <c r="AD37" s="287" t="n">
        <f aca="false">IFERROR(AB37/AB$8,0)</f>
        <v>0</v>
      </c>
      <c r="AE37" s="288" t="n">
        <f aca="false">IFERROR(AB37/AB$7,0)</f>
        <v>0</v>
      </c>
      <c r="AF37" s="289" t="n">
        <f aca="false">SUM(AF30:AF36)</f>
        <v>0</v>
      </c>
      <c r="AG37" s="295" t="n">
        <f aca="false">IFERROR(AF37/AF$19,0)</f>
        <v>0</v>
      </c>
      <c r="AH37" s="287" t="n">
        <f aca="false">IFERROR(AF37/AF$8,0)</f>
        <v>0</v>
      </c>
      <c r="AI37" s="288" t="n">
        <f aca="false">IFERROR(AF37/AF$7,0)</f>
        <v>0</v>
      </c>
      <c r="AJ37" s="289" t="n">
        <f aca="false">SUM(AJ30:AJ36)</f>
        <v>0</v>
      </c>
      <c r="AK37" s="295" t="n">
        <f aca="false">IFERROR(AJ37/AJ$19,0)</f>
        <v>0</v>
      </c>
      <c r="AL37" s="287" t="n">
        <f aca="false">IFERROR(AJ37/AJ$8,0)</f>
        <v>0</v>
      </c>
      <c r="AM37" s="288" t="n">
        <f aca="false">IFERROR(AJ37/AJ$7,0)</f>
        <v>0</v>
      </c>
      <c r="AN37" s="472" t="n">
        <f aca="false">SUM(AN30:AN36)</f>
        <v>0</v>
      </c>
      <c r="AO37" s="480" t="n">
        <f aca="false">IFERROR(AN37/AN$19,0)</f>
        <v>0</v>
      </c>
      <c r="AP37" s="474" t="n">
        <f aca="false">IFERROR(AN37/AN$8,0)</f>
        <v>0</v>
      </c>
      <c r="AQ37" s="475" t="n">
        <f aca="false">IFERROR(AN37/AN$7,0)</f>
        <v>0</v>
      </c>
      <c r="AR37" s="219"/>
    </row>
    <row r="38" customFormat="false" ht="14.25" hidden="false" customHeight="true" outlineLevel="0" collapsed="false">
      <c r="C38" s="460"/>
      <c r="D38" s="297"/>
      <c r="E38" s="278"/>
      <c r="F38" s="274"/>
      <c r="G38" s="275"/>
      <c r="H38" s="297"/>
      <c r="I38" s="278"/>
      <c r="J38" s="274"/>
      <c r="K38" s="275"/>
      <c r="L38" s="297"/>
      <c r="M38" s="278"/>
      <c r="N38" s="274"/>
      <c r="O38" s="275"/>
      <c r="P38" s="297"/>
      <c r="Q38" s="278"/>
      <c r="R38" s="274"/>
      <c r="S38" s="275"/>
      <c r="T38" s="297"/>
      <c r="U38" s="278"/>
      <c r="V38" s="274"/>
      <c r="W38" s="275"/>
      <c r="X38" s="297"/>
      <c r="Y38" s="278"/>
      <c r="Z38" s="274"/>
      <c r="AA38" s="275"/>
      <c r="AB38" s="297"/>
      <c r="AC38" s="278"/>
      <c r="AD38" s="274"/>
      <c r="AE38" s="275"/>
      <c r="AF38" s="297"/>
      <c r="AG38" s="278"/>
      <c r="AH38" s="274"/>
      <c r="AI38" s="275"/>
      <c r="AJ38" s="297"/>
      <c r="AK38" s="278"/>
      <c r="AL38" s="274"/>
      <c r="AM38" s="275"/>
      <c r="AN38" s="481"/>
      <c r="AO38" s="465"/>
      <c r="AP38" s="462"/>
      <c r="AQ38" s="463"/>
    </row>
    <row r="39" customFormat="false" ht="14.25" hidden="false" customHeight="true" outlineLevel="0" collapsed="false">
      <c r="C39" s="459" t="s">
        <v>155</v>
      </c>
      <c r="D39" s="270" t="n">
        <f aca="false">D27-D37</f>
        <v>0</v>
      </c>
      <c r="E39" s="267" t="n">
        <f aca="false">IFERROR(D39/D$19,0)</f>
        <v>0</v>
      </c>
      <c r="F39" s="268" t="n">
        <f aca="false">IFERROR(D39/D$8,0)</f>
        <v>0</v>
      </c>
      <c r="G39" s="269" t="n">
        <f aca="false">IFERROR(D39/D$7,0)</f>
        <v>0</v>
      </c>
      <c r="H39" s="270" t="n">
        <f aca="false">H27-H37</f>
        <v>0</v>
      </c>
      <c r="I39" s="267" t="n">
        <f aca="false">IFERROR(H39/H$19,0)</f>
        <v>0</v>
      </c>
      <c r="J39" s="268" t="n">
        <f aca="false">IFERROR(H39/H$8,0)</f>
        <v>0</v>
      </c>
      <c r="K39" s="269" t="n">
        <f aca="false">IFERROR(H39/H$7,0)</f>
        <v>0</v>
      </c>
      <c r="L39" s="270" t="n">
        <f aca="false">L27-L37</f>
        <v>0</v>
      </c>
      <c r="M39" s="267" t="n">
        <f aca="false">IFERROR(L39/L$19,0)</f>
        <v>0</v>
      </c>
      <c r="N39" s="268" t="n">
        <f aca="false">IFERROR(L39/L$8,0)</f>
        <v>0</v>
      </c>
      <c r="O39" s="269" t="n">
        <f aca="false">IFERROR(L39/L$7,0)</f>
        <v>0</v>
      </c>
      <c r="P39" s="270" t="n">
        <f aca="false">P27-P37</f>
        <v>0</v>
      </c>
      <c r="Q39" s="267" t="n">
        <f aca="false">IFERROR(P39/P$19,0)</f>
        <v>0</v>
      </c>
      <c r="R39" s="268" t="n">
        <f aca="false">IFERROR(P39/P$8,0)</f>
        <v>0</v>
      </c>
      <c r="S39" s="269" t="n">
        <f aca="false">IFERROR(P39/P$7,0)</f>
        <v>0</v>
      </c>
      <c r="T39" s="270" t="n">
        <f aca="false">T27-T37</f>
        <v>0</v>
      </c>
      <c r="U39" s="267" t="n">
        <f aca="false">IFERROR(T39/T$19,0)</f>
        <v>0</v>
      </c>
      <c r="V39" s="268" t="n">
        <f aca="false">IFERROR(T39/T$8,0)</f>
        <v>0</v>
      </c>
      <c r="W39" s="269" t="n">
        <f aca="false">IFERROR(T39/T$7,0)</f>
        <v>0</v>
      </c>
      <c r="X39" s="270" t="n">
        <f aca="false">X27-X37</f>
        <v>0</v>
      </c>
      <c r="Y39" s="267" t="n">
        <f aca="false">IFERROR(X39/X$19,0)</f>
        <v>0</v>
      </c>
      <c r="Z39" s="268" t="n">
        <f aca="false">IFERROR(X39/X$8,0)</f>
        <v>0</v>
      </c>
      <c r="AA39" s="269" t="n">
        <f aca="false">IFERROR(X39/X$7,0)</f>
        <v>0</v>
      </c>
      <c r="AB39" s="270" t="n">
        <f aca="false">AB27-AB37</f>
        <v>0</v>
      </c>
      <c r="AC39" s="267" t="n">
        <f aca="false">IFERROR(AB39/AB$19,0)</f>
        <v>0</v>
      </c>
      <c r="AD39" s="268" t="n">
        <f aca="false">IFERROR(AB39/AB$8,0)</f>
        <v>0</v>
      </c>
      <c r="AE39" s="269" t="n">
        <f aca="false">IFERROR(AB39/AB$7,0)</f>
        <v>0</v>
      </c>
      <c r="AF39" s="270" t="n">
        <f aca="false">AF27-AF37</f>
        <v>0</v>
      </c>
      <c r="AG39" s="267" t="n">
        <f aca="false">IFERROR(AF39/AF$19,0)</f>
        <v>0</v>
      </c>
      <c r="AH39" s="268" t="n">
        <f aca="false">IFERROR(AF39/AF$8,0)</f>
        <v>0</v>
      </c>
      <c r="AI39" s="269" t="n">
        <f aca="false">IFERROR(AF39/AF$7,0)</f>
        <v>0</v>
      </c>
      <c r="AJ39" s="270" t="n">
        <f aca="false">AJ27-AJ37</f>
        <v>0</v>
      </c>
      <c r="AK39" s="267" t="n">
        <f aca="false">IFERROR(AJ39/AJ$19,0)</f>
        <v>0</v>
      </c>
      <c r="AL39" s="268" t="n">
        <f aca="false">IFERROR(AJ39/AJ$8,0)</f>
        <v>0</v>
      </c>
      <c r="AM39" s="269" t="n">
        <f aca="false">IFERROR(AJ39/AJ$7,0)</f>
        <v>0</v>
      </c>
      <c r="AN39" s="270" t="n">
        <f aca="false">AN27-AN37</f>
        <v>0</v>
      </c>
      <c r="AO39" s="267" t="n">
        <f aca="false">IFERROR(AN39/AN$19,0)</f>
        <v>0</v>
      </c>
      <c r="AP39" s="268" t="n">
        <f aca="false">IFERROR(AN39/AN$8,0)</f>
        <v>0</v>
      </c>
      <c r="AQ39" s="269" t="n">
        <f aca="false">IFERROR(AN39/AN$7,0)</f>
        <v>0</v>
      </c>
    </row>
    <row r="40" customFormat="false" ht="14.25" hidden="false" customHeight="true" outlineLevel="0" collapsed="false">
      <c r="C40" s="482"/>
      <c r="D40" s="303"/>
      <c r="E40" s="300"/>
      <c r="F40" s="301"/>
      <c r="G40" s="302"/>
      <c r="H40" s="303"/>
      <c r="I40" s="300"/>
      <c r="J40" s="301"/>
      <c r="K40" s="302"/>
      <c r="L40" s="303"/>
      <c r="M40" s="300"/>
      <c r="N40" s="301"/>
      <c r="O40" s="302"/>
      <c r="P40" s="303"/>
      <c r="Q40" s="300"/>
      <c r="R40" s="301"/>
      <c r="S40" s="302"/>
      <c r="T40" s="303"/>
      <c r="U40" s="300"/>
      <c r="V40" s="301"/>
      <c r="W40" s="302"/>
      <c r="X40" s="303"/>
      <c r="Y40" s="300"/>
      <c r="Z40" s="301"/>
      <c r="AA40" s="302"/>
      <c r="AB40" s="303"/>
      <c r="AC40" s="300"/>
      <c r="AD40" s="301"/>
      <c r="AE40" s="302"/>
      <c r="AF40" s="303"/>
      <c r="AG40" s="300"/>
      <c r="AH40" s="301"/>
      <c r="AI40" s="302"/>
      <c r="AJ40" s="303"/>
      <c r="AK40" s="300"/>
      <c r="AL40" s="301"/>
      <c r="AM40" s="302"/>
      <c r="AN40" s="303"/>
      <c r="AO40" s="300"/>
      <c r="AP40" s="301"/>
      <c r="AQ40" s="302"/>
    </row>
    <row r="41" customFormat="false" ht="14.25" hidden="false" customHeight="true" outlineLevel="0" collapsed="false">
      <c r="C41" s="460" t="s">
        <v>156</v>
      </c>
      <c r="D41" s="304"/>
      <c r="E41" s="264"/>
      <c r="F41" s="261"/>
      <c r="G41" s="262"/>
      <c r="H41" s="304"/>
      <c r="I41" s="264"/>
      <c r="J41" s="261"/>
      <c r="K41" s="262"/>
      <c r="L41" s="304"/>
      <c r="M41" s="264"/>
      <c r="N41" s="261"/>
      <c r="O41" s="262"/>
      <c r="P41" s="304"/>
      <c r="Q41" s="264"/>
      <c r="R41" s="261"/>
      <c r="S41" s="262"/>
      <c r="T41" s="304"/>
      <c r="U41" s="264"/>
      <c r="V41" s="261"/>
      <c r="W41" s="262"/>
      <c r="X41" s="304"/>
      <c r="Y41" s="264"/>
      <c r="Z41" s="261"/>
      <c r="AA41" s="262"/>
      <c r="AB41" s="304"/>
      <c r="AC41" s="264"/>
      <c r="AD41" s="261"/>
      <c r="AE41" s="262"/>
      <c r="AF41" s="304"/>
      <c r="AG41" s="264"/>
      <c r="AH41" s="261"/>
      <c r="AI41" s="262"/>
      <c r="AJ41" s="304"/>
      <c r="AK41" s="264"/>
      <c r="AL41" s="261"/>
      <c r="AM41" s="262"/>
      <c r="AN41" s="469"/>
      <c r="AO41" s="457"/>
      <c r="AP41" s="455"/>
      <c r="AQ41" s="456"/>
    </row>
    <row r="42" customFormat="false" ht="14.25" hidden="false" customHeight="true" outlineLevel="0" collapsed="false">
      <c r="C42" s="468" t="s">
        <v>157</v>
      </c>
      <c r="D42" s="263" t="n">
        <f aca="false">IFERROR(INDEX(Tape!$T$7:$ME$36,MATCH($C$3,Tape!$C$7:$C$36,0),MATCH($C42&amp;"+"&amp;D$5,Tape!$T$1:$ME$1,0)),0)</f>
        <v>0</v>
      </c>
      <c r="E42" s="264" t="n">
        <f aca="false">IFERROR(D42/D$19,0)</f>
        <v>0</v>
      </c>
      <c r="F42" s="261" t="n">
        <f aca="false">IFERROR(D42/D$8,0)</f>
        <v>0</v>
      </c>
      <c r="G42" s="262" t="n">
        <f aca="false">IFERROR(D42/D$7,0)</f>
        <v>0</v>
      </c>
      <c r="H42" s="263" t="n">
        <f aca="false">IFERROR(INDEX(Tape!$T$7:$ME$36,MATCH($C$3,Tape!$C$7:$C$36,0),MATCH($C42&amp;"+"&amp;H$5,Tape!$T$1:$ME$1,0)),0)</f>
        <v>0</v>
      </c>
      <c r="I42" s="264" t="n">
        <f aca="false">IFERROR(H42/H$19,0)</f>
        <v>0</v>
      </c>
      <c r="J42" s="261" t="n">
        <f aca="false">IFERROR(H42/H$8,0)</f>
        <v>0</v>
      </c>
      <c r="K42" s="262" t="n">
        <f aca="false">IFERROR(H42/H$7,0)</f>
        <v>0</v>
      </c>
      <c r="L42" s="263" t="n">
        <f aca="false">IFERROR(INDEX(Tape!$T$7:$ME$36,MATCH($C$3,Tape!$C$7:$C$36,0),MATCH($C42&amp;"+"&amp;L$5,Tape!$T$1:$ME$1,0)),0)</f>
        <v>0</v>
      </c>
      <c r="M42" s="264" t="n">
        <f aca="false">IFERROR(L42/L$19,0)</f>
        <v>0</v>
      </c>
      <c r="N42" s="261" t="n">
        <f aca="false">IFERROR(L42/L$8,0)</f>
        <v>0</v>
      </c>
      <c r="O42" s="262" t="n">
        <f aca="false">IFERROR(L42/L$7,0)</f>
        <v>0</v>
      </c>
      <c r="P42" s="263" t="n">
        <f aca="false">IFERROR(INDEX(Tape!$T$7:$ME$36,MATCH($C$3,Tape!$C$7:$C$36,0),MATCH($C42&amp;"+"&amp;P$5,Tape!$T$1:$ME$1,0)),0)</f>
        <v>0</v>
      </c>
      <c r="Q42" s="264" t="n">
        <f aca="false">IFERROR(P42/P$19,0)</f>
        <v>0</v>
      </c>
      <c r="R42" s="261" t="n">
        <f aca="false">IFERROR(P42/P$8,0)</f>
        <v>0</v>
      </c>
      <c r="S42" s="262" t="n">
        <f aca="false">IFERROR(P42/P$7,0)</f>
        <v>0</v>
      </c>
      <c r="T42" s="263" t="n">
        <f aca="false">IFERROR(INDEX(Tape!$T$7:$ME$36,MATCH($C$3,Tape!$C$7:$C$36,0),MATCH($C42&amp;"+"&amp;T$5,Tape!$T$1:$ME$1,0)),0)</f>
        <v>0</v>
      </c>
      <c r="U42" s="264" t="n">
        <f aca="false">IFERROR(T42/T$19,0)</f>
        <v>0</v>
      </c>
      <c r="V42" s="261" t="n">
        <f aca="false">IFERROR(T42/T$8,0)</f>
        <v>0</v>
      </c>
      <c r="W42" s="262" t="n">
        <f aca="false">IFERROR(T42/T$7,0)</f>
        <v>0</v>
      </c>
      <c r="X42" s="263" t="n">
        <f aca="false">IFERROR(INDEX(Tape!$T$7:$ME$36,MATCH($C$3,Tape!$C$7:$C$36,0),MATCH($C42&amp;"+"&amp;X$5,Tape!$T$1:$ME$1,0)),0)</f>
        <v>0</v>
      </c>
      <c r="Y42" s="264" t="n">
        <f aca="false">IFERROR(X42/X$19,0)</f>
        <v>0</v>
      </c>
      <c r="Z42" s="261" t="n">
        <f aca="false">IFERROR(X42/X$8,0)</f>
        <v>0</v>
      </c>
      <c r="AA42" s="262" t="n">
        <f aca="false">IFERROR(X42/X$7,0)</f>
        <v>0</v>
      </c>
      <c r="AB42" s="263" t="n">
        <f aca="false">IFERROR(INDEX(Tape!$T$7:$ME$36,MATCH($C$3,Tape!$C$7:$C$36,0),MATCH($C42&amp;"+"&amp;AB$5,Tape!$T$1:$ME$1,0)),0)</f>
        <v>0</v>
      </c>
      <c r="AC42" s="264" t="n">
        <f aca="false">IFERROR(AB42/AB$19,0)</f>
        <v>0</v>
      </c>
      <c r="AD42" s="261" t="n">
        <f aca="false">IFERROR(AB42/AB$8,0)</f>
        <v>0</v>
      </c>
      <c r="AE42" s="262" t="n">
        <f aca="false">IFERROR(AB42/AB$7,0)</f>
        <v>0</v>
      </c>
      <c r="AF42" s="263" t="n">
        <f aca="false">IFERROR(INDEX(Tape!$T$7:$ME$36,MATCH($C$3,Tape!$C$7:$C$36,0),MATCH($C42&amp;"+"&amp;AF$5,Tape!$T$1:$ME$1,0)),0)</f>
        <v>0</v>
      </c>
      <c r="AG42" s="264" t="n">
        <f aca="false">IFERROR(AF42/AF$19,0)</f>
        <v>0</v>
      </c>
      <c r="AH42" s="261" t="n">
        <f aca="false">IFERROR(AF42/AF$8,0)</f>
        <v>0</v>
      </c>
      <c r="AI42" s="262" t="n">
        <f aca="false">IFERROR(AF42/AF$7,0)</f>
        <v>0</v>
      </c>
      <c r="AJ42" s="263" t="n">
        <f aca="false">IFERROR(INDEX(Tape!$T$7:$ME$36,MATCH($C$3,Tape!$C$7:$C$36,0),MATCH($C42&amp;"+"&amp;AJ$5,Tape!$T$1:$ME$1,0)),0)</f>
        <v>0</v>
      </c>
      <c r="AK42" s="264" t="n">
        <f aca="false">IFERROR(AJ42/AJ$19,0)</f>
        <v>0</v>
      </c>
      <c r="AL42" s="261" t="n">
        <f aca="false">IFERROR(AJ42/AJ$8,0)</f>
        <v>0</v>
      </c>
      <c r="AM42" s="262" t="n">
        <f aca="false">IFERROR(AJ42/AJ$7,0)</f>
        <v>0</v>
      </c>
      <c r="AN42" s="469" t="n">
        <f aca="false">AO42*AN19</f>
        <v>0</v>
      </c>
      <c r="AO42" s="470" t="n">
        <v>0.03</v>
      </c>
      <c r="AP42" s="455" t="n">
        <f aca="false">IFERROR(AN42/AN$8,0)</f>
        <v>0</v>
      </c>
      <c r="AQ42" s="456" t="n">
        <f aca="false">IFERROR(AN42/AN$7,0)</f>
        <v>0</v>
      </c>
      <c r="AR42" s="282"/>
    </row>
    <row r="43" customFormat="false" ht="14.25" hidden="false" customHeight="true" outlineLevel="0" collapsed="false">
      <c r="C43" s="468" t="s">
        <v>158</v>
      </c>
      <c r="D43" s="263" t="n">
        <f aca="false">IFERROR(INDEX(Tape!$T$7:$ME$36,MATCH($C$3,Tape!$C$7:$C$36,0),MATCH($C43&amp;"+"&amp;D$5,Tape!$T$1:$ME$1,0)),0)</f>
        <v>0</v>
      </c>
      <c r="E43" s="264" t="n">
        <f aca="false">IFERROR(D43/D$19,0)</f>
        <v>0</v>
      </c>
      <c r="F43" s="261" t="n">
        <f aca="false">IFERROR(D43/D$8,0)</f>
        <v>0</v>
      </c>
      <c r="G43" s="262" t="n">
        <f aca="false">IFERROR(D43/D$7,0)</f>
        <v>0</v>
      </c>
      <c r="H43" s="263" t="n">
        <f aca="false">IFERROR(INDEX(Tape!$T$7:$ME$36,MATCH($C$3,Tape!$C$7:$C$36,0),MATCH($C43&amp;"+"&amp;H$5,Tape!$T$1:$ME$1,0)),0)</f>
        <v>0</v>
      </c>
      <c r="I43" s="264" t="n">
        <f aca="false">IFERROR(H43/H$19,0)</f>
        <v>0</v>
      </c>
      <c r="J43" s="261" t="n">
        <f aca="false">IFERROR(H43/H$8,0)</f>
        <v>0</v>
      </c>
      <c r="K43" s="262" t="n">
        <f aca="false">IFERROR(H43/H$7,0)</f>
        <v>0</v>
      </c>
      <c r="L43" s="263" t="n">
        <f aca="false">IFERROR(INDEX(Tape!$T$7:$ME$36,MATCH($C$3,Tape!$C$7:$C$36,0),MATCH($C43&amp;"+"&amp;L$5,Tape!$T$1:$ME$1,0)),0)</f>
        <v>0</v>
      </c>
      <c r="M43" s="264" t="n">
        <f aca="false">IFERROR(L43/L$19,0)</f>
        <v>0</v>
      </c>
      <c r="N43" s="261" t="n">
        <f aca="false">IFERROR(L43/L$8,0)</f>
        <v>0</v>
      </c>
      <c r="O43" s="262" t="n">
        <f aca="false">IFERROR(L43/L$7,0)</f>
        <v>0</v>
      </c>
      <c r="P43" s="263" t="n">
        <f aca="false">IFERROR(INDEX(Tape!$T$7:$ME$36,MATCH($C$3,Tape!$C$7:$C$36,0),MATCH($C43&amp;"+"&amp;P$5,Tape!$T$1:$ME$1,0)),0)</f>
        <v>0</v>
      </c>
      <c r="Q43" s="264" t="n">
        <f aca="false">IFERROR(P43/P$19,0)</f>
        <v>0</v>
      </c>
      <c r="R43" s="261" t="n">
        <f aca="false">IFERROR(P43/P$8,0)</f>
        <v>0</v>
      </c>
      <c r="S43" s="262" t="n">
        <f aca="false">IFERROR(P43/P$7,0)</f>
        <v>0</v>
      </c>
      <c r="T43" s="263" t="n">
        <f aca="false">IFERROR(INDEX(Tape!$T$7:$ME$36,MATCH($C$3,Tape!$C$7:$C$36,0),MATCH($C43&amp;"+"&amp;T$5,Tape!$T$1:$ME$1,0)),0)</f>
        <v>0</v>
      </c>
      <c r="U43" s="264" t="n">
        <f aca="false">IFERROR(T43/T$19,0)</f>
        <v>0</v>
      </c>
      <c r="V43" s="261" t="n">
        <f aca="false">IFERROR(T43/T$8,0)</f>
        <v>0</v>
      </c>
      <c r="W43" s="262" t="n">
        <f aca="false">IFERROR(T43/T$7,0)</f>
        <v>0</v>
      </c>
      <c r="X43" s="263" t="n">
        <f aca="false">IFERROR(INDEX(Tape!$T$7:$ME$36,MATCH($C$3,Tape!$C$7:$C$36,0),MATCH($C43&amp;"+"&amp;X$5,Tape!$T$1:$ME$1,0)),0)</f>
        <v>0</v>
      </c>
      <c r="Y43" s="264" t="n">
        <f aca="false">IFERROR(X43/X$19,0)</f>
        <v>0</v>
      </c>
      <c r="Z43" s="261" t="n">
        <f aca="false">IFERROR(X43/X$8,0)</f>
        <v>0</v>
      </c>
      <c r="AA43" s="262" t="n">
        <f aca="false">IFERROR(X43/X$7,0)</f>
        <v>0</v>
      </c>
      <c r="AB43" s="263" t="n">
        <f aca="false">IFERROR(INDEX(Tape!$T$7:$ME$36,MATCH($C$3,Tape!$C$7:$C$36,0),MATCH($C43&amp;"+"&amp;AB$5,Tape!$T$1:$ME$1,0)),0)</f>
        <v>0</v>
      </c>
      <c r="AC43" s="264" t="n">
        <f aca="false">IFERROR(AB43/AB$19,0)</f>
        <v>0</v>
      </c>
      <c r="AD43" s="261" t="n">
        <f aca="false">IFERROR(AB43/AB$8,0)</f>
        <v>0</v>
      </c>
      <c r="AE43" s="262" t="n">
        <f aca="false">IFERROR(AB43/AB$7,0)</f>
        <v>0</v>
      </c>
      <c r="AF43" s="263" t="n">
        <f aca="false">IFERROR(INDEX(Tape!$T$7:$ME$36,MATCH($C$3,Tape!$C$7:$C$36,0),MATCH($C43&amp;"+"&amp;AF$5,Tape!$T$1:$ME$1,0)),0)</f>
        <v>0</v>
      </c>
      <c r="AG43" s="264" t="n">
        <f aca="false">IFERROR(AF43/AF$19,0)</f>
        <v>0</v>
      </c>
      <c r="AH43" s="261" t="n">
        <f aca="false">IFERROR(AF43/AF$8,0)</f>
        <v>0</v>
      </c>
      <c r="AI43" s="262" t="n">
        <f aca="false">IFERROR(AF43/AF$7,0)</f>
        <v>0</v>
      </c>
      <c r="AJ43" s="263" t="n">
        <f aca="false">IFERROR(INDEX(Tape!$T$7:$ME$36,MATCH($C$3,Tape!$C$7:$C$36,0),MATCH($C43&amp;"+"&amp;AJ$5,Tape!$T$1:$ME$1,0)),0)</f>
        <v>0</v>
      </c>
      <c r="AK43" s="264" t="n">
        <f aca="false">IFERROR(AJ43/AJ$19,0)</f>
        <v>0</v>
      </c>
      <c r="AL43" s="261" t="n">
        <f aca="false">IFERROR(AJ43/AJ$8,0)</f>
        <v>0</v>
      </c>
      <c r="AM43" s="262" t="n">
        <f aca="false">IFERROR(AJ43/AJ$7,0)</f>
        <v>0</v>
      </c>
      <c r="AN43" s="469" t="n">
        <f aca="false">AO72</f>
        <v>0</v>
      </c>
      <c r="AO43" s="457" t="n">
        <f aca="false">IFERROR(AN43/AN$19,0)</f>
        <v>0</v>
      </c>
      <c r="AP43" s="455" t="n">
        <f aca="false">IFERROR(AN43/AN$8,0)</f>
        <v>0</v>
      </c>
      <c r="AQ43" s="456" t="n">
        <f aca="false">IFERROR(AN43/AN$7,0)</f>
        <v>0</v>
      </c>
      <c r="AR43" s="282"/>
    </row>
    <row r="44" customFormat="false" ht="14.25" hidden="false" customHeight="true" outlineLevel="0" collapsed="false">
      <c r="C44" s="471" t="s">
        <v>157</v>
      </c>
      <c r="D44" s="289" t="n">
        <f aca="false">SUM(D42:D43)</f>
        <v>0</v>
      </c>
      <c r="E44" s="295" t="n">
        <f aca="false">IFERROR(D44/D$19,0)</f>
        <v>0</v>
      </c>
      <c r="F44" s="287" t="n">
        <f aca="false">IFERROR(D44/D$8,0)</f>
        <v>0</v>
      </c>
      <c r="G44" s="288" t="n">
        <f aca="false">IFERROR(D44/D$7,0)</f>
        <v>0</v>
      </c>
      <c r="H44" s="289" t="n">
        <f aca="false">SUM(H42:H43)</f>
        <v>0</v>
      </c>
      <c r="I44" s="295" t="n">
        <f aca="false">IFERROR(H44/H$19,0)</f>
        <v>0</v>
      </c>
      <c r="J44" s="287" t="n">
        <f aca="false">IFERROR(H44/H$8,0)</f>
        <v>0</v>
      </c>
      <c r="K44" s="288" t="n">
        <f aca="false">IFERROR(H44/H$7,0)</f>
        <v>0</v>
      </c>
      <c r="L44" s="289" t="n">
        <f aca="false">SUM(L42:L43)</f>
        <v>0</v>
      </c>
      <c r="M44" s="295" t="n">
        <f aca="false">IFERROR(L44/L$19,0)</f>
        <v>0</v>
      </c>
      <c r="N44" s="287" t="n">
        <f aca="false">IFERROR(L44/L$8,0)</f>
        <v>0</v>
      </c>
      <c r="O44" s="288" t="n">
        <f aca="false">IFERROR(L44/L$7,0)</f>
        <v>0</v>
      </c>
      <c r="P44" s="289" t="n">
        <f aca="false">SUM(P42:P43)</f>
        <v>0</v>
      </c>
      <c r="Q44" s="295" t="n">
        <f aca="false">IFERROR(P44/P$19,0)</f>
        <v>0</v>
      </c>
      <c r="R44" s="287" t="n">
        <f aca="false">IFERROR(P44/P$8,0)</f>
        <v>0</v>
      </c>
      <c r="S44" s="288" t="n">
        <f aca="false">IFERROR(P44/P$7,0)</f>
        <v>0</v>
      </c>
      <c r="T44" s="289" t="n">
        <f aca="false">SUM(T42:T43)</f>
        <v>0</v>
      </c>
      <c r="U44" s="295" t="n">
        <f aca="false">IFERROR(T44/T$19,0)</f>
        <v>0</v>
      </c>
      <c r="V44" s="287" t="n">
        <f aca="false">IFERROR(T44/T$8,0)</f>
        <v>0</v>
      </c>
      <c r="W44" s="288" t="n">
        <f aca="false">IFERROR(T44/T$7,0)</f>
        <v>0</v>
      </c>
      <c r="X44" s="289" t="n">
        <f aca="false">SUM(X42:X43)</f>
        <v>0</v>
      </c>
      <c r="Y44" s="295" t="n">
        <f aca="false">IFERROR(X44/X$19,0)</f>
        <v>0</v>
      </c>
      <c r="Z44" s="287" t="n">
        <f aca="false">IFERROR(X44/X$8,0)</f>
        <v>0</v>
      </c>
      <c r="AA44" s="288" t="n">
        <f aca="false">IFERROR(X44/X$7,0)</f>
        <v>0</v>
      </c>
      <c r="AB44" s="289" t="n">
        <f aca="false">SUM(AB42:AB43)</f>
        <v>0</v>
      </c>
      <c r="AC44" s="295" t="n">
        <f aca="false">IFERROR(AB44/AB$19,0)</f>
        <v>0</v>
      </c>
      <c r="AD44" s="287" t="n">
        <f aca="false">IFERROR(AB44/AB$8,0)</f>
        <v>0</v>
      </c>
      <c r="AE44" s="288" t="n">
        <f aca="false">IFERROR(AB44/AB$7,0)</f>
        <v>0</v>
      </c>
      <c r="AF44" s="289" t="n">
        <f aca="false">SUM(AF42:AF43)</f>
        <v>0</v>
      </c>
      <c r="AG44" s="295" t="n">
        <f aca="false">IFERROR(AF44/AF$19,0)</f>
        <v>0</v>
      </c>
      <c r="AH44" s="287" t="n">
        <f aca="false">IFERROR(AF44/AF$8,0)</f>
        <v>0</v>
      </c>
      <c r="AI44" s="288" t="n">
        <f aca="false">IFERROR(AF44/AF$7,0)</f>
        <v>0</v>
      </c>
      <c r="AJ44" s="289" t="n">
        <f aca="false">SUM(AJ42:AJ43)</f>
        <v>0</v>
      </c>
      <c r="AK44" s="295" t="n">
        <f aca="false">IFERROR(AJ44/AJ$19,0)</f>
        <v>0</v>
      </c>
      <c r="AL44" s="287" t="n">
        <f aca="false">IFERROR(AJ44/AJ$8,0)</f>
        <v>0</v>
      </c>
      <c r="AM44" s="288" t="n">
        <f aca="false">IFERROR(AJ44/AJ$7,0)</f>
        <v>0</v>
      </c>
      <c r="AN44" s="289" t="n">
        <f aca="false">SUM(AN42:AN43)</f>
        <v>0</v>
      </c>
      <c r="AO44" s="295" t="n">
        <f aca="false">IFERROR(AN44/AN$19,0)</f>
        <v>0</v>
      </c>
      <c r="AP44" s="287" t="n">
        <f aca="false">IFERROR(AN44/AN$8,0)</f>
        <v>0</v>
      </c>
      <c r="AQ44" s="288" t="n">
        <f aca="false">IFERROR(AN44/AN$7,0)</f>
        <v>0</v>
      </c>
      <c r="AR44" s="305"/>
    </row>
    <row r="45" customFormat="false" ht="14.25" hidden="false" customHeight="true" outlineLevel="0" collapsed="false">
      <c r="C45" s="468"/>
      <c r="D45" s="307"/>
      <c r="E45" s="264"/>
      <c r="F45" s="261"/>
      <c r="G45" s="262"/>
      <c r="H45" s="307"/>
      <c r="I45" s="264"/>
      <c r="J45" s="261"/>
      <c r="K45" s="262"/>
      <c r="L45" s="307"/>
      <c r="M45" s="264"/>
      <c r="N45" s="261"/>
      <c r="O45" s="262"/>
      <c r="P45" s="307"/>
      <c r="Q45" s="264"/>
      <c r="R45" s="261"/>
      <c r="S45" s="262"/>
      <c r="T45" s="307"/>
      <c r="U45" s="264"/>
      <c r="V45" s="261"/>
      <c r="W45" s="262"/>
      <c r="X45" s="307"/>
      <c r="Y45" s="264"/>
      <c r="Z45" s="261"/>
      <c r="AA45" s="262"/>
      <c r="AB45" s="307"/>
      <c r="AC45" s="264"/>
      <c r="AD45" s="261"/>
      <c r="AE45" s="262"/>
      <c r="AF45" s="307"/>
      <c r="AG45" s="264"/>
      <c r="AH45" s="261"/>
      <c r="AI45" s="262"/>
      <c r="AJ45" s="307"/>
      <c r="AK45" s="264"/>
      <c r="AL45" s="261"/>
      <c r="AM45" s="262"/>
      <c r="AN45" s="483"/>
      <c r="AO45" s="457"/>
      <c r="AP45" s="455"/>
      <c r="AQ45" s="456"/>
    </row>
    <row r="46" customFormat="false" ht="14.25" hidden="false" customHeight="true" outlineLevel="0" collapsed="false">
      <c r="C46" s="460" t="s">
        <v>159</v>
      </c>
      <c r="D46" s="304"/>
      <c r="E46" s="264"/>
      <c r="F46" s="261"/>
      <c r="G46" s="262"/>
      <c r="H46" s="304"/>
      <c r="I46" s="264"/>
      <c r="J46" s="261"/>
      <c r="K46" s="262"/>
      <c r="L46" s="304"/>
      <c r="M46" s="264"/>
      <c r="N46" s="261"/>
      <c r="O46" s="262"/>
      <c r="P46" s="304"/>
      <c r="Q46" s="264"/>
      <c r="R46" s="261"/>
      <c r="S46" s="262"/>
      <c r="T46" s="304"/>
      <c r="U46" s="264"/>
      <c r="V46" s="261"/>
      <c r="W46" s="262"/>
      <c r="X46" s="304"/>
      <c r="Y46" s="264"/>
      <c r="Z46" s="261"/>
      <c r="AA46" s="262"/>
      <c r="AB46" s="304"/>
      <c r="AC46" s="264"/>
      <c r="AD46" s="261"/>
      <c r="AE46" s="262"/>
      <c r="AF46" s="304"/>
      <c r="AG46" s="264"/>
      <c r="AH46" s="261"/>
      <c r="AI46" s="262"/>
      <c r="AJ46" s="304"/>
      <c r="AK46" s="264"/>
      <c r="AL46" s="261"/>
      <c r="AM46" s="262"/>
      <c r="AN46" s="469"/>
      <c r="AO46" s="457"/>
      <c r="AP46" s="455"/>
      <c r="AQ46" s="456"/>
    </row>
    <row r="47" customFormat="false" ht="14.25" hidden="false" customHeight="true" outlineLevel="0" collapsed="false">
      <c r="C47" s="468" t="s">
        <v>160</v>
      </c>
      <c r="D47" s="263" t="n">
        <f aca="false">IFERROR(INDEX(Tape!$T$7:$ME$36,MATCH($C$3,Tape!$C$7:$C$36,0),MATCH($C47&amp;"+"&amp;D$5,Tape!$T$1:$ME$1,0)),0)</f>
        <v>0</v>
      </c>
      <c r="E47" s="264" t="n">
        <f aca="false">IFERROR(D47/D$19,0)</f>
        <v>0</v>
      </c>
      <c r="F47" s="261" t="n">
        <f aca="false">IFERROR(D47/D$8,0)</f>
        <v>0</v>
      </c>
      <c r="G47" s="262" t="n">
        <f aca="false">IFERROR(D47/D$7,0)</f>
        <v>0</v>
      </c>
      <c r="H47" s="263" t="n">
        <f aca="false">IFERROR(INDEX(Tape!$T$7:$ME$36,MATCH($C$3,Tape!$C$7:$C$36,0),MATCH($C47&amp;"+"&amp;H$5,Tape!$T$1:$ME$1,0)),0)</f>
        <v>0</v>
      </c>
      <c r="I47" s="264" t="n">
        <f aca="false">IFERROR(H47/H$19,0)</f>
        <v>0</v>
      </c>
      <c r="J47" s="261" t="n">
        <f aca="false">IFERROR(H47/H$8,0)</f>
        <v>0</v>
      </c>
      <c r="K47" s="262" t="n">
        <f aca="false">IFERROR(H47/H$7,0)</f>
        <v>0</v>
      </c>
      <c r="L47" s="263" t="n">
        <f aca="false">IFERROR(INDEX(Tape!$T$7:$ME$36,MATCH($C$3,Tape!$C$7:$C$36,0),MATCH($C47&amp;"+"&amp;L$5,Tape!$T$1:$ME$1,0)),0)</f>
        <v>0</v>
      </c>
      <c r="M47" s="264" t="n">
        <f aca="false">IFERROR(L47/L$19,0)</f>
        <v>0</v>
      </c>
      <c r="N47" s="261" t="n">
        <f aca="false">IFERROR(L47/L$8,0)</f>
        <v>0</v>
      </c>
      <c r="O47" s="262" t="n">
        <f aca="false">IFERROR(L47/L$7,0)</f>
        <v>0</v>
      </c>
      <c r="P47" s="263" t="n">
        <f aca="false">IFERROR(INDEX(Tape!$T$7:$ME$36,MATCH($C$3,Tape!$C$7:$C$36,0),MATCH($C47&amp;"+"&amp;P$5,Tape!$T$1:$ME$1,0)),0)</f>
        <v>0</v>
      </c>
      <c r="Q47" s="264" t="n">
        <f aca="false">IFERROR(P47/P$19,0)</f>
        <v>0</v>
      </c>
      <c r="R47" s="261" t="n">
        <f aca="false">IFERROR(P47/P$8,0)</f>
        <v>0</v>
      </c>
      <c r="S47" s="262" t="n">
        <f aca="false">IFERROR(P47/P$7,0)</f>
        <v>0</v>
      </c>
      <c r="T47" s="263" t="n">
        <f aca="false">IFERROR(INDEX(Tape!$T$7:$ME$36,MATCH($C$3,Tape!$C$7:$C$36,0),MATCH($C47&amp;"+"&amp;T$5,Tape!$T$1:$ME$1,0)),0)</f>
        <v>0</v>
      </c>
      <c r="U47" s="264" t="n">
        <f aca="false">IFERROR(T47/T$19,0)</f>
        <v>0</v>
      </c>
      <c r="V47" s="261" t="n">
        <f aca="false">IFERROR(T47/T$8,0)</f>
        <v>0</v>
      </c>
      <c r="W47" s="262" t="n">
        <f aca="false">IFERROR(T47/T$7,0)</f>
        <v>0</v>
      </c>
      <c r="X47" s="263" t="n">
        <f aca="false">IFERROR(INDEX(Tape!$T$7:$ME$36,MATCH($C$3,Tape!$C$7:$C$36,0),MATCH($C47&amp;"+"&amp;X$5,Tape!$T$1:$ME$1,0)),0)</f>
        <v>0</v>
      </c>
      <c r="Y47" s="264" t="n">
        <f aca="false">IFERROR(X47/X$19,0)</f>
        <v>0</v>
      </c>
      <c r="Z47" s="261" t="n">
        <f aca="false">IFERROR(X47/X$8,0)</f>
        <v>0</v>
      </c>
      <c r="AA47" s="262" t="n">
        <f aca="false">IFERROR(X47/X$7,0)</f>
        <v>0</v>
      </c>
      <c r="AB47" s="263" t="n">
        <f aca="false">IFERROR(INDEX(Tape!$T$7:$ME$36,MATCH($C$3,Tape!$C$7:$C$36,0),MATCH($C47&amp;"+"&amp;AB$5,Tape!$T$1:$ME$1,0)),0)</f>
        <v>0</v>
      </c>
      <c r="AC47" s="264" t="n">
        <f aca="false">IFERROR(AB47/AB$19,0)</f>
        <v>0</v>
      </c>
      <c r="AD47" s="261" t="n">
        <f aca="false">IFERROR(AB47/AB$8,0)</f>
        <v>0</v>
      </c>
      <c r="AE47" s="262" t="n">
        <f aca="false">IFERROR(AB47/AB$7,0)</f>
        <v>0</v>
      </c>
      <c r="AF47" s="263" t="n">
        <f aca="false">IFERROR(INDEX(Tape!$T$7:$ME$36,MATCH($C$3,Tape!$C$7:$C$36,0),MATCH($C47&amp;"+"&amp;AF$5,Tape!$T$1:$ME$1,0)),0)</f>
        <v>0</v>
      </c>
      <c r="AG47" s="264" t="n">
        <f aca="false">IFERROR(AF47/AF$19,0)</f>
        <v>0</v>
      </c>
      <c r="AH47" s="261" t="n">
        <f aca="false">IFERROR(AF47/AF$8,0)</f>
        <v>0</v>
      </c>
      <c r="AI47" s="262" t="n">
        <f aca="false">IFERROR(AF47/AF$7,0)</f>
        <v>0</v>
      </c>
      <c r="AJ47" s="263" t="n">
        <f aca="false">IFERROR(INDEX(Tape!$T$7:$ME$36,MATCH($C$3,Tape!$C$7:$C$36,0),MATCH($C47&amp;"+"&amp;AJ$5,Tape!$T$1:$ME$1,0)),0)</f>
        <v>0</v>
      </c>
      <c r="AK47" s="264" t="n">
        <f aca="false">IFERROR(AJ47/AJ$19,0)</f>
        <v>0</v>
      </c>
      <c r="AL47" s="261" t="n">
        <f aca="false">IFERROR(AJ47/AJ$8,0)</f>
        <v>0</v>
      </c>
      <c r="AM47" s="262" t="n">
        <f aca="false">IFERROR(AJ47/AJ$7,0)</f>
        <v>0</v>
      </c>
      <c r="AN47" s="484" t="n">
        <f aca="false">AF47</f>
        <v>0</v>
      </c>
      <c r="AO47" s="457" t="n">
        <f aca="false">IFERROR(AN47/AN$19,0)</f>
        <v>0</v>
      </c>
      <c r="AP47" s="455" t="n">
        <f aca="false">IFERROR(AN47/AN$8,0)</f>
        <v>0</v>
      </c>
      <c r="AQ47" s="456" t="n">
        <f aca="false">IFERROR(AN47/AN$7,0)</f>
        <v>0</v>
      </c>
      <c r="AR47" s="282"/>
    </row>
    <row r="48" customFormat="false" ht="14.25" hidden="false" customHeight="true" outlineLevel="0" collapsed="false">
      <c r="C48" s="468" t="s">
        <v>161</v>
      </c>
      <c r="D48" s="263" t="n">
        <f aca="false">IFERROR(INDEX(Tape!$T$7:$ME$36,MATCH($C$3,Tape!$C$7:$C$36,0),MATCH($C48&amp;"+"&amp;D$5,Tape!$T$1:$ME$1,0)),0)</f>
        <v>0</v>
      </c>
      <c r="E48" s="264" t="n">
        <f aca="false">IFERROR(D48/D$19,0)</f>
        <v>0</v>
      </c>
      <c r="F48" s="261" t="n">
        <f aca="false">IFERROR(D48/D$8,0)</f>
        <v>0</v>
      </c>
      <c r="G48" s="262" t="n">
        <f aca="false">IFERROR(D48/D$7,0)</f>
        <v>0</v>
      </c>
      <c r="H48" s="263" t="n">
        <f aca="false">IFERROR(INDEX(Tape!$T$7:$ME$36,MATCH($C$3,Tape!$C$7:$C$36,0),MATCH($C48&amp;"+"&amp;H$5,Tape!$T$1:$ME$1,0)),0)</f>
        <v>0</v>
      </c>
      <c r="I48" s="264" t="n">
        <f aca="false">IFERROR(H48/H$19,0)</f>
        <v>0</v>
      </c>
      <c r="J48" s="261" t="n">
        <f aca="false">IFERROR(H48/H$8,0)</f>
        <v>0</v>
      </c>
      <c r="K48" s="262" t="n">
        <f aca="false">IFERROR(H48/H$7,0)</f>
        <v>0</v>
      </c>
      <c r="L48" s="263" t="n">
        <f aca="false">IFERROR(INDEX(Tape!$T$7:$ME$36,MATCH($C$3,Tape!$C$7:$C$36,0),MATCH($C48&amp;"+"&amp;L$5,Tape!$T$1:$ME$1,0)),0)</f>
        <v>0</v>
      </c>
      <c r="M48" s="264" t="n">
        <f aca="false">IFERROR(L48/L$19,0)</f>
        <v>0</v>
      </c>
      <c r="N48" s="261" t="n">
        <f aca="false">IFERROR(L48/L$8,0)</f>
        <v>0</v>
      </c>
      <c r="O48" s="262" t="n">
        <f aca="false">IFERROR(L48/L$7,0)</f>
        <v>0</v>
      </c>
      <c r="P48" s="263" t="n">
        <f aca="false">IFERROR(INDEX(Tape!$T$7:$ME$36,MATCH($C$3,Tape!$C$7:$C$36,0),MATCH($C48&amp;"+"&amp;P$5,Tape!$T$1:$ME$1,0)),0)</f>
        <v>0</v>
      </c>
      <c r="Q48" s="264" t="n">
        <f aca="false">IFERROR(P48/P$19,0)</f>
        <v>0</v>
      </c>
      <c r="R48" s="261" t="n">
        <f aca="false">IFERROR(P48/P$8,0)</f>
        <v>0</v>
      </c>
      <c r="S48" s="262" t="n">
        <f aca="false">IFERROR(P48/P$7,0)</f>
        <v>0</v>
      </c>
      <c r="T48" s="263" t="n">
        <f aca="false">IFERROR(INDEX(Tape!$T$7:$ME$36,MATCH($C$3,Tape!$C$7:$C$36,0),MATCH($C48&amp;"+"&amp;T$5,Tape!$T$1:$ME$1,0)),0)</f>
        <v>0</v>
      </c>
      <c r="U48" s="264" t="n">
        <f aca="false">IFERROR(T48/T$19,0)</f>
        <v>0</v>
      </c>
      <c r="V48" s="261" t="n">
        <f aca="false">IFERROR(T48/T$8,0)</f>
        <v>0</v>
      </c>
      <c r="W48" s="262" t="n">
        <f aca="false">IFERROR(T48/T$7,0)</f>
        <v>0</v>
      </c>
      <c r="X48" s="263" t="n">
        <f aca="false">IFERROR(INDEX(Tape!$T$7:$ME$36,MATCH($C$3,Tape!$C$7:$C$36,0),MATCH($C48&amp;"+"&amp;X$5,Tape!$T$1:$ME$1,0)),0)</f>
        <v>0</v>
      </c>
      <c r="Y48" s="264" t="n">
        <f aca="false">IFERROR(X48/X$19,0)</f>
        <v>0</v>
      </c>
      <c r="Z48" s="261" t="n">
        <f aca="false">IFERROR(X48/X$8,0)</f>
        <v>0</v>
      </c>
      <c r="AA48" s="262" t="n">
        <f aca="false">IFERROR(X48/X$7,0)</f>
        <v>0</v>
      </c>
      <c r="AB48" s="263" t="n">
        <f aca="false">IFERROR(INDEX(Tape!$T$7:$ME$36,MATCH($C$3,Tape!$C$7:$C$36,0),MATCH($C48&amp;"+"&amp;AB$5,Tape!$T$1:$ME$1,0)),0)</f>
        <v>0</v>
      </c>
      <c r="AC48" s="264" t="n">
        <f aca="false">IFERROR(AB48/AB$19,0)</f>
        <v>0</v>
      </c>
      <c r="AD48" s="261" t="n">
        <f aca="false">IFERROR(AB48/AB$8,0)</f>
        <v>0</v>
      </c>
      <c r="AE48" s="262" t="n">
        <f aca="false">IFERROR(AB48/AB$7,0)</f>
        <v>0</v>
      </c>
      <c r="AF48" s="263" t="n">
        <f aca="false">IFERROR(INDEX(Tape!$T$7:$ME$36,MATCH($C$3,Tape!$C$7:$C$36,0),MATCH($C48&amp;"+"&amp;AF$5,Tape!$T$1:$ME$1,0)),0)</f>
        <v>0</v>
      </c>
      <c r="AG48" s="264" t="n">
        <f aca="false">IFERROR(AF48/AF$19,0)</f>
        <v>0</v>
      </c>
      <c r="AH48" s="261" t="n">
        <f aca="false">IFERROR(AF48/AF$8,0)</f>
        <v>0</v>
      </c>
      <c r="AI48" s="262" t="n">
        <f aca="false">IFERROR(AF48/AF$7,0)</f>
        <v>0</v>
      </c>
      <c r="AJ48" s="263" t="n">
        <f aca="false">IFERROR(INDEX(Tape!$T$7:$ME$36,MATCH($C$3,Tape!$C$7:$C$36,0),MATCH($C48&amp;"+"&amp;AJ$5,Tape!$T$1:$ME$1,0)),0)</f>
        <v>0</v>
      </c>
      <c r="AK48" s="264" t="n">
        <f aca="false">IFERROR(AJ48/AJ$19,0)</f>
        <v>0</v>
      </c>
      <c r="AL48" s="261" t="n">
        <f aca="false">IFERROR(AJ48/AJ$8,0)</f>
        <v>0</v>
      </c>
      <c r="AM48" s="262" t="n">
        <f aca="false">IFERROR(AJ48/AJ$7,0)</f>
        <v>0</v>
      </c>
      <c r="AN48" s="484" t="n">
        <f aca="false">AF48</f>
        <v>0</v>
      </c>
      <c r="AO48" s="457" t="n">
        <f aca="false">IFERROR(AN48/AN$19,0)</f>
        <v>0</v>
      </c>
      <c r="AP48" s="455" t="n">
        <f aca="false">IFERROR(AN48/AN$8,0)</f>
        <v>0</v>
      </c>
      <c r="AQ48" s="456" t="n">
        <f aca="false">IFERROR(AN48/AN$7,0)</f>
        <v>0</v>
      </c>
      <c r="AR48" s="282"/>
      <c r="AT48" s="485" t="s">
        <v>216</v>
      </c>
    </row>
    <row r="49" customFormat="false" ht="14.25" hidden="false" customHeight="true" outlineLevel="0" collapsed="false">
      <c r="C49" s="468" t="s">
        <v>162</v>
      </c>
      <c r="D49" s="263" t="n">
        <f aca="false">IFERROR(INDEX(Tape!$T$7:$ME$36,MATCH($C$3,Tape!$C$7:$C$36,0),MATCH($C49&amp;"+"&amp;D$5,Tape!$T$1:$ME$1,0)),0)</f>
        <v>0</v>
      </c>
      <c r="E49" s="264" t="n">
        <f aca="false">IFERROR(D49/D$19,0)</f>
        <v>0</v>
      </c>
      <c r="F49" s="261" t="n">
        <f aca="false">IFERROR(D49/D$8,0)</f>
        <v>0</v>
      </c>
      <c r="G49" s="262" t="n">
        <f aca="false">IFERROR(D49/D$7,0)</f>
        <v>0</v>
      </c>
      <c r="H49" s="263" t="n">
        <f aca="false">IFERROR(INDEX(Tape!$T$7:$ME$36,MATCH($C$3,Tape!$C$7:$C$36,0),MATCH($C49&amp;"+"&amp;H$5,Tape!$T$1:$ME$1,0)),0)</f>
        <v>0</v>
      </c>
      <c r="I49" s="264" t="n">
        <f aca="false">IFERROR(H49/H$19,0)</f>
        <v>0</v>
      </c>
      <c r="J49" s="261" t="n">
        <f aca="false">IFERROR(H49/H$8,0)</f>
        <v>0</v>
      </c>
      <c r="K49" s="262" t="n">
        <f aca="false">IFERROR(H49/H$7,0)</f>
        <v>0</v>
      </c>
      <c r="L49" s="263" t="n">
        <f aca="false">IFERROR(INDEX(Tape!$T$7:$ME$36,MATCH($C$3,Tape!$C$7:$C$36,0),MATCH($C49&amp;"+"&amp;L$5,Tape!$T$1:$ME$1,0)),0)</f>
        <v>0</v>
      </c>
      <c r="M49" s="264" t="n">
        <f aca="false">IFERROR(L49/L$19,0)</f>
        <v>0</v>
      </c>
      <c r="N49" s="261" t="n">
        <f aca="false">IFERROR(L49/L$8,0)</f>
        <v>0</v>
      </c>
      <c r="O49" s="262" t="n">
        <f aca="false">IFERROR(L49/L$7,0)</f>
        <v>0</v>
      </c>
      <c r="P49" s="263" t="n">
        <f aca="false">IFERROR(INDEX(Tape!$T$7:$ME$36,MATCH($C$3,Tape!$C$7:$C$36,0),MATCH($C49&amp;"+"&amp;P$5,Tape!$T$1:$ME$1,0)),0)</f>
        <v>0</v>
      </c>
      <c r="Q49" s="264" t="n">
        <f aca="false">IFERROR(P49/P$19,0)</f>
        <v>0</v>
      </c>
      <c r="R49" s="261" t="n">
        <f aca="false">IFERROR(P49/P$8,0)</f>
        <v>0</v>
      </c>
      <c r="S49" s="262" t="n">
        <f aca="false">IFERROR(P49/P$7,0)</f>
        <v>0</v>
      </c>
      <c r="T49" s="263" t="n">
        <f aca="false">IFERROR(INDEX(Tape!$T$7:$ME$36,MATCH($C$3,Tape!$C$7:$C$36,0),MATCH($C49&amp;"+"&amp;T$5,Tape!$T$1:$ME$1,0)),0)</f>
        <v>0</v>
      </c>
      <c r="U49" s="264" t="n">
        <f aca="false">IFERROR(T49/T$19,0)</f>
        <v>0</v>
      </c>
      <c r="V49" s="261" t="n">
        <f aca="false">IFERROR(T49/T$8,0)</f>
        <v>0</v>
      </c>
      <c r="W49" s="262" t="n">
        <f aca="false">IFERROR(T49/T$7,0)</f>
        <v>0</v>
      </c>
      <c r="X49" s="263" t="n">
        <f aca="false">IFERROR(INDEX(Tape!$T$7:$ME$36,MATCH($C$3,Tape!$C$7:$C$36,0),MATCH($C49&amp;"+"&amp;X$5,Tape!$T$1:$ME$1,0)),0)</f>
        <v>0</v>
      </c>
      <c r="Y49" s="264" t="n">
        <f aca="false">IFERROR(X49/X$19,0)</f>
        <v>0</v>
      </c>
      <c r="Z49" s="261" t="n">
        <f aca="false">IFERROR(X49/X$8,0)</f>
        <v>0</v>
      </c>
      <c r="AA49" s="262" t="n">
        <f aca="false">IFERROR(X49/X$7,0)</f>
        <v>0</v>
      </c>
      <c r="AB49" s="263" t="n">
        <f aca="false">IFERROR(INDEX(Tape!$T$7:$ME$36,MATCH($C$3,Tape!$C$7:$C$36,0),MATCH($C49&amp;"+"&amp;AB$5,Tape!$T$1:$ME$1,0)),0)</f>
        <v>0</v>
      </c>
      <c r="AC49" s="264" t="n">
        <f aca="false">IFERROR(AB49/AB$19,0)</f>
        <v>0</v>
      </c>
      <c r="AD49" s="261" t="n">
        <f aca="false">IFERROR(AB49/AB$8,0)</f>
        <v>0</v>
      </c>
      <c r="AE49" s="262" t="n">
        <f aca="false">IFERROR(AB49/AB$7,0)</f>
        <v>0</v>
      </c>
      <c r="AF49" s="263" t="n">
        <f aca="false">IFERROR(INDEX(Tape!$T$7:$ME$36,MATCH($C$3,Tape!$C$7:$C$36,0),MATCH($C49&amp;"+"&amp;AF$5,Tape!$T$1:$ME$1,0)),0)</f>
        <v>0</v>
      </c>
      <c r="AG49" s="264" t="n">
        <f aca="false">IFERROR(AF49/AF$19,0)</f>
        <v>0</v>
      </c>
      <c r="AH49" s="261" t="n">
        <f aca="false">IFERROR(AF49/AF$8,0)</f>
        <v>0</v>
      </c>
      <c r="AI49" s="262" t="n">
        <f aca="false">IFERROR(AF49/AF$7,0)</f>
        <v>0</v>
      </c>
      <c r="AJ49" s="263" t="n">
        <f aca="false">IFERROR(INDEX(Tape!$T$7:$ME$36,MATCH($C$3,Tape!$C$7:$C$36,0),MATCH($C49&amp;"+"&amp;AJ$5,Tape!$T$1:$ME$1,0)),0)</f>
        <v>0</v>
      </c>
      <c r="AK49" s="264" t="n">
        <f aca="false">IFERROR(AJ49/AJ$19,0)</f>
        <v>0</v>
      </c>
      <c r="AL49" s="261" t="n">
        <f aca="false">IFERROR(AJ49/AJ$8,0)</f>
        <v>0</v>
      </c>
      <c r="AM49" s="262" t="n">
        <f aca="false">IFERROR(AJ49/AJ$7,0)</f>
        <v>0</v>
      </c>
      <c r="AN49" s="484" t="n">
        <f aca="false">X49*(1+AT49)</f>
        <v>0</v>
      </c>
      <c r="AO49" s="457" t="n">
        <f aca="false">IFERROR(AN49/AN$19,0)</f>
        <v>0</v>
      </c>
      <c r="AP49" s="455" t="n">
        <f aca="false">IFERROR(AN49/AN$8,0)</f>
        <v>0</v>
      </c>
      <c r="AQ49" s="456" t="n">
        <f aca="false">IFERROR(AN49/AN$7,0)</f>
        <v>0</v>
      </c>
      <c r="AR49" s="282"/>
      <c r="AT49" s="486" t="n">
        <v>0.03</v>
      </c>
    </row>
    <row r="50" customFormat="false" ht="14.25" hidden="false" customHeight="true" outlineLevel="0" collapsed="false">
      <c r="C50" s="468" t="s">
        <v>163</v>
      </c>
      <c r="D50" s="263" t="n">
        <f aca="false">IFERROR(INDEX(Tape!$T$7:$ME$36,MATCH($C$3,Tape!$C$7:$C$36,0),MATCH($C50&amp;"+"&amp;D$5,Tape!$T$1:$ME$1,0)),0)</f>
        <v>0</v>
      </c>
      <c r="E50" s="264" t="n">
        <f aca="false">IFERROR(D50/D$19,0)</f>
        <v>0</v>
      </c>
      <c r="F50" s="261" t="n">
        <f aca="false">IFERROR(D50/D$8,0)</f>
        <v>0</v>
      </c>
      <c r="G50" s="262" t="n">
        <f aca="false">IFERROR(D50/D$7,0)</f>
        <v>0</v>
      </c>
      <c r="H50" s="263" t="n">
        <f aca="false">IFERROR(INDEX(Tape!$T$7:$ME$36,MATCH($C$3,Tape!$C$7:$C$36,0),MATCH($C50&amp;"+"&amp;H$5,Tape!$T$1:$ME$1,0)),0)</f>
        <v>0</v>
      </c>
      <c r="I50" s="264" t="n">
        <f aca="false">IFERROR(H50/H$19,0)</f>
        <v>0</v>
      </c>
      <c r="J50" s="261" t="n">
        <f aca="false">IFERROR(H50/H$8,0)</f>
        <v>0</v>
      </c>
      <c r="K50" s="262" t="n">
        <f aca="false">IFERROR(H50/H$7,0)</f>
        <v>0</v>
      </c>
      <c r="L50" s="263" t="n">
        <f aca="false">IFERROR(INDEX(Tape!$T$7:$ME$36,MATCH($C$3,Tape!$C$7:$C$36,0),MATCH($C50&amp;"+"&amp;L$5,Tape!$T$1:$ME$1,0)),0)</f>
        <v>0</v>
      </c>
      <c r="M50" s="264" t="n">
        <f aca="false">IFERROR(L50/L$19,0)</f>
        <v>0</v>
      </c>
      <c r="N50" s="261" t="n">
        <f aca="false">IFERROR(L50/L$8,0)</f>
        <v>0</v>
      </c>
      <c r="O50" s="262" t="n">
        <f aca="false">IFERROR(L50/L$7,0)</f>
        <v>0</v>
      </c>
      <c r="P50" s="263" t="n">
        <f aca="false">IFERROR(INDEX(Tape!$T$7:$ME$36,MATCH($C$3,Tape!$C$7:$C$36,0),MATCH($C50&amp;"+"&amp;P$5,Tape!$T$1:$ME$1,0)),0)</f>
        <v>0</v>
      </c>
      <c r="Q50" s="264" t="n">
        <f aca="false">IFERROR(P50/P$19,0)</f>
        <v>0</v>
      </c>
      <c r="R50" s="261" t="n">
        <f aca="false">IFERROR(P50/P$8,0)</f>
        <v>0</v>
      </c>
      <c r="S50" s="262" t="n">
        <f aca="false">IFERROR(P50/P$7,0)</f>
        <v>0</v>
      </c>
      <c r="T50" s="263" t="n">
        <f aca="false">IFERROR(INDEX(Tape!$T$7:$ME$36,MATCH($C$3,Tape!$C$7:$C$36,0),MATCH($C50&amp;"+"&amp;T$5,Tape!$T$1:$ME$1,0)),0)</f>
        <v>0</v>
      </c>
      <c r="U50" s="264" t="n">
        <f aca="false">IFERROR(T50/T$19,0)</f>
        <v>0</v>
      </c>
      <c r="V50" s="261" t="n">
        <f aca="false">IFERROR(T50/T$8,0)</f>
        <v>0</v>
      </c>
      <c r="W50" s="262" t="n">
        <f aca="false">IFERROR(T50/T$7,0)</f>
        <v>0</v>
      </c>
      <c r="X50" s="263" t="n">
        <f aca="false">IFERROR(INDEX(Tape!$T$7:$ME$36,MATCH($C$3,Tape!$C$7:$C$36,0),MATCH($C50&amp;"+"&amp;X$5,Tape!$T$1:$ME$1,0)),0)</f>
        <v>0</v>
      </c>
      <c r="Y50" s="264" t="n">
        <f aca="false">IFERROR(X50/X$19,0)</f>
        <v>0</v>
      </c>
      <c r="Z50" s="261" t="n">
        <f aca="false">IFERROR(X50/X$8,0)</f>
        <v>0</v>
      </c>
      <c r="AA50" s="262" t="n">
        <f aca="false">IFERROR(X50/X$7,0)</f>
        <v>0</v>
      </c>
      <c r="AB50" s="263" t="n">
        <f aca="false">IFERROR(INDEX(Tape!$T$7:$ME$36,MATCH($C$3,Tape!$C$7:$C$36,0),MATCH($C50&amp;"+"&amp;AB$5,Tape!$T$1:$ME$1,0)),0)</f>
        <v>0</v>
      </c>
      <c r="AC50" s="264" t="n">
        <f aca="false">IFERROR(AB50/AB$19,0)</f>
        <v>0</v>
      </c>
      <c r="AD50" s="261" t="n">
        <f aca="false">IFERROR(AB50/AB$8,0)</f>
        <v>0</v>
      </c>
      <c r="AE50" s="262" t="n">
        <f aca="false">IFERROR(AB50/AB$7,0)</f>
        <v>0</v>
      </c>
      <c r="AF50" s="263" t="n">
        <f aca="false">IFERROR(INDEX(Tape!$T$7:$ME$36,MATCH($C$3,Tape!$C$7:$C$36,0),MATCH($C50&amp;"+"&amp;AF$5,Tape!$T$1:$ME$1,0)),0)</f>
        <v>0</v>
      </c>
      <c r="AG50" s="264" t="n">
        <f aca="false">IFERROR(AF50/AF$19,0)</f>
        <v>0</v>
      </c>
      <c r="AH50" s="261" t="n">
        <f aca="false">IFERROR(AF50/AF$8,0)</f>
        <v>0</v>
      </c>
      <c r="AI50" s="262" t="n">
        <f aca="false">IFERROR(AF50/AF$7,0)</f>
        <v>0</v>
      </c>
      <c r="AJ50" s="263" t="n">
        <f aca="false">IFERROR(INDEX(Tape!$T$7:$ME$36,MATCH($C$3,Tape!$C$7:$C$36,0),MATCH($C50&amp;"+"&amp;AJ$5,Tape!$T$1:$ME$1,0)),0)</f>
        <v>0</v>
      </c>
      <c r="AK50" s="264" t="n">
        <f aca="false">IFERROR(AJ50/AJ$19,0)</f>
        <v>0</v>
      </c>
      <c r="AL50" s="261" t="n">
        <f aca="false">IFERROR(AJ50/AJ$8,0)</f>
        <v>0</v>
      </c>
      <c r="AM50" s="262" t="n">
        <f aca="false">IFERROR(AJ50/AJ$7,0)</f>
        <v>0</v>
      </c>
      <c r="AN50" s="484" t="n">
        <f aca="false">X50*(1+AT50)</f>
        <v>0</v>
      </c>
      <c r="AO50" s="457" t="n">
        <f aca="false">IFERROR(AN50/AN$19,0)</f>
        <v>0</v>
      </c>
      <c r="AP50" s="455" t="n">
        <f aca="false">IFERROR(AN50/AN$8,0)</f>
        <v>0</v>
      </c>
      <c r="AQ50" s="456" t="n">
        <f aca="false">IFERROR(AN50/AN$7,0)</f>
        <v>0</v>
      </c>
      <c r="AR50" s="282"/>
      <c r="AT50" s="486" t="n">
        <v>0.03</v>
      </c>
    </row>
    <row r="51" customFormat="false" ht="14.25" hidden="false" customHeight="true" outlineLevel="0" collapsed="false">
      <c r="C51" s="471" t="s">
        <v>164</v>
      </c>
      <c r="D51" s="310" t="n">
        <f aca="false">SUM(D47:D50)</f>
        <v>0</v>
      </c>
      <c r="E51" s="286" t="n">
        <f aca="false">IFERROR(D51/D$19,0)</f>
        <v>0</v>
      </c>
      <c r="F51" s="287" t="n">
        <f aca="false">IFERROR(D51/D$8,0)</f>
        <v>0</v>
      </c>
      <c r="G51" s="309" t="n">
        <f aca="false">IFERROR(D51/D$7,0)</f>
        <v>0</v>
      </c>
      <c r="H51" s="310" t="n">
        <f aca="false">SUM(H47:H50)</f>
        <v>0</v>
      </c>
      <c r="I51" s="286" t="n">
        <f aca="false">IFERROR(H51/H$19,0)</f>
        <v>0</v>
      </c>
      <c r="J51" s="287" t="n">
        <f aca="false">IFERROR(H51/H$8,0)</f>
        <v>0</v>
      </c>
      <c r="K51" s="309" t="n">
        <f aca="false">IFERROR(H51/H$7,0)</f>
        <v>0</v>
      </c>
      <c r="L51" s="310" t="n">
        <f aca="false">SUM(L47:L50)</f>
        <v>0</v>
      </c>
      <c r="M51" s="286" t="n">
        <f aca="false">IFERROR(L51/L$19,0)</f>
        <v>0</v>
      </c>
      <c r="N51" s="287" t="n">
        <f aca="false">IFERROR(L51/L$8,0)</f>
        <v>0</v>
      </c>
      <c r="O51" s="309" t="n">
        <f aca="false">IFERROR(L51/L$7,0)</f>
        <v>0</v>
      </c>
      <c r="P51" s="310" t="n">
        <f aca="false">SUM(P47:P50)</f>
        <v>0</v>
      </c>
      <c r="Q51" s="286" t="n">
        <f aca="false">IFERROR(P51/P$19,0)</f>
        <v>0</v>
      </c>
      <c r="R51" s="287" t="n">
        <f aca="false">IFERROR(P51/P$8,0)</f>
        <v>0</v>
      </c>
      <c r="S51" s="309" t="n">
        <f aca="false">IFERROR(P51/P$7,0)</f>
        <v>0</v>
      </c>
      <c r="T51" s="310" t="n">
        <f aca="false">SUM(T47:T50)</f>
        <v>0</v>
      </c>
      <c r="U51" s="286" t="n">
        <f aca="false">IFERROR(T51/T$19,0)</f>
        <v>0</v>
      </c>
      <c r="V51" s="287" t="n">
        <f aca="false">IFERROR(T51/T$8,0)</f>
        <v>0</v>
      </c>
      <c r="W51" s="309" t="n">
        <f aca="false">IFERROR(T51/T$7,0)</f>
        <v>0</v>
      </c>
      <c r="X51" s="310" t="n">
        <f aca="false">SUM(X47:X50)</f>
        <v>0</v>
      </c>
      <c r="Y51" s="286" t="n">
        <f aca="false">IFERROR(X51/X$19,0)</f>
        <v>0</v>
      </c>
      <c r="Z51" s="287" t="n">
        <f aca="false">IFERROR(X51/X$8,0)</f>
        <v>0</v>
      </c>
      <c r="AA51" s="309" t="n">
        <f aca="false">IFERROR(X51/X$7,0)</f>
        <v>0</v>
      </c>
      <c r="AB51" s="310" t="n">
        <f aca="false">SUM(AB47:AB50)</f>
        <v>0</v>
      </c>
      <c r="AC51" s="286" t="n">
        <f aca="false">IFERROR(AB51/AB$19,0)</f>
        <v>0</v>
      </c>
      <c r="AD51" s="287" t="n">
        <f aca="false">IFERROR(AB51/AB$8,0)</f>
        <v>0</v>
      </c>
      <c r="AE51" s="309" t="n">
        <f aca="false">IFERROR(AB51/AB$7,0)</f>
        <v>0</v>
      </c>
      <c r="AF51" s="310" t="n">
        <f aca="false">SUM(AF47:AF50)</f>
        <v>0</v>
      </c>
      <c r="AG51" s="286" t="n">
        <f aca="false">IFERROR(AF51/AF$19,0)</f>
        <v>0</v>
      </c>
      <c r="AH51" s="287" t="n">
        <f aca="false">IFERROR(AF51/AF$8,0)</f>
        <v>0</v>
      </c>
      <c r="AI51" s="309" t="n">
        <f aca="false">IFERROR(AF51/AF$7,0)</f>
        <v>0</v>
      </c>
      <c r="AJ51" s="310" t="n">
        <f aca="false">SUM(AJ47:AJ50)</f>
        <v>0</v>
      </c>
      <c r="AK51" s="286" t="n">
        <f aca="false">IFERROR(AJ51/AJ$19,0)</f>
        <v>0</v>
      </c>
      <c r="AL51" s="287" t="n">
        <f aca="false">IFERROR(AJ51/AJ$8,0)</f>
        <v>0</v>
      </c>
      <c r="AM51" s="309" t="n">
        <f aca="false">IFERROR(AJ51/AJ$7,0)</f>
        <v>0</v>
      </c>
      <c r="AN51" s="487" t="n">
        <f aca="false">SUM(AN47:AN50)</f>
        <v>0</v>
      </c>
      <c r="AO51" s="473" t="n">
        <f aca="false">IFERROR(AN51/AN$19,0)</f>
        <v>0</v>
      </c>
      <c r="AP51" s="474" t="n">
        <f aca="false">IFERROR(AN51/AN$8,0)</f>
        <v>0</v>
      </c>
      <c r="AQ51" s="488" t="n">
        <f aca="false">IFERROR(AN51/AN$7,0)</f>
        <v>0</v>
      </c>
      <c r="AS51" s="257"/>
    </row>
    <row r="52" customFormat="false" ht="14.25" hidden="false" customHeight="true" outlineLevel="0" collapsed="false">
      <c r="C52" s="468"/>
      <c r="D52" s="313"/>
      <c r="E52" s="312"/>
      <c r="F52" s="277"/>
      <c r="G52" s="292"/>
      <c r="H52" s="313"/>
      <c r="I52" s="312"/>
      <c r="J52" s="277"/>
      <c r="K52" s="292"/>
      <c r="L52" s="313"/>
      <c r="M52" s="312"/>
      <c r="N52" s="277"/>
      <c r="O52" s="292"/>
      <c r="P52" s="313"/>
      <c r="Q52" s="312"/>
      <c r="R52" s="277"/>
      <c r="S52" s="292"/>
      <c r="T52" s="313"/>
      <c r="U52" s="312"/>
      <c r="V52" s="277"/>
      <c r="W52" s="292"/>
      <c r="X52" s="313"/>
      <c r="Y52" s="312"/>
      <c r="Z52" s="277"/>
      <c r="AA52" s="292"/>
      <c r="AB52" s="313"/>
      <c r="AC52" s="312"/>
      <c r="AD52" s="277"/>
      <c r="AE52" s="292"/>
      <c r="AF52" s="313"/>
      <c r="AG52" s="312"/>
      <c r="AH52" s="277"/>
      <c r="AI52" s="292"/>
      <c r="AJ52" s="313"/>
      <c r="AK52" s="312"/>
      <c r="AL52" s="277"/>
      <c r="AM52" s="292"/>
      <c r="AN52" s="489"/>
      <c r="AO52" s="490"/>
      <c r="AP52" s="466"/>
      <c r="AQ52" s="478"/>
    </row>
    <row r="53" customFormat="false" ht="14.25" hidden="false" customHeight="true" outlineLevel="0" collapsed="false">
      <c r="C53" s="491" t="s">
        <v>165</v>
      </c>
      <c r="D53" s="319" t="n">
        <f aca="false">D39-D44-D51</f>
        <v>0</v>
      </c>
      <c r="E53" s="316" t="n">
        <f aca="false">IFERROR(D53/D$19,0)</f>
        <v>0</v>
      </c>
      <c r="F53" s="317" t="n">
        <f aca="false">IFERROR(D53/D$8,0)</f>
        <v>0</v>
      </c>
      <c r="G53" s="318" t="n">
        <f aca="false">IFERROR(D53/D$7,0)</f>
        <v>0</v>
      </c>
      <c r="H53" s="319" t="n">
        <f aca="false">H39-H44-H51</f>
        <v>0</v>
      </c>
      <c r="I53" s="316" t="n">
        <f aca="false">IFERROR(H53/H$19,0)</f>
        <v>0</v>
      </c>
      <c r="J53" s="317" t="n">
        <f aca="false">IFERROR(H53/H$8,0)</f>
        <v>0</v>
      </c>
      <c r="K53" s="318" t="n">
        <f aca="false">IFERROR(H53/H$7,0)</f>
        <v>0</v>
      </c>
      <c r="L53" s="319" t="n">
        <f aca="false">L39-L44-L51</f>
        <v>0</v>
      </c>
      <c r="M53" s="316" t="n">
        <f aca="false">IFERROR(L53/L$19,0)</f>
        <v>0</v>
      </c>
      <c r="N53" s="317" t="n">
        <f aca="false">IFERROR(L53/L$8,0)</f>
        <v>0</v>
      </c>
      <c r="O53" s="318" t="n">
        <f aca="false">IFERROR(L53/L$7,0)</f>
        <v>0</v>
      </c>
      <c r="P53" s="319" t="n">
        <f aca="false">P39-P44-P51</f>
        <v>0</v>
      </c>
      <c r="Q53" s="316" t="n">
        <f aca="false">IFERROR(P53/P$19,0)</f>
        <v>0</v>
      </c>
      <c r="R53" s="317" t="n">
        <f aca="false">IFERROR(P53/P$8,0)</f>
        <v>0</v>
      </c>
      <c r="S53" s="318" t="n">
        <f aca="false">IFERROR(P53/P$7,0)</f>
        <v>0</v>
      </c>
      <c r="T53" s="319" t="n">
        <f aca="false">T39-T44-T51</f>
        <v>0</v>
      </c>
      <c r="U53" s="316" t="n">
        <f aca="false">IFERROR(T53/T$19,0)</f>
        <v>0</v>
      </c>
      <c r="V53" s="317" t="n">
        <f aca="false">IFERROR(T53/T$8,0)</f>
        <v>0</v>
      </c>
      <c r="W53" s="318" t="n">
        <f aca="false">IFERROR(T53/T$7,0)</f>
        <v>0</v>
      </c>
      <c r="X53" s="319" t="n">
        <f aca="false">X39-X44-X51</f>
        <v>0</v>
      </c>
      <c r="Y53" s="316" t="n">
        <f aca="false">IFERROR(X53/X$19,0)</f>
        <v>0</v>
      </c>
      <c r="Z53" s="317" t="n">
        <f aca="false">IFERROR(X53/X$8,0)</f>
        <v>0</v>
      </c>
      <c r="AA53" s="318" t="n">
        <f aca="false">IFERROR(X53/X$7,0)</f>
        <v>0</v>
      </c>
      <c r="AB53" s="319" t="n">
        <f aca="false">AB39-AB44-AB51</f>
        <v>0</v>
      </c>
      <c r="AC53" s="316" t="n">
        <f aca="false">IFERROR(AB53/AB$19,0)</f>
        <v>0</v>
      </c>
      <c r="AD53" s="317" t="n">
        <f aca="false">IFERROR(AB53/AB$8,0)</f>
        <v>0</v>
      </c>
      <c r="AE53" s="318" t="n">
        <f aca="false">IFERROR(AB53/AB$7,0)</f>
        <v>0</v>
      </c>
      <c r="AF53" s="319" t="n">
        <f aca="false">AF39-AF44-AF51</f>
        <v>0</v>
      </c>
      <c r="AG53" s="316" t="n">
        <f aca="false">IFERROR(AF53/AF$19,0)</f>
        <v>0</v>
      </c>
      <c r="AH53" s="317" t="n">
        <f aca="false">IFERROR(AF53/AF$8,0)</f>
        <v>0</v>
      </c>
      <c r="AI53" s="318" t="n">
        <f aca="false">IFERROR(AF53/AF$7,0)</f>
        <v>0</v>
      </c>
      <c r="AJ53" s="319" t="n">
        <f aca="false">AJ39-AJ44-AJ51</f>
        <v>0</v>
      </c>
      <c r="AK53" s="316" t="n">
        <f aca="false">IFERROR(AJ53/AJ$19,0)</f>
        <v>0</v>
      </c>
      <c r="AL53" s="317" t="n">
        <f aca="false">IFERROR(AJ53/AJ$8,0)</f>
        <v>0</v>
      </c>
      <c r="AM53" s="318" t="n">
        <f aca="false">IFERROR(AJ53/AJ$7,0)</f>
        <v>0</v>
      </c>
      <c r="AN53" s="492" t="n">
        <f aca="false">AN39-AN44-AN51</f>
        <v>0</v>
      </c>
      <c r="AO53" s="493" t="n">
        <f aca="false">IFERROR(AN53/AN$19,0)</f>
        <v>0</v>
      </c>
      <c r="AP53" s="494" t="n">
        <f aca="false">IFERROR(AN53/AN$8,0)</f>
        <v>0</v>
      </c>
      <c r="AQ53" s="495" t="n">
        <f aca="false">IFERROR(AN53/AN$7,0)</f>
        <v>0</v>
      </c>
    </row>
    <row r="54" customFormat="false" ht="14.25" hidden="false" customHeight="true" outlineLevel="0" collapsed="false">
      <c r="C54" s="468" t="s">
        <v>166</v>
      </c>
      <c r="D54" s="263" t="n">
        <f aca="false">IFERROR(INDEX(Tape!$T$7:$ME$36,MATCH($C$3,Tape!$C$7:$C$36,0),MATCH($C54&amp;"+"&amp;D$5,Tape!$T$1:$ME$1,0)),0)</f>
        <v>0</v>
      </c>
      <c r="E54" s="264" t="n">
        <f aca="false">IFERROR(D54/D$19,0)</f>
        <v>0</v>
      </c>
      <c r="F54" s="261" t="n">
        <f aca="false">IFERROR(D54/D$8,0)</f>
        <v>0</v>
      </c>
      <c r="G54" s="262" t="n">
        <f aca="false">IFERROR(D54/D$7,0)</f>
        <v>0</v>
      </c>
      <c r="H54" s="263" t="n">
        <f aca="false">IFERROR(INDEX(Tape!$T$7:$ME$36,MATCH($C$3,Tape!$C$7:$C$36,0),MATCH($C54&amp;"+"&amp;H$5,Tape!$T$1:$ME$1,0)),0)</f>
        <v>0</v>
      </c>
      <c r="I54" s="264" t="n">
        <f aca="false">IFERROR(H54/H$19,0)</f>
        <v>0</v>
      </c>
      <c r="J54" s="261" t="n">
        <f aca="false">IFERROR(H54/H$8,0)</f>
        <v>0</v>
      </c>
      <c r="K54" s="262" t="n">
        <f aca="false">IFERROR(H54/H$7,0)</f>
        <v>0</v>
      </c>
      <c r="L54" s="263" t="n">
        <f aca="false">IFERROR(INDEX(Tape!$T$7:$ME$36,MATCH($C$3,Tape!$C$7:$C$36,0),MATCH($C54&amp;"+"&amp;L$5,Tape!$T$1:$ME$1,0)),0)</f>
        <v>0</v>
      </c>
      <c r="M54" s="264" t="n">
        <f aca="false">IFERROR(L54/L$19,0)</f>
        <v>0</v>
      </c>
      <c r="N54" s="261" t="n">
        <f aca="false">IFERROR(L54/L$8,0)</f>
        <v>0</v>
      </c>
      <c r="O54" s="262" t="n">
        <f aca="false">IFERROR(L54/L$7,0)</f>
        <v>0</v>
      </c>
      <c r="P54" s="263" t="n">
        <f aca="false">IFERROR(INDEX(Tape!$T$7:$ME$36,MATCH($C$3,Tape!$C$7:$C$36,0),MATCH($C54&amp;"+"&amp;P$5,Tape!$T$1:$ME$1,0)),0)</f>
        <v>0</v>
      </c>
      <c r="Q54" s="264" t="n">
        <f aca="false">IFERROR(P54/P$19,0)</f>
        <v>0</v>
      </c>
      <c r="R54" s="261" t="n">
        <f aca="false">IFERROR(P54/P$8,0)</f>
        <v>0</v>
      </c>
      <c r="S54" s="262" t="n">
        <f aca="false">IFERROR(P54/P$7,0)</f>
        <v>0</v>
      </c>
      <c r="T54" s="263" t="n">
        <f aca="false">IFERROR(INDEX(Tape!$T$7:$ME$36,MATCH($C$3,Tape!$C$7:$C$36,0),MATCH($C54&amp;"+"&amp;T$5,Tape!$T$1:$ME$1,0)),0)</f>
        <v>0</v>
      </c>
      <c r="U54" s="264" t="n">
        <f aca="false">IFERROR(T54/T$19,0)</f>
        <v>0</v>
      </c>
      <c r="V54" s="261" t="n">
        <f aca="false">IFERROR(T54/T$8,0)</f>
        <v>0</v>
      </c>
      <c r="W54" s="262" t="n">
        <f aca="false">IFERROR(T54/T$7,0)</f>
        <v>0</v>
      </c>
      <c r="X54" s="263" t="n">
        <f aca="false">IFERROR(INDEX(Tape!$T$7:$ME$36,MATCH($C$3,Tape!$C$7:$C$36,0),MATCH($C54&amp;"+"&amp;X$5,Tape!$T$1:$ME$1,0)),0)</f>
        <v>0</v>
      </c>
      <c r="Y54" s="264" t="n">
        <f aca="false">IFERROR(X54/X$19,0)</f>
        <v>0</v>
      </c>
      <c r="Z54" s="261" t="n">
        <f aca="false">IFERROR(X54/X$8,0)</f>
        <v>0</v>
      </c>
      <c r="AA54" s="262" t="n">
        <f aca="false">IFERROR(X54/X$7,0)</f>
        <v>0</v>
      </c>
      <c r="AB54" s="263" t="n">
        <f aca="false">IFERROR(INDEX(Tape!$T$7:$ME$36,MATCH($C$3,Tape!$C$7:$C$36,0),MATCH($C54&amp;"+"&amp;AB$5,Tape!$T$1:$ME$1,0)),0)</f>
        <v>0</v>
      </c>
      <c r="AC54" s="264" t="n">
        <f aca="false">IFERROR(AB54/AB$19,0)</f>
        <v>0</v>
      </c>
      <c r="AD54" s="261" t="n">
        <f aca="false">IFERROR(AB54/AB$8,0)</f>
        <v>0</v>
      </c>
      <c r="AE54" s="262" t="n">
        <f aca="false">IFERROR(AB54/AB$7,0)</f>
        <v>0</v>
      </c>
      <c r="AF54" s="263" t="n">
        <f aca="false">IFERROR(INDEX(Tape!$T$7:$ME$36,MATCH($C$3,Tape!$C$7:$C$36,0),MATCH($C54&amp;"+"&amp;AF$5,Tape!$T$1:$ME$1,0)),0)</f>
        <v>0</v>
      </c>
      <c r="AG54" s="264" t="n">
        <f aca="false">IFERROR(AF54/AF$19,0)</f>
        <v>0</v>
      </c>
      <c r="AH54" s="261" t="n">
        <f aca="false">IFERROR(AF54/AF$8,0)</f>
        <v>0</v>
      </c>
      <c r="AI54" s="262" t="n">
        <f aca="false">IFERROR(AF54/AF$7,0)</f>
        <v>0</v>
      </c>
      <c r="AJ54" s="263" t="n">
        <f aca="false">IFERROR(INDEX(Tape!$T$7:$ME$36,MATCH($C$3,Tape!$C$7:$C$36,0),MATCH($C54&amp;"+"&amp;AJ$5,Tape!$T$1:$ME$1,0)),0)</f>
        <v>0</v>
      </c>
      <c r="AK54" s="264" t="n">
        <f aca="false">IFERROR(AJ54/AJ$19,0)</f>
        <v>0</v>
      </c>
      <c r="AL54" s="261" t="n">
        <f aca="false">IFERROR(AJ54/AJ$8,0)</f>
        <v>0</v>
      </c>
      <c r="AM54" s="262" t="n">
        <f aca="false">IFERROR(AJ54/AJ$7,0)</f>
        <v>0</v>
      </c>
      <c r="AN54" s="496" t="n">
        <f aca="false">AO54*AN19</f>
        <v>0</v>
      </c>
      <c r="AO54" s="497" t="n">
        <v>0.04</v>
      </c>
      <c r="AP54" s="466" t="n">
        <f aca="false">IFERROR(AN54/AN$8,0)</f>
        <v>0</v>
      </c>
      <c r="AQ54" s="467" t="n">
        <f aca="false">IFERROR(AN54/AN$7,0)</f>
        <v>0</v>
      </c>
      <c r="AR54" s="305"/>
    </row>
    <row r="55" customFormat="false" ht="14.25" hidden="false" customHeight="true" outlineLevel="0" collapsed="false">
      <c r="C55" s="491" t="s">
        <v>167</v>
      </c>
      <c r="D55" s="498" t="n">
        <f aca="false">D53-D54</f>
        <v>0</v>
      </c>
      <c r="E55" s="316" t="n">
        <f aca="false">IFERROR(D55/D$19,0)</f>
        <v>0</v>
      </c>
      <c r="F55" s="317" t="n">
        <f aca="false">IFERROR(D55/D$8,0)</f>
        <v>0</v>
      </c>
      <c r="G55" s="318" t="n">
        <f aca="false">IFERROR(D55/D$7,0)</f>
        <v>0</v>
      </c>
      <c r="H55" s="498" t="n">
        <f aca="false">H53-H54</f>
        <v>0</v>
      </c>
      <c r="I55" s="316" t="n">
        <f aca="false">IFERROR(H55/H$19,0)</f>
        <v>0</v>
      </c>
      <c r="J55" s="317" t="n">
        <f aca="false">IFERROR(H55/H$8,0)</f>
        <v>0</v>
      </c>
      <c r="K55" s="318" t="n">
        <f aca="false">IFERROR(H55/H$7,0)</f>
        <v>0</v>
      </c>
      <c r="L55" s="498" t="n">
        <f aca="false">L53-L54</f>
        <v>0</v>
      </c>
      <c r="M55" s="316" t="n">
        <f aca="false">IFERROR(L55/L$19,0)</f>
        <v>0</v>
      </c>
      <c r="N55" s="317" t="n">
        <f aca="false">IFERROR(L55/L$8,0)</f>
        <v>0</v>
      </c>
      <c r="O55" s="318" t="n">
        <f aca="false">IFERROR(L55/L$7,0)</f>
        <v>0</v>
      </c>
      <c r="P55" s="498" t="n">
        <f aca="false">P53-P54</f>
        <v>0</v>
      </c>
      <c r="Q55" s="316" t="n">
        <f aca="false">IFERROR(P55/P$19,0)</f>
        <v>0</v>
      </c>
      <c r="R55" s="317" t="n">
        <f aca="false">IFERROR(P55/P$8,0)</f>
        <v>0</v>
      </c>
      <c r="S55" s="318" t="n">
        <f aca="false">IFERROR(P55/P$7,0)</f>
        <v>0</v>
      </c>
      <c r="T55" s="498" t="n">
        <f aca="false">T53-T54</f>
        <v>0</v>
      </c>
      <c r="U55" s="316" t="n">
        <f aca="false">IFERROR(T55/T$19,0)</f>
        <v>0</v>
      </c>
      <c r="V55" s="317" t="n">
        <f aca="false">IFERROR(T55/T$8,0)</f>
        <v>0</v>
      </c>
      <c r="W55" s="318" t="n">
        <f aca="false">IFERROR(T55/T$7,0)</f>
        <v>0</v>
      </c>
      <c r="X55" s="498" t="n">
        <f aca="false">X53-X54</f>
        <v>0</v>
      </c>
      <c r="Y55" s="316" t="n">
        <f aca="false">IFERROR(X55/X$19,0)</f>
        <v>0</v>
      </c>
      <c r="Z55" s="317" t="n">
        <f aca="false">IFERROR(X55/X$8,0)</f>
        <v>0</v>
      </c>
      <c r="AA55" s="318" t="n">
        <f aca="false">IFERROR(X55/X$7,0)</f>
        <v>0</v>
      </c>
      <c r="AB55" s="498" t="n">
        <f aca="false">AB53-AB54</f>
        <v>0</v>
      </c>
      <c r="AC55" s="316" t="n">
        <f aca="false">IFERROR(AB55/AB$19,0)</f>
        <v>0</v>
      </c>
      <c r="AD55" s="317" t="n">
        <f aca="false">IFERROR(AB55/AB$8,0)</f>
        <v>0</v>
      </c>
      <c r="AE55" s="318" t="n">
        <f aca="false">IFERROR(AB55/AB$7,0)</f>
        <v>0</v>
      </c>
      <c r="AF55" s="498" t="n">
        <f aca="false">AF53-AF54</f>
        <v>0</v>
      </c>
      <c r="AG55" s="316" t="n">
        <f aca="false">IFERROR(AF55/AF$19,0)</f>
        <v>0</v>
      </c>
      <c r="AH55" s="317" t="n">
        <f aca="false">IFERROR(AF55/AF$8,0)</f>
        <v>0</v>
      </c>
      <c r="AI55" s="318" t="n">
        <f aca="false">IFERROR(AF55/AF$7,0)</f>
        <v>0</v>
      </c>
      <c r="AJ55" s="498" t="n">
        <f aca="false">AJ53-AJ54</f>
        <v>0</v>
      </c>
      <c r="AK55" s="316" t="n">
        <f aca="false">IFERROR(AJ55/AJ$19,0)</f>
        <v>0</v>
      </c>
      <c r="AL55" s="317" t="n">
        <f aca="false">IFERROR(AJ55/AJ$8,0)</f>
        <v>0</v>
      </c>
      <c r="AM55" s="318" t="n">
        <f aca="false">IFERROR(AJ55/AJ$7,0)</f>
        <v>0</v>
      </c>
      <c r="AN55" s="492" t="n">
        <f aca="false">AN53-AN54</f>
        <v>0</v>
      </c>
      <c r="AO55" s="493" t="n">
        <f aca="false">IFERROR(AN55/AN$19,0)</f>
        <v>0</v>
      </c>
      <c r="AP55" s="494" t="n">
        <f aca="false">IFERROR(AN55/AN$8,0)</f>
        <v>0</v>
      </c>
      <c r="AQ55" s="495" t="n">
        <f aca="false">IFERROR(AN55/AN$7,0)</f>
        <v>0</v>
      </c>
    </row>
    <row r="56" customFormat="false" ht="14.25" hidden="false" customHeight="true" outlineLevel="0" collapsed="false">
      <c r="C56" s="320" t="s">
        <v>174</v>
      </c>
      <c r="D56" s="499" t="s">
        <v>63</v>
      </c>
      <c r="E56" s="499"/>
      <c r="F56" s="499"/>
      <c r="G56" s="500"/>
      <c r="H56" s="499" t="s">
        <v>63</v>
      </c>
      <c r="I56" s="499"/>
      <c r="J56" s="499"/>
      <c r="K56" s="500"/>
      <c r="L56" s="499" t="s">
        <v>63</v>
      </c>
      <c r="M56" s="499"/>
      <c r="N56" s="499"/>
      <c r="O56" s="500"/>
      <c r="P56" s="499" t="s">
        <v>63</v>
      </c>
      <c r="Q56" s="499"/>
      <c r="R56" s="499"/>
      <c r="S56" s="500"/>
      <c r="T56" s="499" t="s">
        <v>63</v>
      </c>
      <c r="U56" s="499"/>
      <c r="V56" s="499"/>
      <c r="W56" s="500"/>
      <c r="X56" s="499" t="s">
        <v>63</v>
      </c>
      <c r="Y56" s="499"/>
      <c r="Z56" s="499"/>
      <c r="AA56" s="500"/>
      <c r="AB56" s="499" t="s">
        <v>63</v>
      </c>
      <c r="AC56" s="499"/>
      <c r="AD56" s="499"/>
      <c r="AE56" s="500"/>
      <c r="AF56" s="499" t="s">
        <v>63</v>
      </c>
      <c r="AG56" s="499"/>
      <c r="AH56" s="499"/>
      <c r="AI56" s="500"/>
      <c r="AJ56" s="499" t="s">
        <v>63</v>
      </c>
      <c r="AK56" s="499"/>
      <c r="AL56" s="499"/>
      <c r="AM56" s="500"/>
      <c r="AN56" s="501" t="n">
        <f aca="false">SUMIFS('UW Drivers'!$AA$9:$AA$38,'UW Drivers'!$D$9:$D$38,$C$3)</f>
        <v>0</v>
      </c>
      <c r="AO56" s="501"/>
      <c r="AP56" s="501"/>
      <c r="AQ56" s="501"/>
      <c r="AS56" s="333"/>
    </row>
    <row r="57" customFormat="false" ht="14.25" hidden="false" customHeight="true" outlineLevel="0" collapsed="false">
      <c r="C57" s="334" t="s">
        <v>217</v>
      </c>
      <c r="D57" s="335" t="s">
        <v>63</v>
      </c>
      <c r="E57" s="336"/>
      <c r="F57" s="337" t="s">
        <v>63</v>
      </c>
      <c r="G57" s="338"/>
      <c r="H57" s="335" t="s">
        <v>63</v>
      </c>
      <c r="I57" s="336"/>
      <c r="J57" s="337" t="s">
        <v>63</v>
      </c>
      <c r="K57" s="338"/>
      <c r="L57" s="335" t="s">
        <v>63</v>
      </c>
      <c r="M57" s="336"/>
      <c r="N57" s="337" t="s">
        <v>63</v>
      </c>
      <c r="O57" s="338"/>
      <c r="P57" s="335" t="s">
        <v>63</v>
      </c>
      <c r="Q57" s="336"/>
      <c r="R57" s="337" t="s">
        <v>63</v>
      </c>
      <c r="S57" s="338"/>
      <c r="T57" s="335" t="s">
        <v>63</v>
      </c>
      <c r="U57" s="336"/>
      <c r="V57" s="337" t="s">
        <v>63</v>
      </c>
      <c r="W57" s="338"/>
      <c r="X57" s="335" t="s">
        <v>63</v>
      </c>
      <c r="Y57" s="336"/>
      <c r="Z57" s="337" t="s">
        <v>63</v>
      </c>
      <c r="AA57" s="338"/>
      <c r="AB57" s="335" t="s">
        <v>63</v>
      </c>
      <c r="AC57" s="336"/>
      <c r="AD57" s="337" t="s">
        <v>63</v>
      </c>
      <c r="AE57" s="338"/>
      <c r="AF57" s="335" t="s">
        <v>63</v>
      </c>
      <c r="AG57" s="336"/>
      <c r="AH57" s="337" t="s">
        <v>63</v>
      </c>
      <c r="AI57" s="338"/>
      <c r="AJ57" s="335" t="s">
        <v>63</v>
      </c>
      <c r="AK57" s="336"/>
      <c r="AL57" s="337" t="s">
        <v>63</v>
      </c>
      <c r="AM57" s="338"/>
      <c r="AN57" s="502" t="n">
        <f aca="false">IFERROR(ROUND(AN55/AN56,-4),0)</f>
        <v>0</v>
      </c>
      <c r="AO57" s="502"/>
      <c r="AP57" s="503" t="n">
        <f aca="false">IFERROR(AN57/$AN$6,0)</f>
        <v>0</v>
      </c>
      <c r="AQ57" s="503"/>
    </row>
    <row r="58" customFormat="false" ht="14.25" hidden="false" customHeight="true" outlineLevel="0" collapsed="false">
      <c r="C58" s="504" t="s">
        <v>218</v>
      </c>
      <c r="D58" s="272"/>
      <c r="E58" s="505"/>
      <c r="F58" s="506"/>
      <c r="G58" s="506"/>
      <c r="H58" s="507"/>
      <c r="I58" s="505"/>
      <c r="J58" s="506"/>
      <c r="K58" s="506"/>
      <c r="L58" s="507"/>
      <c r="M58" s="508"/>
      <c r="N58" s="509"/>
      <c r="O58" s="510"/>
      <c r="P58" s="272"/>
      <c r="Q58" s="505"/>
      <c r="R58" s="506"/>
      <c r="S58" s="506"/>
      <c r="T58" s="507"/>
      <c r="U58" s="505"/>
      <c r="V58" s="506"/>
      <c r="W58" s="506"/>
      <c r="X58" s="507"/>
      <c r="Y58" s="505"/>
      <c r="Z58" s="506"/>
      <c r="AA58" s="506"/>
      <c r="AB58" s="507"/>
      <c r="AC58" s="505"/>
      <c r="AD58" s="506"/>
      <c r="AE58" s="506"/>
      <c r="AF58" s="507"/>
      <c r="AG58" s="505"/>
      <c r="AH58" s="506"/>
      <c r="AI58" s="506"/>
      <c r="AJ58" s="507"/>
      <c r="AK58" s="505"/>
      <c r="AL58" s="506"/>
      <c r="AM58" s="506"/>
      <c r="AN58" s="496" t="n">
        <f aca="false">SUMIFS('UW Drivers'!$AC$9:$AC$38,'UW Drivers'!$D$9:$D$38,$C$3)*$AN$6</f>
        <v>0</v>
      </c>
      <c r="AO58" s="496"/>
      <c r="AP58" s="511" t="n">
        <f aca="false">IFERROR(AN58/$AN$6,0)</f>
        <v>0</v>
      </c>
      <c r="AQ58" s="511"/>
    </row>
    <row r="59" customFormat="false" ht="14.25" hidden="false" customHeight="true" outlineLevel="0" collapsed="false">
      <c r="C59" s="340" t="s">
        <v>177</v>
      </c>
      <c r="D59" s="335" t="s">
        <v>63</v>
      </c>
      <c r="E59" s="336"/>
      <c r="F59" s="337" t="s">
        <v>63</v>
      </c>
      <c r="G59" s="338"/>
      <c r="H59" s="335" t="s">
        <v>63</v>
      </c>
      <c r="I59" s="336"/>
      <c r="J59" s="337" t="s">
        <v>63</v>
      </c>
      <c r="K59" s="338"/>
      <c r="L59" s="335" t="s">
        <v>63</v>
      </c>
      <c r="M59" s="336"/>
      <c r="N59" s="337" t="s">
        <v>63</v>
      </c>
      <c r="O59" s="338"/>
      <c r="P59" s="335" t="s">
        <v>63</v>
      </c>
      <c r="Q59" s="336"/>
      <c r="R59" s="337" t="s">
        <v>63</v>
      </c>
      <c r="S59" s="338"/>
      <c r="T59" s="335" t="s">
        <v>63</v>
      </c>
      <c r="U59" s="336"/>
      <c r="V59" s="337" t="s">
        <v>63</v>
      </c>
      <c r="W59" s="338"/>
      <c r="X59" s="335" t="s">
        <v>63</v>
      </c>
      <c r="Y59" s="336"/>
      <c r="Z59" s="337" t="s">
        <v>63</v>
      </c>
      <c r="AA59" s="338"/>
      <c r="AB59" s="335" t="s">
        <v>63</v>
      </c>
      <c r="AC59" s="336"/>
      <c r="AD59" s="337" t="s">
        <v>63</v>
      </c>
      <c r="AE59" s="338"/>
      <c r="AF59" s="335" t="s">
        <v>63</v>
      </c>
      <c r="AG59" s="336"/>
      <c r="AH59" s="337" t="s">
        <v>63</v>
      </c>
      <c r="AI59" s="338"/>
      <c r="AJ59" s="335" t="s">
        <v>63</v>
      </c>
      <c r="AK59" s="336"/>
      <c r="AL59" s="337" t="s">
        <v>63</v>
      </c>
      <c r="AM59" s="338"/>
      <c r="AN59" s="502" t="n">
        <f aca="false">AN57-AN58</f>
        <v>0</v>
      </c>
      <c r="AO59" s="502"/>
      <c r="AP59" s="503" t="n">
        <f aca="false">IFERROR(AN59/$AN$6,0)</f>
        <v>0</v>
      </c>
      <c r="AQ59" s="503"/>
    </row>
    <row r="60" customFormat="false" ht="15" hidden="false" customHeight="true" outlineLevel="0" collapsed="false">
      <c r="C60" s="512"/>
    </row>
    <row r="61" customFormat="false" ht="14.25" hidden="false" customHeight="true" outlineLevel="0" collapsed="false">
      <c r="C61" s="513"/>
      <c r="D61" s="514"/>
      <c r="E61" s="358"/>
      <c r="F61" s="358"/>
      <c r="G61" s="358"/>
      <c r="H61" s="514"/>
      <c r="I61" s="358"/>
      <c r="J61" s="358"/>
      <c r="K61" s="358"/>
      <c r="L61" s="514"/>
      <c r="P61" s="515"/>
      <c r="AJ61" s="515"/>
    </row>
    <row r="62" customFormat="false" ht="14.25" hidden="false" customHeight="true" outlineLevel="0" collapsed="false">
      <c r="AN62" s="355"/>
    </row>
    <row r="63" customFormat="false" ht="14.25" hidden="false" customHeight="true" outlineLevel="0" collapsed="false">
      <c r="D63" s="252"/>
      <c r="H63" s="252"/>
      <c r="L63" s="252"/>
      <c r="P63" s="252"/>
      <c r="AJ63" s="252"/>
      <c r="AN63" s="356"/>
    </row>
    <row r="64" customFormat="false" ht="14.25" hidden="false" customHeight="true" outlineLevel="0" collapsed="false">
      <c r="C64" s="216" t="s">
        <v>182</v>
      </c>
      <c r="D64" s="357" t="n">
        <f aca="false">IFERROR(INDEX(Tape!$T$7:$ME$36,MATCH($C$3,Tape!$C$7:$C$36,0),MATCH($C64&amp;"+"&amp;D$5,Tape!$T$1:$ME$1,0)),0)</f>
        <v>0</v>
      </c>
      <c r="H64" s="357" t="n">
        <f aca="false">IFERROR(INDEX(Tape!$T$7:$ME$36,MATCH($C$3,Tape!$C$7:$C$36,0),MATCH($C64&amp;"+"&amp;H$5,Tape!$T$1:$ME$1,0)),0)</f>
        <v>0</v>
      </c>
      <c r="L64" s="357" t="n">
        <f aca="false">IFERROR(INDEX(Tape!$T$7:$ME$36,MATCH($C$3,Tape!$C$7:$C$36,0),MATCH($C64&amp;"+"&amp;L$5,Tape!$T$1:$ME$1,0)),0)</f>
        <v>0</v>
      </c>
      <c r="P64" s="357" t="n">
        <f aca="false">IFERROR(INDEX(Tape!$T$7:$ME$36,MATCH($C$3,Tape!$C$7:$C$36,0),MATCH($C64&amp;"+"&amp;P$5,Tape!$T$1:$ME$1,0)),0)</f>
        <v>0</v>
      </c>
      <c r="T64" s="357" t="n">
        <f aca="false">IFERROR(INDEX(Tape!$T$7:$ME$36,MATCH($C$3,Tape!$C$7:$C$36,0),MATCH($C64&amp;"+"&amp;T$5,Tape!$T$1:$ME$1,0)),0)</f>
        <v>0</v>
      </c>
      <c r="X64" s="357" t="n">
        <f aca="false">IFERROR(INDEX(Tape!$T$7:$ME$36,MATCH($C$3,Tape!$C$7:$C$36,0),MATCH($C64&amp;"+"&amp;X$5,Tape!$T$1:$ME$1,0)),0)</f>
        <v>0</v>
      </c>
      <c r="AB64" s="357" t="n">
        <f aca="false">IFERROR(INDEX(Tape!$T$7:$ME$36,MATCH($C$3,Tape!$C$7:$C$36,0),MATCH($C64&amp;"+"&amp;AB$5,Tape!$T$1:$ME$1,0)),0)</f>
        <v>0</v>
      </c>
      <c r="AF64" s="357" t="n">
        <f aca="false">IFERROR(INDEX(Tape!$T$7:$ME$36,MATCH($C$3,Tape!$C$7:$C$36,0),MATCH($C64&amp;"+"&amp;AF$5,Tape!$T$1:$ME$1,0)),0)</f>
        <v>0</v>
      </c>
      <c r="AJ64" s="357" t="n">
        <f aca="false">IFERROR(INDEX(Tape!$T$7:$ME$36,MATCH($C$3,Tape!$C$7:$C$36,0),MATCH($C64&amp;"+"&amp;AJ$5,Tape!$T$1:$ME$1,0)),0)</f>
        <v>0</v>
      </c>
      <c r="AO64" s="355"/>
      <c r="AP64" s="358"/>
    </row>
    <row r="65" customFormat="false" ht="14.25" hidden="false" customHeight="true" outlineLevel="0" collapsed="false">
      <c r="C65" s="216" t="s">
        <v>183</v>
      </c>
      <c r="D65" s="357" t="n">
        <f aca="false">IFERROR(INDEX(Tape!$T$7:$ME$36,MATCH($C$3,Tape!$C$7:$C$36,0),MATCH($C65&amp;"+"&amp;D$5,Tape!$T$1:$ME$1,0)),0)</f>
        <v>0</v>
      </c>
      <c r="H65" s="357" t="n">
        <f aca="false">IFERROR(INDEX(Tape!$T$7:$ME$36,MATCH($C$3,Tape!$C$7:$C$36,0),MATCH($C65&amp;"+"&amp;H$5,Tape!$T$1:$ME$1,0)),0)</f>
        <v>0</v>
      </c>
      <c r="L65" s="357" t="n">
        <f aca="false">IFERROR(INDEX(Tape!$T$7:$ME$36,MATCH($C$3,Tape!$C$7:$C$36,0),MATCH($C65&amp;"+"&amp;L$5,Tape!$T$1:$ME$1,0)),0)</f>
        <v>0</v>
      </c>
      <c r="P65" s="357" t="n">
        <f aca="false">IFERROR(INDEX(Tape!$T$7:$ME$36,MATCH($C$3,Tape!$C$7:$C$36,0),MATCH($C65&amp;"+"&amp;P$5,Tape!$T$1:$ME$1,0)),0)</f>
        <v>0</v>
      </c>
      <c r="T65" s="357" t="n">
        <f aca="false">IFERROR(INDEX(Tape!$T$7:$ME$36,MATCH($C$3,Tape!$C$7:$C$36,0),MATCH($C65&amp;"+"&amp;T$5,Tape!$T$1:$ME$1,0)),0)</f>
        <v>0</v>
      </c>
      <c r="X65" s="357" t="n">
        <f aca="false">IFERROR(INDEX(Tape!$T$7:$ME$36,MATCH($C$3,Tape!$C$7:$C$36,0),MATCH($C65&amp;"+"&amp;X$5,Tape!$T$1:$ME$1,0)),0)</f>
        <v>0</v>
      </c>
      <c r="AB65" s="357" t="n">
        <f aca="false">IFERROR(INDEX(Tape!$T$7:$ME$36,MATCH($C$3,Tape!$C$7:$C$36,0),MATCH($C65&amp;"+"&amp;AB$5,Tape!$T$1:$ME$1,0)),0)</f>
        <v>0</v>
      </c>
      <c r="AF65" s="357" t="n">
        <f aca="false">IFERROR(INDEX(Tape!$T$7:$ME$36,MATCH($C$3,Tape!$C$7:$C$36,0),MATCH($C65&amp;"+"&amp;AF$5,Tape!$T$1:$ME$1,0)),0)</f>
        <v>0</v>
      </c>
      <c r="AJ65" s="357" t="n">
        <f aca="false">IFERROR(INDEX(Tape!$T$7:$ME$36,MATCH($C$3,Tape!$C$7:$C$36,0),MATCH($C65&amp;"+"&amp;AJ$5,Tape!$T$1:$ME$1,0)),0)</f>
        <v>0</v>
      </c>
      <c r="AO65" s="355"/>
      <c r="AP65" s="358"/>
    </row>
    <row r="66" customFormat="false" ht="14.25" hidden="false" customHeight="true" outlineLevel="0" collapsed="false">
      <c r="C66" s="216" t="s">
        <v>184</v>
      </c>
      <c r="D66" s="359" t="b">
        <f aca="false">SUM(D64:D65)=D55</f>
        <v>1</v>
      </c>
      <c r="H66" s="359" t="b">
        <f aca="false">SUM(H64:H65)=H55</f>
        <v>1</v>
      </c>
      <c r="L66" s="359" t="b">
        <f aca="false">SUM(L64:L65)=L55</f>
        <v>1</v>
      </c>
      <c r="P66" s="359" t="b">
        <f aca="false">SUM(P64:P65)=P55</f>
        <v>1</v>
      </c>
      <c r="T66" s="359" t="b">
        <f aca="false">SUM(T64:T65)=T55</f>
        <v>1</v>
      </c>
      <c r="X66" s="359" t="b">
        <f aca="false">SUM(X64:X65)=X55</f>
        <v>1</v>
      </c>
      <c r="AB66" s="359" t="b">
        <f aca="false">SUM(AB64:AB65)=AB55</f>
        <v>1</v>
      </c>
      <c r="AF66" s="359" t="b">
        <f aca="false">SUM(AF64:AF65)=AF55</f>
        <v>1</v>
      </c>
      <c r="AJ66" s="359" t="b">
        <f aca="false">SUM(AJ64:AJ65)=AJ55</f>
        <v>1</v>
      </c>
      <c r="AO66" s="355"/>
      <c r="AP66" s="358"/>
    </row>
    <row r="67" customFormat="false" ht="14.25" hidden="false" customHeight="true" outlineLevel="0" collapsed="false">
      <c r="L67" s="360"/>
      <c r="P67" s="356"/>
      <c r="AF67" s="356"/>
      <c r="AO67" s="355"/>
      <c r="AP67" s="358"/>
    </row>
    <row r="68" customFormat="false" ht="14.25" hidden="false" customHeight="true" outlineLevel="0" collapsed="false">
      <c r="AF68" s="361"/>
      <c r="AG68" s="362"/>
      <c r="AH68" s="362"/>
      <c r="AI68" s="362"/>
      <c r="AJ68" s="362"/>
      <c r="AK68" s="362"/>
      <c r="AL68" s="362"/>
      <c r="AO68" s="355"/>
      <c r="AP68" s="358"/>
    </row>
    <row r="69" customFormat="false" ht="14.25" hidden="false" customHeight="true" outlineLevel="0" collapsed="false">
      <c r="AF69" s="363"/>
      <c r="AG69" s="364"/>
      <c r="AH69" s="365"/>
      <c r="AI69" s="365"/>
      <c r="AJ69" s="365"/>
      <c r="AK69" s="365"/>
      <c r="AL69" s="365"/>
      <c r="AN69" s="366"/>
      <c r="AO69" s="367"/>
      <c r="AP69" s="368"/>
    </row>
    <row r="70" customFormat="false" ht="14.25" hidden="false" customHeight="true" outlineLevel="0" collapsed="false">
      <c r="AF70" s="369"/>
      <c r="AG70" s="370"/>
      <c r="AH70" s="370"/>
      <c r="AI70" s="370"/>
      <c r="AJ70" s="370"/>
      <c r="AK70" s="370"/>
      <c r="AL70" s="371"/>
      <c r="AN70" s="294"/>
      <c r="AO70" s="355"/>
      <c r="AP70" s="358"/>
    </row>
    <row r="71" customFormat="false" ht="14.25" hidden="false" customHeight="true" outlineLevel="0" collapsed="false">
      <c r="AF71" s="369"/>
      <c r="AG71" s="372"/>
      <c r="AH71" s="373"/>
      <c r="AI71" s="373"/>
      <c r="AJ71" s="373"/>
      <c r="AK71" s="373"/>
      <c r="AL71" s="373"/>
      <c r="AN71" s="374"/>
      <c r="AO71" s="355"/>
      <c r="AP71" s="358"/>
    </row>
    <row r="72" customFormat="false" ht="14.25" hidden="false" customHeight="true" outlineLevel="0" collapsed="false">
      <c r="AF72" s="369"/>
      <c r="AG72" s="375"/>
      <c r="AH72" s="376"/>
      <c r="AI72" s="376"/>
      <c r="AJ72" s="376"/>
      <c r="AK72" s="376"/>
      <c r="AL72" s="377"/>
      <c r="AN72" s="378"/>
      <c r="AO72" s="355"/>
      <c r="AP72" s="358"/>
    </row>
    <row r="73" customFormat="false" ht="14.25" hidden="false" customHeight="true" outlineLevel="0" collapsed="false">
      <c r="AF73" s="369"/>
      <c r="AG73" s="379"/>
      <c r="AH73" s="376"/>
      <c r="AI73" s="376"/>
      <c r="AJ73" s="376"/>
      <c r="AK73" s="376"/>
      <c r="AL73" s="376"/>
    </row>
    <row r="74" customFormat="false" ht="14.25" hidden="false" customHeight="true" outlineLevel="0" collapsed="false">
      <c r="AF74" s="369"/>
      <c r="AG74" s="379"/>
      <c r="AH74" s="376"/>
      <c r="AI74" s="376"/>
      <c r="AJ74" s="376"/>
      <c r="AK74" s="376"/>
      <c r="AL74" s="376"/>
    </row>
    <row r="75" customFormat="false" ht="14.25" hidden="false" customHeight="true" outlineLevel="0" collapsed="false">
      <c r="AN75" s="294"/>
    </row>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sheetData>
  <mergeCells count="77">
    <mergeCell ref="D5:G5"/>
    <mergeCell ref="H5:K5"/>
    <mergeCell ref="L5:O5"/>
    <mergeCell ref="P5:S5"/>
    <mergeCell ref="T5:W5"/>
    <mergeCell ref="X5:AA5"/>
    <mergeCell ref="AB5:AE5"/>
    <mergeCell ref="AF5:AI5"/>
    <mergeCell ref="AJ5:AM5"/>
    <mergeCell ref="AN5:AQ5"/>
    <mergeCell ref="D6:G6"/>
    <mergeCell ref="H6:K6"/>
    <mergeCell ref="L6:O6"/>
    <mergeCell ref="P6:S6"/>
    <mergeCell ref="T6:W6"/>
    <mergeCell ref="X6:AA6"/>
    <mergeCell ref="AB6:AE6"/>
    <mergeCell ref="AF6:AI6"/>
    <mergeCell ref="AJ6:AM6"/>
    <mergeCell ref="AN6:AQ6"/>
    <mergeCell ref="D7:G7"/>
    <mergeCell ref="H7:K7"/>
    <mergeCell ref="L7:O7"/>
    <mergeCell ref="P7:S7"/>
    <mergeCell ref="T7:W7"/>
    <mergeCell ref="X7:AA7"/>
    <mergeCell ref="AB7:AE7"/>
    <mergeCell ref="AF7:AI7"/>
    <mergeCell ref="AJ7:AM7"/>
    <mergeCell ref="AN7:AQ7"/>
    <mergeCell ref="D8:G8"/>
    <mergeCell ref="H8:K8"/>
    <mergeCell ref="L8:O8"/>
    <mergeCell ref="P8:S8"/>
    <mergeCell ref="T8:W8"/>
    <mergeCell ref="X8:AA8"/>
    <mergeCell ref="AB8:AE8"/>
    <mergeCell ref="AF8:AI8"/>
    <mergeCell ref="AJ8:AM8"/>
    <mergeCell ref="AN8:AQ8"/>
    <mergeCell ref="D9:G9"/>
    <mergeCell ref="H9:K9"/>
    <mergeCell ref="L9:O9"/>
    <mergeCell ref="P9:S9"/>
    <mergeCell ref="T9:W9"/>
    <mergeCell ref="X9:AA9"/>
    <mergeCell ref="AB9:AE9"/>
    <mergeCell ref="AF9:AI9"/>
    <mergeCell ref="AJ9:AM9"/>
    <mergeCell ref="AN9:AQ9"/>
    <mergeCell ref="D10:G10"/>
    <mergeCell ref="H10:K10"/>
    <mergeCell ref="L10:O10"/>
    <mergeCell ref="P10:S10"/>
    <mergeCell ref="T10:W10"/>
    <mergeCell ref="X10:AA10"/>
    <mergeCell ref="AB10:AE10"/>
    <mergeCell ref="AF10:AI10"/>
    <mergeCell ref="AJ10:AM10"/>
    <mergeCell ref="AN10:AQ10"/>
    <mergeCell ref="D11:G11"/>
    <mergeCell ref="H11:K11"/>
    <mergeCell ref="L11:O11"/>
    <mergeCell ref="P11:S11"/>
    <mergeCell ref="T11:W11"/>
    <mergeCell ref="X11:AA11"/>
    <mergeCell ref="AB11:AE11"/>
    <mergeCell ref="AF11:AI11"/>
    <mergeCell ref="AJ11:AM11"/>
    <mergeCell ref="AN11:AQ11"/>
    <mergeCell ref="AN56:AQ56"/>
    <mergeCell ref="AN57:AO57"/>
    <mergeCell ref="AP57:AQ57"/>
    <mergeCell ref="AN58:AO58"/>
    <mergeCell ref="AP58:AQ58"/>
    <mergeCell ref="AN59:AO59"/>
    <mergeCell ref="AP59:AQ59"/>
  </mergeCells>
  <printOptions headings="false" gridLines="false" gridLinesSet="true" horizontalCentered="false" verticalCentered="false"/>
  <pageMargins left="0.7" right="0.7" top="0.75" bottom="0.75" header="0.511811023622047" footer="0.511811023622047"/>
  <pageSetup paperSize="1" scale="1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AF7"/>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F2F2"/>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F2F2"/>
    <pageSetUpPr fitToPage="false"/>
  </sheetPr>
  <dimension ref="A1:ME58"/>
  <sheetViews>
    <sheetView showFormulas="false" showGridLines="false" showRowColHeaders="true" showZeros="true" rightToLeft="false" tabSelected="false" showOutlineSymbols="true" defaultGridColor="true" view="normal" topLeftCell="A1" colorId="64" zoomScale="160" zoomScaleNormal="16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D7" activeCellId="0" sqref="D7"/>
    </sheetView>
  </sheetViews>
  <sheetFormatPr defaultColWidth="15" defaultRowHeight="9.75" zeroHeight="false" outlineLevelRow="0" outlineLevelCol="0"/>
  <cols>
    <col collapsed="false" customWidth="true" hidden="false" outlineLevel="0" max="1" min="1" style="516" width="7"/>
    <col collapsed="false" customWidth="true" hidden="false" outlineLevel="0" max="2" min="2" style="516" width="4.46"/>
    <col collapsed="false" customWidth="true" hidden="false" outlineLevel="0" max="3" min="3" style="516" width="40"/>
    <col collapsed="false" customWidth="true" hidden="false" outlineLevel="0" max="4" min="4" style="517" width="24"/>
    <col collapsed="false" customWidth="true" hidden="false" outlineLevel="0" max="5" min="5" style="517" width="10.27"/>
    <col collapsed="false" customWidth="true" hidden="false" outlineLevel="0" max="6" min="6" style="517" width="5.73"/>
    <col collapsed="false" customWidth="true" hidden="false" outlineLevel="0" max="7" min="7" style="517" width="9"/>
    <col collapsed="false" customWidth="true" hidden="false" outlineLevel="0" max="8" min="8" style="517" width="26.46"/>
    <col collapsed="false" customWidth="true" hidden="false" outlineLevel="0" max="9" min="9" style="517" width="25"/>
    <col collapsed="false" customWidth="true" hidden="false" outlineLevel="0" max="10" min="10" style="517" width="26.2"/>
    <col collapsed="false" customWidth="true" hidden="false" outlineLevel="0" max="11" min="11" style="517" width="13.8"/>
    <col collapsed="false" customWidth="true" hidden="false" outlineLevel="0" max="12" min="12" style="517" width="16.73"/>
    <col collapsed="false" customWidth="true" hidden="false" outlineLevel="0" max="13" min="13" style="517" width="8.27"/>
    <col collapsed="false" customWidth="true" hidden="false" outlineLevel="0" max="14" min="14" style="517" width="6.53"/>
    <col collapsed="false" customWidth="true" hidden="false" outlineLevel="0" max="15" min="15" style="517" width="9.27"/>
    <col collapsed="false" customWidth="true" hidden="false" outlineLevel="0" max="16" min="16" style="517" width="28"/>
    <col collapsed="false" customWidth="true" hidden="false" outlineLevel="0" max="17" min="17" style="517" width="19"/>
    <col collapsed="false" customWidth="true" hidden="false" outlineLevel="0" max="18" min="18" style="517" width="9.27"/>
    <col collapsed="false" customWidth="true" hidden="false" outlineLevel="0" max="19" min="19" style="517" width="9"/>
    <col collapsed="false" customWidth="true" hidden="false" outlineLevel="0" max="35" min="20" style="517" width="17"/>
    <col collapsed="false" customWidth="true" hidden="false" outlineLevel="0" max="43" min="36" style="517" width="14.53"/>
    <col collapsed="false" customWidth="true" hidden="false" outlineLevel="0" max="59" min="44" style="517" width="11.27"/>
    <col collapsed="false" customWidth="true" hidden="false" outlineLevel="0" max="243" min="60" style="517" width="15.47"/>
    <col collapsed="false" customWidth="true" hidden="false" outlineLevel="0" max="247" min="244" style="517" width="14.2"/>
    <col collapsed="false" customWidth="true" hidden="false" outlineLevel="0" max="248" min="248" style="517" width="20"/>
    <col collapsed="false" customWidth="true" hidden="false" outlineLevel="0" max="251" min="249" style="517" width="14.2"/>
    <col collapsed="false" customWidth="true" hidden="false" outlineLevel="0" max="343" min="252" style="517" width="15.47"/>
    <col collapsed="false" customWidth="false" hidden="false" outlineLevel="0" max="16384" min="344" style="516" width="15"/>
  </cols>
  <sheetData>
    <row r="1" s="519" customFormat="true" ht="9.75" hidden="false" customHeight="false" outlineLevel="0" collapsed="false">
      <c r="A1" s="518" t="s">
        <v>22</v>
      </c>
      <c r="B1" s="518"/>
      <c r="D1" s="520"/>
      <c r="E1" s="520"/>
      <c r="F1" s="520"/>
      <c r="G1" s="520"/>
      <c r="H1" s="520"/>
      <c r="I1" s="520"/>
      <c r="J1" s="520"/>
      <c r="K1" s="520"/>
      <c r="L1" s="520"/>
      <c r="M1" s="520"/>
      <c r="N1" s="520"/>
      <c r="O1" s="520"/>
      <c r="P1" s="520"/>
      <c r="Q1" s="521"/>
      <c r="R1" s="521"/>
      <c r="S1" s="521"/>
      <c r="T1" s="522" t="str">
        <f aca="false">T2&amp;"+"&amp;T5</f>
        <v>ROOMS AVAILABLE+2019</v>
      </c>
      <c r="U1" s="522" t="str">
        <f aca="false">U2&amp;"+"&amp;U5</f>
        <v>ROOMS AVAILABLE+2021</v>
      </c>
      <c r="V1" s="522" t="str">
        <f aca="false">V2&amp;"+"&amp;V5</f>
        <v>ROOMS AVAILABLE+2022</v>
      </c>
      <c r="W1" s="522" t="str">
        <f aca="false">W2&amp;"+"&amp;W5</f>
        <v>ROOMS AVAILABLE+2023</v>
      </c>
      <c r="X1" s="522" t="str">
        <f aca="false">X2&amp;"+"&amp;X5</f>
        <v>ROOMS AVAILABLE+2024</v>
      </c>
      <c r="Y1" s="522" t="str">
        <f aca="false">Y2&amp;"+"&amp;Y5</f>
        <v>ROOMS AVAILABLE+2025</v>
      </c>
      <c r="Z1" s="522" t="str">
        <f aca="false">Z2&amp;"+"&amp;Z5</f>
        <v>ROOMS AVAILABLE+TTM</v>
      </c>
      <c r="AA1" s="522" t="str">
        <f aca="false">AA2&amp;"+"&amp;AA5</f>
        <v>ROOMS AVAILABLE+Reforecast</v>
      </c>
      <c r="AB1" s="522" t="str">
        <f aca="false">AB2&amp;"+"&amp;AB5</f>
        <v>ROOMS AVAILABLE+Lender UW</v>
      </c>
      <c r="AC1" s="522" t="str">
        <f aca="false">AC2&amp;"+"&amp;AC5</f>
        <v>ROOMS SOLD+2019</v>
      </c>
      <c r="AD1" s="522" t="str">
        <f aca="false">AD2&amp;"+"&amp;AD5</f>
        <v>ROOMS SOLD+2021</v>
      </c>
      <c r="AE1" s="522" t="str">
        <f aca="false">AE2&amp;"+"&amp;AE5</f>
        <v>ROOMS SOLD+2022</v>
      </c>
      <c r="AF1" s="522" t="str">
        <f aca="false">AF2&amp;"+"&amp;AF5</f>
        <v>ROOMS SOLD+2023</v>
      </c>
      <c r="AG1" s="522" t="str">
        <f aca="false">AG2&amp;"+"&amp;AG5</f>
        <v>ROOMS SOLD+2024</v>
      </c>
      <c r="AH1" s="522" t="str">
        <f aca="false">AH2&amp;"+"&amp;AH5</f>
        <v>ROOMS SOLD+2025</v>
      </c>
      <c r="AI1" s="522" t="str">
        <f aca="false">AI2&amp;"+"&amp;AI5</f>
        <v>ROOMS SOLD+TTM</v>
      </c>
      <c r="AJ1" s="522" t="str">
        <f aca="false">AJ2&amp;"+"&amp;AJ5</f>
        <v>ROOMS SOLD+Reforecast</v>
      </c>
      <c r="AK1" s="522" t="str">
        <f aca="false">AK2&amp;"+"&amp;AK5</f>
        <v>ROOMS SOLD+Lender UW</v>
      </c>
      <c r="AL1" s="522" t="str">
        <f aca="false">AL2&amp;"+"&amp;AL5</f>
        <v>OCCUPANCY+2019</v>
      </c>
      <c r="AM1" s="522" t="str">
        <f aca="false">AM2&amp;"+"&amp;AM5</f>
        <v>OCCUPANCY+2021</v>
      </c>
      <c r="AN1" s="522" t="str">
        <f aca="false">AN2&amp;"+"&amp;AN5</f>
        <v>OCCUPANCY+2022</v>
      </c>
      <c r="AO1" s="522" t="str">
        <f aca="false">AO2&amp;"+"&amp;AO5</f>
        <v>OCCUPANCY+2023</v>
      </c>
      <c r="AP1" s="522" t="str">
        <f aca="false">AP2&amp;"+"&amp;AP5</f>
        <v>OCCUPANCY+2024</v>
      </c>
      <c r="AQ1" s="522" t="str">
        <f aca="false">AQ2&amp;"+"&amp;AQ5</f>
        <v>OCCUPANCY+2025</v>
      </c>
      <c r="AR1" s="522" t="str">
        <f aca="false">AR2&amp;"+"&amp;AR5</f>
        <v>OCCUPANCY+TTM</v>
      </c>
      <c r="AS1" s="522" t="str">
        <f aca="false">AS2&amp;"+"&amp;AS5</f>
        <v>OCCUPANCY+Reforecast</v>
      </c>
      <c r="AT1" s="522" t="str">
        <f aca="false">AT2&amp;"+"&amp;AT5</f>
        <v>OCCUPANCY+Lender UW</v>
      </c>
      <c r="AU1" s="522" t="str">
        <f aca="false">AU2&amp;"+"&amp;AU5</f>
        <v>ADR+2019</v>
      </c>
      <c r="AV1" s="522" t="str">
        <f aca="false">AV2&amp;"+"&amp;AV5</f>
        <v>ADR+2021</v>
      </c>
      <c r="AW1" s="522" t="str">
        <f aca="false">AW2&amp;"+"&amp;AW5</f>
        <v>ADR+2022</v>
      </c>
      <c r="AX1" s="522" t="str">
        <f aca="false">AX2&amp;"+"&amp;AX5</f>
        <v>ADR+2023</v>
      </c>
      <c r="AY1" s="522" t="str">
        <f aca="false">AY2&amp;"+"&amp;AY5</f>
        <v>ADR+2024</v>
      </c>
      <c r="AZ1" s="522" t="str">
        <f aca="false">AZ2&amp;"+"&amp;AZ5</f>
        <v>ADR+2025</v>
      </c>
      <c r="BA1" s="522" t="str">
        <f aca="false">BA2&amp;"+"&amp;BA5</f>
        <v>ADR+TTM</v>
      </c>
      <c r="BB1" s="522" t="str">
        <f aca="false">BB2&amp;"+"&amp;BB5</f>
        <v>ADR+Reforecast</v>
      </c>
      <c r="BC1" s="522" t="str">
        <f aca="false">BC2&amp;"+"&amp;BC5</f>
        <v>ADR+Lender UW</v>
      </c>
      <c r="BD1" s="522" t="str">
        <f aca="false">BD2&amp;"+"&amp;BD5</f>
        <v>REVPAR+2019</v>
      </c>
      <c r="BE1" s="522" t="str">
        <f aca="false">BE2&amp;"+"&amp;BE5</f>
        <v>REVPAR+2021</v>
      </c>
      <c r="BF1" s="522" t="str">
        <f aca="false">BF2&amp;"+"&amp;BF5</f>
        <v>REVPAR+2022</v>
      </c>
      <c r="BG1" s="522" t="str">
        <f aca="false">BG2&amp;"+"&amp;BG5</f>
        <v>REVPAR+2023</v>
      </c>
      <c r="BH1" s="522" t="str">
        <f aca="false">BH2&amp;"+"&amp;BH5</f>
        <v>REVPAR+2024</v>
      </c>
      <c r="BI1" s="522" t="str">
        <f aca="false">BI2&amp;"+"&amp;BI5</f>
        <v>REVPAR+2025</v>
      </c>
      <c r="BJ1" s="522" t="str">
        <f aca="false">BJ2&amp;"+"&amp;BJ5</f>
        <v>REVPAR+TTM</v>
      </c>
      <c r="BK1" s="522" t="str">
        <f aca="false">BK2&amp;"+"&amp;BK5</f>
        <v>REVPAR+Reforecast</v>
      </c>
      <c r="BL1" s="522" t="str">
        <f aca="false">BL2&amp;"+"&amp;BL5</f>
        <v>REVPAR+Lender UW</v>
      </c>
      <c r="BM1" s="522" t="str">
        <f aca="false">BM2&amp;"+"&amp;BM5</f>
        <v>ROOMS REVENUE+2019</v>
      </c>
      <c r="BN1" s="522" t="str">
        <f aca="false">BN2&amp;"+"&amp;BN5</f>
        <v>ROOMS REVENUE+2021</v>
      </c>
      <c r="BO1" s="522" t="str">
        <f aca="false">BO2&amp;"+"&amp;BO5</f>
        <v>ROOMS REVENUE+2022</v>
      </c>
      <c r="BP1" s="522" t="str">
        <f aca="false">BP2&amp;"+"&amp;BP5</f>
        <v>ROOMS REVENUE+2023</v>
      </c>
      <c r="BQ1" s="522" t="str">
        <f aca="false">BQ2&amp;"+"&amp;BQ5</f>
        <v>ROOMS REVENUE+2024</v>
      </c>
      <c r="BR1" s="522" t="str">
        <f aca="false">BR2&amp;"+"&amp;BR5</f>
        <v>ROOMS REVENUE+2025</v>
      </c>
      <c r="BS1" s="522" t="str">
        <f aca="false">BS2&amp;"+"&amp;BS5</f>
        <v>ROOMS REVENUE+TTM</v>
      </c>
      <c r="BT1" s="522" t="str">
        <f aca="false">BT2&amp;"+"&amp;BT5</f>
        <v>ROOMS REVENUE+Reforecast</v>
      </c>
      <c r="BU1" s="522" t="str">
        <f aca="false">BU2&amp;"+"&amp;BU5</f>
        <v>ROOMS REVENUE+Lender UW</v>
      </c>
      <c r="BV1" s="522" t="str">
        <f aca="false">BV2&amp;"+"&amp;BV5</f>
        <v>FOOD &amp; BEVERAGE REVENUE+2019</v>
      </c>
      <c r="BW1" s="522" t="str">
        <f aca="false">BW2&amp;"+"&amp;BW5</f>
        <v>FOOD &amp; BEVERAGE REVENUE+2021</v>
      </c>
      <c r="BX1" s="522" t="str">
        <f aca="false">BX2&amp;"+"&amp;BX5</f>
        <v>FOOD &amp; BEVERAGE REVENUE+2022</v>
      </c>
      <c r="BY1" s="522" t="str">
        <f aca="false">BY2&amp;"+"&amp;BY5</f>
        <v>FOOD &amp; BEVERAGE REVENUE+2023</v>
      </c>
      <c r="BZ1" s="522" t="str">
        <f aca="false">BZ2&amp;"+"&amp;BZ5</f>
        <v>FOOD &amp; BEVERAGE REVENUE+2024</v>
      </c>
      <c r="CA1" s="522" t="str">
        <f aca="false">CA2&amp;"+"&amp;CA5</f>
        <v>FOOD &amp; BEVERAGE REVENUE+2025</v>
      </c>
      <c r="CB1" s="522" t="str">
        <f aca="false">CB2&amp;"+"&amp;CB5</f>
        <v>FOOD &amp; BEVERAGE REVENUE+TTM</v>
      </c>
      <c r="CC1" s="522" t="str">
        <f aca="false">CC2&amp;"+"&amp;CC5</f>
        <v>FOOD &amp; BEVERAGE REVENUE+Reforecast</v>
      </c>
      <c r="CD1" s="522" t="str">
        <f aca="false">CD2&amp;"+"&amp;CD5</f>
        <v>FOOD &amp; BEVERAGE REVENUE+Lender UW</v>
      </c>
      <c r="CE1" s="522" t="str">
        <f aca="false">CE2&amp;"+"&amp;CE5</f>
        <v>OTHER DEPARTMENTAL REVENUE+2019</v>
      </c>
      <c r="CF1" s="522" t="str">
        <f aca="false">CF2&amp;"+"&amp;CF5</f>
        <v>OTHER DEPARTMENTAL REVENUE+2021</v>
      </c>
      <c r="CG1" s="522" t="str">
        <f aca="false">CG2&amp;"+"&amp;CG5</f>
        <v>OTHER DEPARTMENTAL REVENUE+2022</v>
      </c>
      <c r="CH1" s="522" t="str">
        <f aca="false">CH2&amp;"+"&amp;CH5</f>
        <v>OTHER DEPARTMENTAL REVENUE+2023</v>
      </c>
      <c r="CI1" s="522" t="str">
        <f aca="false">CI2&amp;"+"&amp;CI5</f>
        <v>OTHER DEPARTMENTAL REVENUE+2024</v>
      </c>
      <c r="CJ1" s="522" t="str">
        <f aca="false">CJ2&amp;"+"&amp;CJ5</f>
        <v>OTHER DEPARTMENTAL REVENUE+2025</v>
      </c>
      <c r="CK1" s="522" t="str">
        <f aca="false">CK2&amp;"+"&amp;CK5</f>
        <v>OTHER DEPARTMENTAL REVENUE+TTM</v>
      </c>
      <c r="CL1" s="522" t="str">
        <f aca="false">CL2&amp;"+"&amp;CL5</f>
        <v>OTHER DEPARTMENTAL REVENUE+Reforecast</v>
      </c>
      <c r="CM1" s="522" t="str">
        <f aca="false">CM2&amp;"+"&amp;CM5</f>
        <v>OTHER DEPARTMENTAL REVENUE+Lender UW</v>
      </c>
      <c r="CN1" s="522" t="str">
        <f aca="false">CN2&amp;"+"&amp;CN5</f>
        <v>PARKING REVENUE+2019</v>
      </c>
      <c r="CO1" s="522" t="str">
        <f aca="false">CO2&amp;"+"&amp;CO5</f>
        <v>PARKING REVENUE+2021</v>
      </c>
      <c r="CP1" s="522" t="str">
        <f aca="false">CP2&amp;"+"&amp;CP5</f>
        <v>PARKING REVENUE+2022</v>
      </c>
      <c r="CQ1" s="522" t="str">
        <f aca="false">CQ2&amp;"+"&amp;CQ5</f>
        <v>PARKING REVENUE+2023</v>
      </c>
      <c r="CR1" s="522" t="str">
        <f aca="false">CR2&amp;"+"&amp;CR5</f>
        <v>PARKING REVENUE+2024</v>
      </c>
      <c r="CS1" s="522" t="str">
        <f aca="false">CS2&amp;"+"&amp;CS5</f>
        <v>PARKING REVENUE+2025</v>
      </c>
      <c r="CT1" s="522" t="str">
        <f aca="false">CT2&amp;"+"&amp;CT5</f>
        <v>PARKING REVENUE+TTM</v>
      </c>
      <c r="CU1" s="522" t="str">
        <f aca="false">CU2&amp;"+"&amp;CU5</f>
        <v>PARKING REVENUE+Reforecast</v>
      </c>
      <c r="CV1" s="522" t="str">
        <f aca="false">CV2&amp;"+"&amp;CV5</f>
        <v>PARKING REVENUE+Lender UW</v>
      </c>
      <c r="CW1" s="522" t="str">
        <f aca="false">CW2&amp;"+"&amp;CW5</f>
        <v>MISCELLANEOUS+2019</v>
      </c>
      <c r="CX1" s="522" t="str">
        <f aca="false">CX2&amp;"+"&amp;CX5</f>
        <v>MISCELLANEOUS+2021</v>
      </c>
      <c r="CY1" s="522" t="str">
        <f aca="false">CY2&amp;"+"&amp;CY5</f>
        <v>MISCELLANEOUS+2022</v>
      </c>
      <c r="CZ1" s="522" t="str">
        <f aca="false">CZ2&amp;"+"&amp;CZ5</f>
        <v>MISCELLANEOUS+2023</v>
      </c>
      <c r="DA1" s="522" t="str">
        <f aca="false">DA2&amp;"+"&amp;DA5</f>
        <v>MISCELLANEOUS+2024</v>
      </c>
      <c r="DB1" s="522" t="str">
        <f aca="false">DB2&amp;"+"&amp;DB5</f>
        <v>MISCELLANEOUS+2025</v>
      </c>
      <c r="DC1" s="522" t="str">
        <f aca="false">DC2&amp;"+"&amp;DC5</f>
        <v>MISCELLANEOUS+TTM</v>
      </c>
      <c r="DD1" s="522" t="str">
        <f aca="false">DD2&amp;"+"&amp;DD5</f>
        <v>MISCELLANEOUS+Reforecast</v>
      </c>
      <c r="DE1" s="522" t="str">
        <f aca="false">DE2&amp;"+"&amp;DE5</f>
        <v>MISCELLANEOUS+Lender UW</v>
      </c>
      <c r="DF1" s="522" t="str">
        <f aca="false">DF2&amp;"+"&amp;DF5</f>
        <v>TOTAL DEPARTMENTAL REVENUE+2019</v>
      </c>
      <c r="DG1" s="522" t="str">
        <f aca="false">DG2&amp;"+"&amp;DG5</f>
        <v>TOTAL DEPARTMENTAL REVENUE+2021</v>
      </c>
      <c r="DH1" s="522" t="str">
        <f aca="false">DH2&amp;"+"&amp;DH5</f>
        <v>TOTAL DEPARTMENTAL REVENUE+2022</v>
      </c>
      <c r="DI1" s="522" t="str">
        <f aca="false">DI2&amp;"+"&amp;DI5</f>
        <v>TOTAL DEPARTMENTAL REVENUE+2023</v>
      </c>
      <c r="DJ1" s="522" t="str">
        <f aca="false">DJ2&amp;"+"&amp;DJ5</f>
        <v>TOTAL DEPARTMENTAL REVENUE+2024</v>
      </c>
      <c r="DK1" s="522" t="str">
        <f aca="false">DK2&amp;"+"&amp;DK5</f>
        <v>TOTAL DEPARTMENTAL REVENUE+2025</v>
      </c>
      <c r="DL1" s="522" t="str">
        <f aca="false">DL2&amp;"+"&amp;DL5</f>
        <v>TOTAL DEPARTMENTAL REVENUE+TTM</v>
      </c>
      <c r="DM1" s="522" t="str">
        <f aca="false">DM2&amp;"+"&amp;DM5</f>
        <v>TOTAL DEPARTMENTAL REVENUE+Reforecast</v>
      </c>
      <c r="DN1" s="522" t="str">
        <f aca="false">DN2&amp;"+"&amp;DN5</f>
        <v>TOTAL DEPARTMENTAL REVENUE+Lender UW</v>
      </c>
      <c r="DO1" s="522" t="str">
        <f aca="false">DO2&amp;"+"&amp;DO5</f>
        <v>ROOMS EXPENSE+2019</v>
      </c>
      <c r="DP1" s="522" t="str">
        <f aca="false">DP2&amp;"+"&amp;DP5</f>
        <v>ROOMS EXPENSE+2021</v>
      </c>
      <c r="DQ1" s="522" t="str">
        <f aca="false">DQ2&amp;"+"&amp;DQ5</f>
        <v>ROOMS EXPENSE+2022</v>
      </c>
      <c r="DR1" s="522" t="str">
        <f aca="false">DR2&amp;"+"&amp;DR5</f>
        <v>ROOMS EXPENSE+2023</v>
      </c>
      <c r="DS1" s="522" t="str">
        <f aca="false">DS2&amp;"+"&amp;DS5</f>
        <v>ROOMS EXPENSE+2024</v>
      </c>
      <c r="DT1" s="522" t="str">
        <f aca="false">DT2&amp;"+"&amp;DT5</f>
        <v>ROOMS EXPENSE+2025</v>
      </c>
      <c r="DU1" s="522" t="str">
        <f aca="false">DU2&amp;"+"&amp;DU5</f>
        <v>ROOMS EXPENSE+TTM</v>
      </c>
      <c r="DV1" s="522" t="str">
        <f aca="false">DV2&amp;"+"&amp;DV5</f>
        <v>ROOMS EXPENSE+Reforecast</v>
      </c>
      <c r="DW1" s="522" t="str">
        <f aca="false">DW2&amp;"+"&amp;DW5</f>
        <v>ROOMS EXPENSE+Lender UW</v>
      </c>
      <c r="DX1" s="522" t="str">
        <f aca="false">DX2&amp;"+"&amp;DX5</f>
        <v>FOOD &amp; BEVERAGE EXPENSE+2019</v>
      </c>
      <c r="DY1" s="522" t="str">
        <f aca="false">DY2&amp;"+"&amp;DY5</f>
        <v>FOOD &amp; BEVERAGE EXPENSE+2021</v>
      </c>
      <c r="DZ1" s="522" t="str">
        <f aca="false">DZ2&amp;"+"&amp;DZ5</f>
        <v>FOOD &amp; BEVERAGE EXPENSE+2022</v>
      </c>
      <c r="EA1" s="522" t="str">
        <f aca="false">EA2&amp;"+"&amp;EA5</f>
        <v>FOOD &amp; BEVERAGE EXPENSE+2023</v>
      </c>
      <c r="EB1" s="522" t="str">
        <f aca="false">EB2&amp;"+"&amp;EB5</f>
        <v>FOOD &amp; BEVERAGE EXPENSE+2024</v>
      </c>
      <c r="EC1" s="522" t="str">
        <f aca="false">EC2&amp;"+"&amp;EC5</f>
        <v>FOOD &amp; BEVERAGE EXPENSE+2025</v>
      </c>
      <c r="ED1" s="522" t="str">
        <f aca="false">ED2&amp;"+"&amp;ED5</f>
        <v>FOOD &amp; BEVERAGE EXPENSE+TTM</v>
      </c>
      <c r="EE1" s="522" t="str">
        <f aca="false">EE2&amp;"+"&amp;EE5</f>
        <v>FOOD &amp; BEVERAGE EXPENSE+Reforecast</v>
      </c>
      <c r="EF1" s="522" t="str">
        <f aca="false">EF2&amp;"+"&amp;EF5</f>
        <v>FOOD &amp; BEVERAGE EXPENSE+Lender UW</v>
      </c>
      <c r="EG1" s="522" t="str">
        <f aca="false">EG2&amp;"+"&amp;EG5</f>
        <v>OTHER DEPARTMENTAL EXPENSE+2019</v>
      </c>
      <c r="EH1" s="522" t="str">
        <f aca="false">EH2&amp;"+"&amp;EH5</f>
        <v>OTHER DEPARTMENTAL EXPENSE+2021</v>
      </c>
      <c r="EI1" s="522" t="str">
        <f aca="false">EI2&amp;"+"&amp;EI5</f>
        <v>OTHER DEPARTMENTAL EXPENSE+2022</v>
      </c>
      <c r="EJ1" s="522" t="str">
        <f aca="false">EJ2&amp;"+"&amp;EJ5</f>
        <v>OTHER DEPARTMENTAL EXPENSE+2023</v>
      </c>
      <c r="EK1" s="522" t="str">
        <f aca="false">EK2&amp;"+"&amp;EK5</f>
        <v>OTHER DEPARTMENTAL EXPENSE+2024</v>
      </c>
      <c r="EL1" s="522" t="str">
        <f aca="false">EL2&amp;"+"&amp;EL5</f>
        <v>OTHER DEPARTMENTAL EXPENSE+2025</v>
      </c>
      <c r="EM1" s="522" t="str">
        <f aca="false">EM2&amp;"+"&amp;EM5</f>
        <v>OTHER DEPARTMENTAL EXPENSE+TTM</v>
      </c>
      <c r="EN1" s="522" t="str">
        <f aca="false">EN2&amp;"+"&amp;EN5</f>
        <v>OTHER DEPARTMENTAL EXPENSE+Reforecast</v>
      </c>
      <c r="EO1" s="522" t="str">
        <f aca="false">EO2&amp;"+"&amp;EO5</f>
        <v>OTHER DEPARTMENTAL EXPENSE+Lender UW</v>
      </c>
      <c r="EP1" s="522" t="str">
        <f aca="false">EP2&amp;"+"&amp;EP5</f>
        <v>TOTAL DEPARTMENTAL EXPENSES+2019</v>
      </c>
      <c r="EQ1" s="522" t="str">
        <f aca="false">EQ2&amp;"+"&amp;EQ5</f>
        <v>TOTAL DEPARTMENTAL EXPENSES+2021</v>
      </c>
      <c r="ER1" s="522" t="str">
        <f aca="false">ER2&amp;"+"&amp;ER5</f>
        <v>TOTAL DEPARTMENTAL EXPENSES+2022</v>
      </c>
      <c r="ES1" s="522" t="str">
        <f aca="false">ES2&amp;"+"&amp;ES5</f>
        <v>TOTAL DEPARTMENTAL EXPENSES+2023</v>
      </c>
      <c r="ET1" s="522" t="str">
        <f aca="false">ET2&amp;"+"&amp;ET5</f>
        <v>TOTAL DEPARTMENTAL EXPENSES+2024</v>
      </c>
      <c r="EU1" s="522" t="str">
        <f aca="false">EU2&amp;"+"&amp;EU5</f>
        <v>TOTAL DEPARTMENTAL EXPENSES+2025</v>
      </c>
      <c r="EV1" s="522" t="str">
        <f aca="false">EV2&amp;"+"&amp;EV5</f>
        <v>TOTAL DEPARTMENTAL EXPENSES+TTM</v>
      </c>
      <c r="EW1" s="522" t="str">
        <f aca="false">EW2&amp;"+"&amp;EW5</f>
        <v>TOTAL DEPARTMENTAL EXPENSES+Reforecast</v>
      </c>
      <c r="EX1" s="522" t="str">
        <f aca="false">EX2&amp;"+"&amp;EX5</f>
        <v>TOTAL DEPARTMENTAL EXPENSES+Lender UW</v>
      </c>
      <c r="EY1" s="522" t="str">
        <f aca="false">EY2&amp;"+"&amp;EY5</f>
        <v>TOTAL DEPARTMENTAL PROFIT+2019</v>
      </c>
      <c r="EZ1" s="522" t="str">
        <f aca="false">EZ2&amp;"+"&amp;EZ5</f>
        <v>TOTAL DEPARTMENTAL PROFIT+2021</v>
      </c>
      <c r="FA1" s="522" t="str">
        <f aca="false">FA2&amp;"+"&amp;FA5</f>
        <v>TOTAL DEPARTMENTAL PROFIT+2022</v>
      </c>
      <c r="FB1" s="522" t="str">
        <f aca="false">FB2&amp;"+"&amp;FB5</f>
        <v>TOTAL DEPARTMENTAL PROFIT+2023</v>
      </c>
      <c r="FC1" s="522" t="str">
        <f aca="false">FC2&amp;"+"&amp;FC5</f>
        <v>TOTAL DEPARTMENTAL PROFIT+2024</v>
      </c>
      <c r="FD1" s="522" t="str">
        <f aca="false">FD2&amp;"+"&amp;FD5</f>
        <v>TOTAL DEPARTMENTAL PROFIT+2025</v>
      </c>
      <c r="FE1" s="522" t="str">
        <f aca="false">FE2&amp;"+"&amp;FE5</f>
        <v>TOTAL DEPARTMENTAL PROFIT+TTM</v>
      </c>
      <c r="FF1" s="522" t="str">
        <f aca="false">FF2&amp;"+"&amp;FF5</f>
        <v>TOTAL DEPARTMENTAL PROFIT+Reforecast</v>
      </c>
      <c r="FG1" s="522" t="str">
        <f aca="false">FG2&amp;"+"&amp;FG5</f>
        <v>TOTAL DEPARTMENTAL PROFIT+Lender UW</v>
      </c>
      <c r="FH1" s="522" t="str">
        <f aca="false">FH2&amp;"+"&amp;FH5</f>
        <v>GENERAL AND ADMINISTRATIVE+2019</v>
      </c>
      <c r="FI1" s="522" t="str">
        <f aca="false">FI2&amp;"+"&amp;FI5</f>
        <v>GENERAL AND ADMINISTRATIVE+2021</v>
      </c>
      <c r="FJ1" s="522" t="str">
        <f aca="false">FJ2&amp;"+"&amp;FJ5</f>
        <v>GENERAL AND ADMINISTRATIVE+2022</v>
      </c>
      <c r="FK1" s="522" t="str">
        <f aca="false">FK2&amp;"+"&amp;FK5</f>
        <v>GENERAL AND ADMINISTRATIVE+2023</v>
      </c>
      <c r="FL1" s="522" t="str">
        <f aca="false">FL2&amp;"+"&amp;FL5</f>
        <v>GENERAL AND ADMINISTRATIVE+2024</v>
      </c>
      <c r="FM1" s="522" t="str">
        <f aca="false">FM2&amp;"+"&amp;FM5</f>
        <v>GENERAL AND ADMINISTRATIVE+2025</v>
      </c>
      <c r="FN1" s="522" t="str">
        <f aca="false">FN2&amp;"+"&amp;FN5</f>
        <v>GENERAL AND ADMINISTRATIVE+TTM</v>
      </c>
      <c r="FO1" s="522" t="str">
        <f aca="false">FO2&amp;"+"&amp;FO5</f>
        <v>GENERAL AND ADMINISTRATIVE+Reforecast</v>
      </c>
      <c r="FP1" s="522" t="str">
        <f aca="false">FP2&amp;"+"&amp;FP5</f>
        <v>GENERAL AND ADMINISTRATIVE+Lender UW</v>
      </c>
      <c r="FQ1" s="522" t="str">
        <f aca="false">FQ2&amp;"+"&amp;FQ5</f>
        <v>CREDIT CARD COMMISSIONS+2019</v>
      </c>
      <c r="FR1" s="522" t="str">
        <f aca="false">FR2&amp;"+"&amp;FR5</f>
        <v>CREDIT CARD COMMISSIONS+2021</v>
      </c>
      <c r="FS1" s="522" t="str">
        <f aca="false">FS2&amp;"+"&amp;FS5</f>
        <v>CREDIT CARD COMMISSIONS+2022</v>
      </c>
      <c r="FT1" s="522" t="str">
        <f aca="false">FT2&amp;"+"&amp;FT5</f>
        <v>CREDIT CARD COMMISSIONS+2023</v>
      </c>
      <c r="FU1" s="522" t="str">
        <f aca="false">FU2&amp;"+"&amp;FU5</f>
        <v>CREDIT CARD COMMISSIONS+2024</v>
      </c>
      <c r="FV1" s="522" t="str">
        <f aca="false">FV2&amp;"+"&amp;FV5</f>
        <v>CREDIT CARD COMMISSIONS+2025</v>
      </c>
      <c r="FW1" s="522" t="str">
        <f aca="false">FW2&amp;"+"&amp;FW5</f>
        <v>CREDIT CARD COMMISSIONS+TTM</v>
      </c>
      <c r="FX1" s="522" t="str">
        <f aca="false">FX2&amp;"+"&amp;FX5</f>
        <v>CREDIT CARD COMMISSIONS+Reforecast</v>
      </c>
      <c r="FY1" s="522" t="str">
        <f aca="false">FY2&amp;"+"&amp;FY5</f>
        <v>CREDIT CARD COMMISSIONS+Lender UW</v>
      </c>
      <c r="FZ1" s="522" t="str">
        <f aca="false">FZ2&amp;"+"&amp;FZ5</f>
        <v>Information &amp; Telecommunication+2019</v>
      </c>
      <c r="GA1" s="522" t="str">
        <f aca="false">GA2&amp;"+"&amp;GA5</f>
        <v>Information &amp; Telecommunication+2021</v>
      </c>
      <c r="GB1" s="522" t="str">
        <f aca="false">GB2&amp;"+"&amp;GB5</f>
        <v>Information &amp; Telecommunication+2022</v>
      </c>
      <c r="GC1" s="522" t="str">
        <f aca="false">GC2&amp;"+"&amp;GC5</f>
        <v>Information &amp; Telecommunication+2023</v>
      </c>
      <c r="GD1" s="522" t="str">
        <f aca="false">GD2&amp;"+"&amp;GD5</f>
        <v>Information &amp; Telecommunication+2024</v>
      </c>
      <c r="GE1" s="522" t="str">
        <f aca="false">GE2&amp;"+"&amp;GE5</f>
        <v>Information &amp; Telecommunication+2025</v>
      </c>
      <c r="GF1" s="522" t="str">
        <f aca="false">GF2&amp;"+"&amp;GF5</f>
        <v>Information &amp; Telecommunication+TTM</v>
      </c>
      <c r="GG1" s="522" t="str">
        <f aca="false">GG2&amp;"+"&amp;GG5</f>
        <v>Information &amp; Telecommunication+Reforecast</v>
      </c>
      <c r="GH1" s="522" t="str">
        <f aca="false">GH2&amp;"+"&amp;GH5</f>
        <v>Information &amp; Telecommunication+Lender UW</v>
      </c>
      <c r="GI1" s="522" t="str">
        <f aca="false">GI2&amp;"+"&amp;GI5</f>
        <v>SALES &amp; MARKETING+2019</v>
      </c>
      <c r="GJ1" s="522" t="str">
        <f aca="false">GJ2&amp;"+"&amp;GJ5</f>
        <v>SALES &amp; MARKETING+2021</v>
      </c>
      <c r="GK1" s="522" t="str">
        <f aca="false">GK2&amp;"+"&amp;GK5</f>
        <v>SALES &amp; MARKETING+2022</v>
      </c>
      <c r="GL1" s="522" t="str">
        <f aca="false">GL2&amp;"+"&amp;GL5</f>
        <v>SALES &amp; MARKETING+2023</v>
      </c>
      <c r="GM1" s="522" t="str">
        <f aca="false">GM2&amp;"+"&amp;GM5</f>
        <v>SALES &amp; MARKETING+2024</v>
      </c>
      <c r="GN1" s="522" t="str">
        <f aca="false">GN2&amp;"+"&amp;GN5</f>
        <v>SALES &amp; MARKETING+2025</v>
      </c>
      <c r="GO1" s="522" t="str">
        <f aca="false">GO2&amp;"+"&amp;GO5</f>
        <v>SALES &amp; MARKETING+TTM</v>
      </c>
      <c r="GP1" s="522" t="str">
        <f aca="false">GP2&amp;"+"&amp;GP5</f>
        <v>SALES &amp; MARKETING+Reforecast</v>
      </c>
      <c r="GQ1" s="522" t="str">
        <f aca="false">GQ2&amp;"+"&amp;GQ5</f>
        <v>SALES &amp; MARKETING+Lender UW</v>
      </c>
      <c r="GR1" s="522" t="str">
        <f aca="false">GR2&amp;"+"&amp;GR5</f>
        <v>PROPERTY OPS./R&amp;M+2019</v>
      </c>
      <c r="GS1" s="522" t="str">
        <f aca="false">GS2&amp;"+"&amp;GS5</f>
        <v>PROPERTY OPS./R&amp;M+2021</v>
      </c>
      <c r="GT1" s="522" t="str">
        <f aca="false">GT2&amp;"+"&amp;GT5</f>
        <v>PROPERTY OPS./R&amp;M+2022</v>
      </c>
      <c r="GU1" s="522" t="str">
        <f aca="false">GU2&amp;"+"&amp;GU5</f>
        <v>PROPERTY OPS./R&amp;M+2023</v>
      </c>
      <c r="GV1" s="522" t="str">
        <f aca="false">GV2&amp;"+"&amp;GV5</f>
        <v>PROPERTY OPS./R&amp;M+2024</v>
      </c>
      <c r="GW1" s="522" t="str">
        <f aca="false">GW2&amp;"+"&amp;GW5</f>
        <v>PROPERTY OPS./R&amp;M+2025</v>
      </c>
      <c r="GX1" s="522" t="str">
        <f aca="false">GX2&amp;"+"&amp;GX5</f>
        <v>PROPERTY OPS./R&amp;M+TTM</v>
      </c>
      <c r="GY1" s="522" t="str">
        <f aca="false">GY2&amp;"+"&amp;GY5</f>
        <v>PROPERTY OPS./R&amp;M+Reforecast</v>
      </c>
      <c r="GZ1" s="522" t="str">
        <f aca="false">GZ2&amp;"+"&amp;GZ5</f>
        <v>PROPERTY OPS./R&amp;M+Lender UW</v>
      </c>
      <c r="HA1" s="522" t="str">
        <f aca="false">HA2&amp;"+"&amp;HA5</f>
        <v>UTILITIES+2019</v>
      </c>
      <c r="HB1" s="522" t="str">
        <f aca="false">HB2&amp;"+"&amp;HB5</f>
        <v>UTILITIES+2021</v>
      </c>
      <c r="HC1" s="522" t="str">
        <f aca="false">HC2&amp;"+"&amp;HC5</f>
        <v>UTILITIES+2022</v>
      </c>
      <c r="HD1" s="522" t="str">
        <f aca="false">HD2&amp;"+"&amp;HD5</f>
        <v>UTILITIES+2023</v>
      </c>
      <c r="HE1" s="522" t="str">
        <f aca="false">HE2&amp;"+"&amp;HE5</f>
        <v>UTILITIES+2024</v>
      </c>
      <c r="HF1" s="522" t="str">
        <f aca="false">HF2&amp;"+"&amp;HF5</f>
        <v>UTILITIES+2025</v>
      </c>
      <c r="HG1" s="522" t="str">
        <f aca="false">HG2&amp;"+"&amp;HG5</f>
        <v>UTILITIES+TTM</v>
      </c>
      <c r="HH1" s="522" t="str">
        <f aca="false">HH2&amp;"+"&amp;HH5</f>
        <v>UTILITIES+Reforecast</v>
      </c>
      <c r="HI1" s="522" t="str">
        <f aca="false">HI2&amp;"+"&amp;HI5</f>
        <v>UTILITIES+Lender UW</v>
      </c>
      <c r="HJ1" s="522" t="str">
        <f aca="false">HJ2&amp;"+"&amp;HJ5</f>
        <v>FRANCHISE FEES+2019</v>
      </c>
      <c r="HK1" s="522" t="str">
        <f aca="false">HK2&amp;"+"&amp;HK5</f>
        <v>FRANCHISE FEES+2021</v>
      </c>
      <c r="HL1" s="522" t="str">
        <f aca="false">HL2&amp;"+"&amp;HL5</f>
        <v>FRANCHISE FEES+2022</v>
      </c>
      <c r="HM1" s="522" t="str">
        <f aca="false">HM2&amp;"+"&amp;HM5</f>
        <v>FRANCHISE FEES+2023</v>
      </c>
      <c r="HN1" s="522" t="str">
        <f aca="false">HN2&amp;"+"&amp;HN5</f>
        <v>FRANCHISE FEES+2024</v>
      </c>
      <c r="HO1" s="522" t="str">
        <f aca="false">HO2&amp;"+"&amp;HO5</f>
        <v>FRANCHISE FEES+2025</v>
      </c>
      <c r="HP1" s="522" t="str">
        <f aca="false">HP2&amp;"+"&amp;HP5</f>
        <v>FRANCHISE FEES+TTM</v>
      </c>
      <c r="HQ1" s="522" t="str">
        <f aca="false">HQ2&amp;"+"&amp;HQ5</f>
        <v>FRANCHISE FEES+Reforecast</v>
      </c>
      <c r="HR1" s="522" t="str">
        <f aca="false">HR2&amp;"+"&amp;HR5</f>
        <v>FRANCHISE FEES+Lender UW</v>
      </c>
      <c r="HS1" s="522" t="str">
        <f aca="false">HS2&amp;"+"&amp;HS5</f>
        <v>TOTAL UNDISTRIBUTED EXPENSES+2019</v>
      </c>
      <c r="HT1" s="522" t="str">
        <f aca="false">HT2&amp;"+"&amp;HT5</f>
        <v>TOTAL UNDISTRIBUTED EXPENSES+2021</v>
      </c>
      <c r="HU1" s="522" t="str">
        <f aca="false">HU2&amp;"+"&amp;HU5</f>
        <v>TOTAL UNDISTRIBUTED EXPENSES+2022</v>
      </c>
      <c r="HV1" s="522" t="str">
        <f aca="false">HV2&amp;"+"&amp;HV5</f>
        <v>TOTAL UNDISTRIBUTED EXPENSES+2023</v>
      </c>
      <c r="HW1" s="522" t="str">
        <f aca="false">HW2&amp;"+"&amp;HW5</f>
        <v>TOTAL UNDISTRIBUTED EXPENSES+2024</v>
      </c>
      <c r="HX1" s="522" t="str">
        <f aca="false">HX2&amp;"+"&amp;HX5</f>
        <v>TOTAL UNDISTRIBUTED EXPENSES+2025</v>
      </c>
      <c r="HY1" s="522" t="str">
        <f aca="false">HY2&amp;"+"&amp;HY5</f>
        <v>TOTAL UNDISTRIBUTED EXPENSES+TTM</v>
      </c>
      <c r="HZ1" s="522" t="str">
        <f aca="false">HZ2&amp;"+"&amp;HZ5</f>
        <v>TOTAL UNDISTRIBUTED EXPENSES+Reforecast</v>
      </c>
      <c r="IA1" s="522" t="str">
        <f aca="false">IA2&amp;"+"&amp;IA5</f>
        <v>TOTAL UNDISTRIBUTED EXPENSES+Lender UW</v>
      </c>
      <c r="IB1" s="522" t="str">
        <f aca="false">IB2&amp;"+"&amp;IB5</f>
        <v>GROSS OPERATING PROFIT+2019</v>
      </c>
      <c r="IC1" s="522" t="str">
        <f aca="false">IC2&amp;"+"&amp;IC5</f>
        <v>GROSS OPERATING PROFIT+2021</v>
      </c>
      <c r="ID1" s="522" t="str">
        <f aca="false">ID2&amp;"+"&amp;ID5</f>
        <v>GROSS OPERATING PROFIT+2022</v>
      </c>
      <c r="IE1" s="522" t="str">
        <f aca="false">IE2&amp;"+"&amp;IE5</f>
        <v>GROSS OPERATING PROFIT+2023</v>
      </c>
      <c r="IF1" s="522" t="str">
        <f aca="false">IF2&amp;"+"&amp;IF5</f>
        <v>GROSS OPERATING PROFIT+2024</v>
      </c>
      <c r="IG1" s="522" t="str">
        <f aca="false">IG2&amp;"+"&amp;IG5</f>
        <v>GROSS OPERATING PROFIT+2025</v>
      </c>
      <c r="IH1" s="522" t="str">
        <f aca="false">IH2&amp;"+"&amp;IH5</f>
        <v>GROSS OPERATING PROFIT+TTM</v>
      </c>
      <c r="II1" s="522" t="str">
        <f aca="false">II2&amp;"+"&amp;II5</f>
        <v>GROSS OPERATING PROFIT+Reforecast</v>
      </c>
      <c r="IJ1" s="522" t="str">
        <f aca="false">IJ2&amp;"+"&amp;IJ5</f>
        <v>GROSS OPERATING PROFIT+Lender UW</v>
      </c>
      <c r="IK1" s="522" t="str">
        <f aca="false">IK2&amp;"+"&amp;IK5</f>
        <v>Management Fee+2019</v>
      </c>
      <c r="IL1" s="522" t="str">
        <f aca="false">IL2&amp;"+"&amp;IL5</f>
        <v>Management Fee+2021</v>
      </c>
      <c r="IM1" s="522" t="str">
        <f aca="false">IM2&amp;"+"&amp;IM5</f>
        <v>Management Fee+2022</v>
      </c>
      <c r="IN1" s="522" t="str">
        <f aca="false">IN2&amp;"+"&amp;IN5</f>
        <v>Management Fee+2023</v>
      </c>
      <c r="IO1" s="522" t="str">
        <f aca="false">IO2&amp;"+"&amp;IO5</f>
        <v>Management Fee+2024</v>
      </c>
      <c r="IP1" s="522" t="str">
        <f aca="false">IP2&amp;"+"&amp;IP5</f>
        <v>Management Fee+2025</v>
      </c>
      <c r="IQ1" s="522" t="str">
        <f aca="false">IQ2&amp;"+"&amp;IQ5</f>
        <v>Management Fee+TTM</v>
      </c>
      <c r="IR1" s="522" t="str">
        <f aca="false">IR2&amp;"+"&amp;IR5</f>
        <v>Management Fee+Reforecast</v>
      </c>
      <c r="IS1" s="522" t="str">
        <f aca="false">IS2&amp;"+"&amp;IS5</f>
        <v>Management Fee+Lender UW</v>
      </c>
      <c r="IT1" s="522" t="str">
        <f aca="false">IT2&amp;"+"&amp;IT5</f>
        <v>Income Before Fixed Expenses+2019</v>
      </c>
      <c r="IU1" s="522" t="str">
        <f aca="false">IU2&amp;"+"&amp;IU5</f>
        <v>Income Before Fixed Expenses+2021</v>
      </c>
      <c r="IV1" s="522" t="str">
        <f aca="false">IV2&amp;"+"&amp;IV5</f>
        <v>Income Before Fixed Expenses+2022</v>
      </c>
      <c r="IW1" s="522" t="str">
        <f aca="false">IW2&amp;"+"&amp;IW5</f>
        <v>Income Before Fixed Expenses+2023</v>
      </c>
      <c r="IX1" s="522" t="str">
        <f aca="false">IX2&amp;"+"&amp;IX5</f>
        <v>Income Before Fixed Expenses+2024</v>
      </c>
      <c r="IY1" s="522" t="str">
        <f aca="false">IY2&amp;"+"&amp;IY5</f>
        <v>Income Before Fixed Expenses+2025</v>
      </c>
      <c r="IZ1" s="522" t="str">
        <f aca="false">IZ2&amp;"+"&amp;IZ5</f>
        <v>Income Before Fixed Expenses+TTM</v>
      </c>
      <c r="JA1" s="522" t="str">
        <f aca="false">JA2&amp;"+"&amp;JA5</f>
        <v>Income Before Fixed Expenses+Reforecast</v>
      </c>
      <c r="JB1" s="522" t="str">
        <f aca="false">JB2&amp;"+"&amp;JB5</f>
        <v>Income Before Fixed Expenses+Lender UW</v>
      </c>
      <c r="JC1" s="522" t="str">
        <f aca="false">JC2&amp;"+"&amp;JC5</f>
        <v>Rents+2019</v>
      </c>
      <c r="JD1" s="522" t="str">
        <f aca="false">JD2&amp;"+"&amp;JD5</f>
        <v>Rents+2021</v>
      </c>
      <c r="JE1" s="522" t="str">
        <f aca="false">JE2&amp;"+"&amp;JE5</f>
        <v>Rents+2022</v>
      </c>
      <c r="JF1" s="522" t="str">
        <f aca="false">JF2&amp;"+"&amp;JF5</f>
        <v>Rents+2023</v>
      </c>
      <c r="JG1" s="522" t="str">
        <f aca="false">JG2&amp;"+"&amp;JG5</f>
        <v>Rents+2024</v>
      </c>
      <c r="JH1" s="522" t="str">
        <f aca="false">JH2&amp;"+"&amp;JH5</f>
        <v>Rents+2025</v>
      </c>
      <c r="JI1" s="522" t="str">
        <f aca="false">JI2&amp;"+"&amp;JI5</f>
        <v>Rents+TTM</v>
      </c>
      <c r="JJ1" s="522" t="str">
        <f aca="false">JJ2&amp;"+"&amp;JJ5</f>
        <v>Rents+Reforecast</v>
      </c>
      <c r="JK1" s="522" t="str">
        <f aca="false">JK2&amp;"+"&amp;JK5</f>
        <v>Rents+Lender UW</v>
      </c>
      <c r="JL1" s="522" t="str">
        <f aca="false">JL2&amp;"+"&amp;JL5</f>
        <v>PROPERTY TAXES+2019</v>
      </c>
      <c r="JM1" s="522" t="str">
        <f aca="false">JM2&amp;"+"&amp;JM5</f>
        <v>PROPERTY TAXES+2021</v>
      </c>
      <c r="JN1" s="522" t="str">
        <f aca="false">JN2&amp;"+"&amp;JN5</f>
        <v>PROPERTY TAXES+2022</v>
      </c>
      <c r="JO1" s="522" t="str">
        <f aca="false">JO2&amp;"+"&amp;JO5</f>
        <v>PROPERTY TAXES+2023</v>
      </c>
      <c r="JP1" s="522" t="str">
        <f aca="false">JP2&amp;"+"&amp;JP5</f>
        <v>PROPERTY TAXES+2024</v>
      </c>
      <c r="JQ1" s="522" t="str">
        <f aca="false">JQ2&amp;"+"&amp;JQ5</f>
        <v>PROPERTY TAXES+2025</v>
      </c>
      <c r="JR1" s="522" t="str">
        <f aca="false">JR2&amp;"+"&amp;JR5</f>
        <v>PROPERTY TAXES+TTM</v>
      </c>
      <c r="JS1" s="522" t="str">
        <f aca="false">JS2&amp;"+"&amp;JS5</f>
        <v>PROPERTY TAXES+Reforecast</v>
      </c>
      <c r="JT1" s="522" t="str">
        <f aca="false">JT2&amp;"+"&amp;JT5</f>
        <v>PROPERTY TAXES+Lender UW</v>
      </c>
      <c r="JU1" s="522" t="str">
        <f aca="false">JU2&amp;"+"&amp;JU5</f>
        <v>PROPERTY INSURANCE+2019</v>
      </c>
      <c r="JV1" s="522" t="str">
        <f aca="false">JV2&amp;"+"&amp;JV5</f>
        <v>PROPERTY INSURANCE+2021</v>
      </c>
      <c r="JW1" s="522" t="str">
        <f aca="false">JW2&amp;"+"&amp;JW5</f>
        <v>PROPERTY INSURANCE+2022</v>
      </c>
      <c r="JX1" s="522" t="str">
        <f aca="false">JX2&amp;"+"&amp;JX5</f>
        <v>PROPERTY INSURANCE+2023</v>
      </c>
      <c r="JY1" s="522" t="str">
        <f aca="false">JY2&amp;"+"&amp;JY5</f>
        <v>PROPERTY INSURANCE+2024</v>
      </c>
      <c r="JZ1" s="522" t="str">
        <f aca="false">JZ2&amp;"+"&amp;JZ5</f>
        <v>PROPERTY INSURANCE+2025</v>
      </c>
      <c r="KA1" s="522" t="str">
        <f aca="false">KA2&amp;"+"&amp;KA5</f>
        <v>PROPERTY INSURANCE+TTM</v>
      </c>
      <c r="KB1" s="522" t="str">
        <f aca="false">KB2&amp;"+"&amp;KB5</f>
        <v>PROPERTY INSURANCE+Reforecast</v>
      </c>
      <c r="KC1" s="522" t="str">
        <f aca="false">KC2&amp;"+"&amp;KC5</f>
        <v>PROPERTY INSURANCE+Lender UW</v>
      </c>
      <c r="KD1" s="522" t="str">
        <f aca="false">KD2&amp;"+"&amp;KD5</f>
        <v>OTHER FIXED EXPENSE+2019</v>
      </c>
      <c r="KE1" s="522" t="str">
        <f aca="false">KE2&amp;"+"&amp;KE5</f>
        <v>OTHER FIXED EXPENSE+2021</v>
      </c>
      <c r="KF1" s="522" t="str">
        <f aca="false">KF2&amp;"+"&amp;KF5</f>
        <v>OTHER FIXED EXPENSE+2022</v>
      </c>
      <c r="KG1" s="522" t="str">
        <f aca="false">KG2&amp;"+"&amp;KG5</f>
        <v>OTHER FIXED EXPENSE+2023</v>
      </c>
      <c r="KH1" s="522" t="str">
        <f aca="false">KH2&amp;"+"&amp;KH5</f>
        <v>OTHER FIXED EXPENSE+2024</v>
      </c>
      <c r="KI1" s="522" t="str">
        <f aca="false">KI2&amp;"+"&amp;KI5</f>
        <v>OTHER FIXED EXPENSE+2025</v>
      </c>
      <c r="KJ1" s="522" t="str">
        <f aca="false">KJ2&amp;"+"&amp;KJ5</f>
        <v>OTHER FIXED EXPENSE+TTM</v>
      </c>
      <c r="KK1" s="522" t="str">
        <f aca="false">KK2&amp;"+"&amp;KK5</f>
        <v>OTHER FIXED EXPENSE+Reforecast</v>
      </c>
      <c r="KL1" s="522" t="str">
        <f aca="false">KL2&amp;"+"&amp;KL5</f>
        <v>OTHER FIXED EXPENSE+Lender UW</v>
      </c>
      <c r="KM1" s="522" t="str">
        <f aca="false">KM2&amp;"+"&amp;KM5</f>
        <v>TOTAL FIXED EXPENSES+2019</v>
      </c>
      <c r="KN1" s="522" t="str">
        <f aca="false">KN2&amp;"+"&amp;KN5</f>
        <v>TOTAL FIXED EXPENSES+2021</v>
      </c>
      <c r="KO1" s="522" t="str">
        <f aca="false">KO2&amp;"+"&amp;KO5</f>
        <v>TOTAL FIXED EXPENSES+2022</v>
      </c>
      <c r="KP1" s="522" t="str">
        <f aca="false">KP2&amp;"+"&amp;KP5</f>
        <v>TOTAL FIXED EXPENSES+2023</v>
      </c>
      <c r="KQ1" s="522" t="str">
        <f aca="false">KQ2&amp;"+"&amp;KQ5</f>
        <v>TOTAL FIXED EXPENSES+2024</v>
      </c>
      <c r="KR1" s="522" t="str">
        <f aca="false">KR2&amp;"+"&amp;KR5</f>
        <v>TOTAL FIXED EXPENSES+2025</v>
      </c>
      <c r="KS1" s="522" t="str">
        <f aca="false">KS2&amp;"+"&amp;KS5</f>
        <v>TOTAL FIXED EXPENSES+TTM</v>
      </c>
      <c r="KT1" s="522" t="str">
        <f aca="false">KT2&amp;"+"&amp;KT5</f>
        <v>TOTAL FIXED EXPENSES+Reforecast</v>
      </c>
      <c r="KU1" s="522" t="str">
        <f aca="false">KU2&amp;"+"&amp;KU5</f>
        <v>TOTAL FIXED EXPENSES+Lender UW</v>
      </c>
      <c r="KV1" s="522" t="str">
        <f aca="false">KV2&amp;"+"&amp;KV5</f>
        <v>NET OPERATING INCOME+2019</v>
      </c>
      <c r="KW1" s="522" t="str">
        <f aca="false">KW2&amp;"+"&amp;KW5</f>
        <v>NET OPERATING INCOME+2021</v>
      </c>
      <c r="KX1" s="522" t="str">
        <f aca="false">KX2&amp;"+"&amp;KX5</f>
        <v>NET OPERATING INCOME+2022</v>
      </c>
      <c r="KY1" s="522" t="str">
        <f aca="false">KY2&amp;"+"&amp;KY5</f>
        <v>NET OPERATING INCOME+2023</v>
      </c>
      <c r="KZ1" s="522" t="str">
        <f aca="false">KZ2&amp;"+"&amp;KZ5</f>
        <v>NET OPERATING INCOME+2024</v>
      </c>
      <c r="LA1" s="522" t="str">
        <f aca="false">LA2&amp;"+"&amp;LA5</f>
        <v>NET OPERATING INCOME+2025</v>
      </c>
      <c r="LB1" s="522" t="str">
        <f aca="false">LB2&amp;"+"&amp;LB5</f>
        <v>NET OPERATING INCOME+TTM</v>
      </c>
      <c r="LC1" s="522" t="str">
        <f aca="false">LC2&amp;"+"&amp;LC5</f>
        <v>NET OPERATING INCOME+Reforecast</v>
      </c>
      <c r="LD1" s="522" t="str">
        <f aca="false">LD2&amp;"+"&amp;LD5</f>
        <v>NET OPERATING INCOME+Lender UW</v>
      </c>
      <c r="LE1" s="522" t="str">
        <f aca="false">LE2&amp;"+"&amp;LE5</f>
        <v>FF&amp;E Reserves+2019</v>
      </c>
      <c r="LF1" s="522" t="str">
        <f aca="false">LF2&amp;"+"&amp;LF5</f>
        <v>FF&amp;E Reserves+2021</v>
      </c>
      <c r="LG1" s="522" t="str">
        <f aca="false">LG2&amp;"+"&amp;LG5</f>
        <v>FF&amp;E Reserves+2022</v>
      </c>
      <c r="LH1" s="522" t="str">
        <f aca="false">LH2&amp;"+"&amp;LH5</f>
        <v>FF&amp;E Reserves+2023</v>
      </c>
      <c r="LI1" s="522" t="str">
        <f aca="false">LI2&amp;"+"&amp;LI5</f>
        <v>FF&amp;E Reserves+2024</v>
      </c>
      <c r="LJ1" s="522" t="str">
        <f aca="false">LJ2&amp;"+"&amp;LJ5</f>
        <v>FF&amp;E Reserves+2025</v>
      </c>
      <c r="LK1" s="522" t="str">
        <f aca="false">LK2&amp;"+"&amp;LK5</f>
        <v>FF&amp;E Reserves+TTM</v>
      </c>
      <c r="LL1" s="522" t="str">
        <f aca="false">LL2&amp;"+"&amp;LL5</f>
        <v>FF&amp;E Reserves+Reforecast</v>
      </c>
      <c r="LM1" s="522" t="str">
        <f aca="false">LM2&amp;"+"&amp;LM5</f>
        <v>FF&amp;E Reserves+Lender UW</v>
      </c>
      <c r="LN1" s="522" t="str">
        <f aca="false">LN2&amp;"+"&amp;LN5</f>
        <v>ADD BACK: DISPLACEMENT+2019</v>
      </c>
      <c r="LO1" s="522" t="str">
        <f aca="false">LO2&amp;"+"&amp;LO5</f>
        <v>ADD BACK: DISPLACEMENT+2021</v>
      </c>
      <c r="LP1" s="522" t="str">
        <f aca="false">LP2&amp;"+"&amp;LP5</f>
        <v>ADD BACK: DISPLACEMENT+2022</v>
      </c>
      <c r="LQ1" s="522" t="str">
        <f aca="false">LQ2&amp;"+"&amp;LQ5</f>
        <v>ADD BACK: DISPLACEMENT+2023</v>
      </c>
      <c r="LR1" s="522" t="str">
        <f aca="false">LR2&amp;"+"&amp;LR5</f>
        <v>ADD BACK: DISPLACEMENT+2024</v>
      </c>
      <c r="LS1" s="522" t="str">
        <f aca="false">LS2&amp;"+"&amp;LS5</f>
        <v>ADD BACK: DISPLACEMENT+2025</v>
      </c>
      <c r="LT1" s="522" t="str">
        <f aca="false">LT2&amp;"+"&amp;LT5</f>
        <v>ADD BACK: DISPLACEMENT+TTM</v>
      </c>
      <c r="LU1" s="522" t="str">
        <f aca="false">LU2&amp;"+"&amp;LU5</f>
        <v>ADD BACK: DISPLACEMENT+Reforecast</v>
      </c>
      <c r="LV1" s="522" t="str">
        <f aca="false">LV2&amp;"+"&amp;LV5</f>
        <v>ADD BACK: DISPLACEMENT+Lender UW</v>
      </c>
      <c r="LW1" s="522" t="str">
        <f aca="false">LW2&amp;"+"&amp;LW5</f>
        <v>NET CASH FLOW+2019</v>
      </c>
      <c r="LX1" s="522" t="str">
        <f aca="false">LX2&amp;"+"&amp;LX5</f>
        <v>NET CASH FLOW+2021</v>
      </c>
      <c r="LY1" s="522" t="str">
        <f aca="false">LY2&amp;"+"&amp;LY5</f>
        <v>NET CASH FLOW+2022</v>
      </c>
      <c r="LZ1" s="522" t="str">
        <f aca="false">LZ2&amp;"+"&amp;LZ5</f>
        <v>NET CASH FLOW+2023</v>
      </c>
      <c r="MA1" s="522" t="str">
        <f aca="false">MA2&amp;"+"&amp;MA5</f>
        <v>NET CASH FLOW+2024</v>
      </c>
      <c r="MB1" s="522" t="str">
        <f aca="false">MB2&amp;"+"&amp;MB5</f>
        <v>NET CASH FLOW+2025</v>
      </c>
      <c r="MC1" s="522" t="str">
        <f aca="false">MC2&amp;"+"&amp;MC5</f>
        <v>NET CASH FLOW+TTM</v>
      </c>
      <c r="MD1" s="522" t="str">
        <f aca="false">MD2&amp;"+"&amp;MD5</f>
        <v>NET CASH FLOW+Reforecast</v>
      </c>
      <c r="ME1" s="522" t="str">
        <f aca="false">ME2&amp;"+"&amp;ME5</f>
        <v>NET CASH FLOW+Lender UW</v>
      </c>
    </row>
    <row r="2" s="528" customFormat="true" ht="9.75" hidden="false" customHeight="false" outlineLevel="0" collapsed="false">
      <c r="A2" s="523" t="s">
        <v>219</v>
      </c>
      <c r="B2" s="524"/>
      <c r="C2" s="525"/>
      <c r="D2" s="526"/>
      <c r="E2" s="526"/>
      <c r="F2" s="526"/>
      <c r="G2" s="526"/>
      <c r="H2" s="526"/>
      <c r="I2" s="526"/>
      <c r="J2" s="526"/>
      <c r="K2" s="526"/>
      <c r="L2" s="526"/>
      <c r="M2" s="526"/>
      <c r="N2" s="526"/>
      <c r="O2" s="526"/>
      <c r="P2" s="526"/>
      <c r="Q2" s="526"/>
      <c r="R2" s="526"/>
      <c r="S2" s="526"/>
      <c r="T2" s="527" t="s">
        <v>212</v>
      </c>
      <c r="U2" s="527" t="s">
        <v>212</v>
      </c>
      <c r="V2" s="527" t="s">
        <v>212</v>
      </c>
      <c r="W2" s="527" t="s">
        <v>212</v>
      </c>
      <c r="X2" s="527" t="s">
        <v>212</v>
      </c>
      <c r="Y2" s="527" t="s">
        <v>212</v>
      </c>
      <c r="Z2" s="527" t="s">
        <v>212</v>
      </c>
      <c r="AA2" s="527" t="s">
        <v>212</v>
      </c>
      <c r="AB2" s="527" t="s">
        <v>212</v>
      </c>
      <c r="AC2" s="527" t="s">
        <v>213</v>
      </c>
      <c r="AD2" s="527" t="s">
        <v>213</v>
      </c>
      <c r="AE2" s="527" t="s">
        <v>213</v>
      </c>
      <c r="AF2" s="527" t="s">
        <v>213</v>
      </c>
      <c r="AG2" s="527" t="s">
        <v>213</v>
      </c>
      <c r="AH2" s="527" t="s">
        <v>213</v>
      </c>
      <c r="AI2" s="527" t="s">
        <v>213</v>
      </c>
      <c r="AJ2" s="527" t="s">
        <v>213</v>
      </c>
      <c r="AK2" s="527" t="s">
        <v>213</v>
      </c>
      <c r="AL2" s="527" t="s">
        <v>214</v>
      </c>
      <c r="AM2" s="527" t="s">
        <v>214</v>
      </c>
      <c r="AN2" s="527" t="s">
        <v>214</v>
      </c>
      <c r="AO2" s="527" t="s">
        <v>214</v>
      </c>
      <c r="AP2" s="527" t="s">
        <v>214</v>
      </c>
      <c r="AQ2" s="527" t="s">
        <v>214</v>
      </c>
      <c r="AR2" s="527" t="s">
        <v>214</v>
      </c>
      <c r="AS2" s="527" t="s">
        <v>214</v>
      </c>
      <c r="AT2" s="527" t="s">
        <v>214</v>
      </c>
      <c r="AU2" s="527" t="s">
        <v>104</v>
      </c>
      <c r="AV2" s="527" t="s">
        <v>104</v>
      </c>
      <c r="AW2" s="527" t="s">
        <v>104</v>
      </c>
      <c r="AX2" s="527" t="s">
        <v>104</v>
      </c>
      <c r="AY2" s="527" t="s">
        <v>104</v>
      </c>
      <c r="AZ2" s="527" t="s">
        <v>104</v>
      </c>
      <c r="BA2" s="527" t="s">
        <v>104</v>
      </c>
      <c r="BB2" s="527" t="s">
        <v>104</v>
      </c>
      <c r="BC2" s="527" t="s">
        <v>104</v>
      </c>
      <c r="BD2" s="527" t="s">
        <v>215</v>
      </c>
      <c r="BE2" s="527" t="s">
        <v>215</v>
      </c>
      <c r="BF2" s="527" t="s">
        <v>215</v>
      </c>
      <c r="BG2" s="527" t="s">
        <v>215</v>
      </c>
      <c r="BH2" s="527" t="s">
        <v>215</v>
      </c>
      <c r="BI2" s="527" t="s">
        <v>215</v>
      </c>
      <c r="BJ2" s="527" t="s">
        <v>215</v>
      </c>
      <c r="BK2" s="527" t="s">
        <v>215</v>
      </c>
      <c r="BL2" s="527" t="s">
        <v>215</v>
      </c>
      <c r="BM2" s="527" t="s">
        <v>220</v>
      </c>
      <c r="BN2" s="527" t="s">
        <v>220</v>
      </c>
      <c r="BO2" s="527" t="s">
        <v>220</v>
      </c>
      <c r="BP2" s="527" t="s">
        <v>220</v>
      </c>
      <c r="BQ2" s="527" t="s">
        <v>220</v>
      </c>
      <c r="BR2" s="527" t="s">
        <v>220</v>
      </c>
      <c r="BS2" s="527" t="s">
        <v>220</v>
      </c>
      <c r="BT2" s="527" t="s">
        <v>220</v>
      </c>
      <c r="BU2" s="527" t="s">
        <v>220</v>
      </c>
      <c r="BV2" s="527" t="s">
        <v>221</v>
      </c>
      <c r="BW2" s="527" t="s">
        <v>221</v>
      </c>
      <c r="BX2" s="527" t="s">
        <v>221</v>
      </c>
      <c r="BY2" s="527" t="s">
        <v>221</v>
      </c>
      <c r="BZ2" s="527" t="s">
        <v>221</v>
      </c>
      <c r="CA2" s="527" t="s">
        <v>221</v>
      </c>
      <c r="CB2" s="527" t="s">
        <v>221</v>
      </c>
      <c r="CC2" s="527" t="s">
        <v>221</v>
      </c>
      <c r="CD2" s="527" t="s">
        <v>221</v>
      </c>
      <c r="CE2" s="527" t="s">
        <v>222</v>
      </c>
      <c r="CF2" s="527" t="s">
        <v>222</v>
      </c>
      <c r="CG2" s="527" t="s">
        <v>222</v>
      </c>
      <c r="CH2" s="527" t="s">
        <v>222</v>
      </c>
      <c r="CI2" s="527" t="s">
        <v>222</v>
      </c>
      <c r="CJ2" s="527" t="s">
        <v>222</v>
      </c>
      <c r="CK2" s="527" t="s">
        <v>222</v>
      </c>
      <c r="CL2" s="527" t="s">
        <v>222</v>
      </c>
      <c r="CM2" s="527" t="s">
        <v>222</v>
      </c>
      <c r="CN2" s="527" t="s">
        <v>223</v>
      </c>
      <c r="CO2" s="527" t="s">
        <v>223</v>
      </c>
      <c r="CP2" s="527" t="s">
        <v>223</v>
      </c>
      <c r="CQ2" s="527" t="s">
        <v>223</v>
      </c>
      <c r="CR2" s="527" t="s">
        <v>223</v>
      </c>
      <c r="CS2" s="527" t="s">
        <v>223</v>
      </c>
      <c r="CT2" s="527" t="s">
        <v>223</v>
      </c>
      <c r="CU2" s="527" t="s">
        <v>223</v>
      </c>
      <c r="CV2" s="527" t="s">
        <v>223</v>
      </c>
      <c r="CW2" s="527" t="s">
        <v>224</v>
      </c>
      <c r="CX2" s="527" t="s">
        <v>224</v>
      </c>
      <c r="CY2" s="527" t="s">
        <v>224</v>
      </c>
      <c r="CZ2" s="527" t="s">
        <v>224</v>
      </c>
      <c r="DA2" s="527" t="s">
        <v>224</v>
      </c>
      <c r="DB2" s="527" t="s">
        <v>224</v>
      </c>
      <c r="DC2" s="527" t="s">
        <v>224</v>
      </c>
      <c r="DD2" s="527" t="s">
        <v>224</v>
      </c>
      <c r="DE2" s="527" t="s">
        <v>224</v>
      </c>
      <c r="DF2" s="527" t="s">
        <v>225</v>
      </c>
      <c r="DG2" s="527" t="s">
        <v>225</v>
      </c>
      <c r="DH2" s="527" t="s">
        <v>225</v>
      </c>
      <c r="DI2" s="527" t="s">
        <v>225</v>
      </c>
      <c r="DJ2" s="527" t="s">
        <v>225</v>
      </c>
      <c r="DK2" s="527" t="s">
        <v>225</v>
      </c>
      <c r="DL2" s="527" t="s">
        <v>225</v>
      </c>
      <c r="DM2" s="527" t="s">
        <v>225</v>
      </c>
      <c r="DN2" s="527" t="s">
        <v>225</v>
      </c>
      <c r="DO2" s="527" t="s">
        <v>226</v>
      </c>
      <c r="DP2" s="527" t="s">
        <v>226</v>
      </c>
      <c r="DQ2" s="527" t="s">
        <v>226</v>
      </c>
      <c r="DR2" s="527" t="s">
        <v>226</v>
      </c>
      <c r="DS2" s="527" t="s">
        <v>226</v>
      </c>
      <c r="DT2" s="527" t="s">
        <v>226</v>
      </c>
      <c r="DU2" s="527" t="s">
        <v>226</v>
      </c>
      <c r="DV2" s="527" t="s">
        <v>226</v>
      </c>
      <c r="DW2" s="527" t="s">
        <v>226</v>
      </c>
      <c r="DX2" s="527" t="s">
        <v>227</v>
      </c>
      <c r="DY2" s="527" t="s">
        <v>227</v>
      </c>
      <c r="DZ2" s="527" t="s">
        <v>227</v>
      </c>
      <c r="EA2" s="527" t="s">
        <v>227</v>
      </c>
      <c r="EB2" s="527" t="s">
        <v>227</v>
      </c>
      <c r="EC2" s="527" t="s">
        <v>227</v>
      </c>
      <c r="ED2" s="527" t="s">
        <v>227</v>
      </c>
      <c r="EE2" s="527" t="s">
        <v>227</v>
      </c>
      <c r="EF2" s="527" t="s">
        <v>227</v>
      </c>
      <c r="EG2" s="527" t="s">
        <v>228</v>
      </c>
      <c r="EH2" s="527" t="s">
        <v>228</v>
      </c>
      <c r="EI2" s="527" t="s">
        <v>228</v>
      </c>
      <c r="EJ2" s="527" t="s">
        <v>228</v>
      </c>
      <c r="EK2" s="527" t="s">
        <v>228</v>
      </c>
      <c r="EL2" s="527" t="s">
        <v>228</v>
      </c>
      <c r="EM2" s="527" t="s">
        <v>228</v>
      </c>
      <c r="EN2" s="527" t="s">
        <v>228</v>
      </c>
      <c r="EO2" s="527" t="s">
        <v>228</v>
      </c>
      <c r="EP2" s="527" t="s">
        <v>144</v>
      </c>
      <c r="EQ2" s="527" t="s">
        <v>144</v>
      </c>
      <c r="ER2" s="527" t="s">
        <v>144</v>
      </c>
      <c r="ES2" s="527" t="s">
        <v>144</v>
      </c>
      <c r="ET2" s="527" t="s">
        <v>144</v>
      </c>
      <c r="EU2" s="527" t="s">
        <v>144</v>
      </c>
      <c r="EV2" s="527" t="s">
        <v>144</v>
      </c>
      <c r="EW2" s="527" t="s">
        <v>144</v>
      </c>
      <c r="EX2" s="527" t="s">
        <v>144</v>
      </c>
      <c r="EY2" s="527" t="s">
        <v>229</v>
      </c>
      <c r="EZ2" s="527" t="s">
        <v>229</v>
      </c>
      <c r="FA2" s="527" t="s">
        <v>229</v>
      </c>
      <c r="FB2" s="527" t="s">
        <v>229</v>
      </c>
      <c r="FC2" s="527" t="s">
        <v>229</v>
      </c>
      <c r="FD2" s="527" t="s">
        <v>229</v>
      </c>
      <c r="FE2" s="527" t="s">
        <v>229</v>
      </c>
      <c r="FF2" s="527" t="s">
        <v>229</v>
      </c>
      <c r="FG2" s="527" t="s">
        <v>229</v>
      </c>
      <c r="FH2" s="527" t="s">
        <v>230</v>
      </c>
      <c r="FI2" s="527" t="s">
        <v>230</v>
      </c>
      <c r="FJ2" s="527" t="s">
        <v>230</v>
      </c>
      <c r="FK2" s="527" t="s">
        <v>230</v>
      </c>
      <c r="FL2" s="527" t="s">
        <v>230</v>
      </c>
      <c r="FM2" s="527" t="s">
        <v>230</v>
      </c>
      <c r="FN2" s="527" t="s">
        <v>230</v>
      </c>
      <c r="FO2" s="527" t="s">
        <v>230</v>
      </c>
      <c r="FP2" s="527" t="s">
        <v>230</v>
      </c>
      <c r="FQ2" s="527" t="s">
        <v>231</v>
      </c>
      <c r="FR2" s="527" t="s">
        <v>231</v>
      </c>
      <c r="FS2" s="527" t="s">
        <v>231</v>
      </c>
      <c r="FT2" s="527" t="s">
        <v>231</v>
      </c>
      <c r="FU2" s="527" t="s">
        <v>231</v>
      </c>
      <c r="FV2" s="527" t="s">
        <v>231</v>
      </c>
      <c r="FW2" s="527" t="s">
        <v>231</v>
      </c>
      <c r="FX2" s="527" t="s">
        <v>231</v>
      </c>
      <c r="FY2" s="527" t="s">
        <v>231</v>
      </c>
      <c r="FZ2" s="527" t="s">
        <v>149</v>
      </c>
      <c r="GA2" s="527" t="s">
        <v>149</v>
      </c>
      <c r="GB2" s="527" t="s">
        <v>149</v>
      </c>
      <c r="GC2" s="527" t="s">
        <v>149</v>
      </c>
      <c r="GD2" s="527" t="s">
        <v>149</v>
      </c>
      <c r="GE2" s="527" t="s">
        <v>149</v>
      </c>
      <c r="GF2" s="527" t="s">
        <v>149</v>
      </c>
      <c r="GG2" s="527" t="s">
        <v>149</v>
      </c>
      <c r="GH2" s="527" t="s">
        <v>149</v>
      </c>
      <c r="GI2" s="527" t="s">
        <v>232</v>
      </c>
      <c r="GJ2" s="527" t="s">
        <v>232</v>
      </c>
      <c r="GK2" s="527" t="s">
        <v>232</v>
      </c>
      <c r="GL2" s="527" t="s">
        <v>232</v>
      </c>
      <c r="GM2" s="527" t="s">
        <v>232</v>
      </c>
      <c r="GN2" s="527" t="s">
        <v>232</v>
      </c>
      <c r="GO2" s="527" t="s">
        <v>232</v>
      </c>
      <c r="GP2" s="527" t="s">
        <v>232</v>
      </c>
      <c r="GQ2" s="527" t="s">
        <v>232</v>
      </c>
      <c r="GR2" s="527" t="s">
        <v>233</v>
      </c>
      <c r="GS2" s="527" t="s">
        <v>233</v>
      </c>
      <c r="GT2" s="527" t="s">
        <v>233</v>
      </c>
      <c r="GU2" s="527" t="s">
        <v>233</v>
      </c>
      <c r="GV2" s="527" t="s">
        <v>233</v>
      </c>
      <c r="GW2" s="527" t="s">
        <v>233</v>
      </c>
      <c r="GX2" s="527" t="s">
        <v>233</v>
      </c>
      <c r="GY2" s="527" t="s">
        <v>233</v>
      </c>
      <c r="GZ2" s="527" t="s">
        <v>233</v>
      </c>
      <c r="HA2" s="527" t="s">
        <v>234</v>
      </c>
      <c r="HB2" s="527" t="s">
        <v>234</v>
      </c>
      <c r="HC2" s="527" t="s">
        <v>234</v>
      </c>
      <c r="HD2" s="527" t="s">
        <v>234</v>
      </c>
      <c r="HE2" s="527" t="s">
        <v>234</v>
      </c>
      <c r="HF2" s="527" t="s">
        <v>234</v>
      </c>
      <c r="HG2" s="527" t="s">
        <v>234</v>
      </c>
      <c r="HH2" s="527" t="s">
        <v>234</v>
      </c>
      <c r="HI2" s="527" t="s">
        <v>234</v>
      </c>
      <c r="HJ2" s="527" t="s">
        <v>235</v>
      </c>
      <c r="HK2" s="527" t="s">
        <v>235</v>
      </c>
      <c r="HL2" s="527" t="s">
        <v>235</v>
      </c>
      <c r="HM2" s="527" t="s">
        <v>235</v>
      </c>
      <c r="HN2" s="527" t="s">
        <v>235</v>
      </c>
      <c r="HO2" s="527" t="s">
        <v>235</v>
      </c>
      <c r="HP2" s="527" t="s">
        <v>235</v>
      </c>
      <c r="HQ2" s="527" t="s">
        <v>235</v>
      </c>
      <c r="HR2" s="527" t="s">
        <v>235</v>
      </c>
      <c r="HS2" s="527" t="s">
        <v>154</v>
      </c>
      <c r="HT2" s="527" t="s">
        <v>154</v>
      </c>
      <c r="HU2" s="527" t="s">
        <v>154</v>
      </c>
      <c r="HV2" s="527" t="s">
        <v>154</v>
      </c>
      <c r="HW2" s="527" t="s">
        <v>154</v>
      </c>
      <c r="HX2" s="527" t="s">
        <v>154</v>
      </c>
      <c r="HY2" s="527" t="s">
        <v>154</v>
      </c>
      <c r="HZ2" s="527" t="s">
        <v>154</v>
      </c>
      <c r="IA2" s="527" t="s">
        <v>154</v>
      </c>
      <c r="IB2" s="527" t="s">
        <v>155</v>
      </c>
      <c r="IC2" s="527" t="s">
        <v>155</v>
      </c>
      <c r="ID2" s="527" t="s">
        <v>155</v>
      </c>
      <c r="IE2" s="527" t="s">
        <v>155</v>
      </c>
      <c r="IF2" s="527" t="s">
        <v>155</v>
      </c>
      <c r="IG2" s="527" t="s">
        <v>155</v>
      </c>
      <c r="IH2" s="527" t="s">
        <v>155</v>
      </c>
      <c r="II2" s="527" t="s">
        <v>155</v>
      </c>
      <c r="IJ2" s="527" t="s">
        <v>155</v>
      </c>
      <c r="IK2" s="527" t="s">
        <v>157</v>
      </c>
      <c r="IL2" s="527" t="s">
        <v>157</v>
      </c>
      <c r="IM2" s="527" t="s">
        <v>157</v>
      </c>
      <c r="IN2" s="527" t="s">
        <v>157</v>
      </c>
      <c r="IO2" s="527" t="s">
        <v>157</v>
      </c>
      <c r="IP2" s="527" t="s">
        <v>157</v>
      </c>
      <c r="IQ2" s="527" t="s">
        <v>157</v>
      </c>
      <c r="IR2" s="527" t="s">
        <v>157</v>
      </c>
      <c r="IS2" s="527" t="s">
        <v>157</v>
      </c>
      <c r="IT2" s="527" t="s">
        <v>236</v>
      </c>
      <c r="IU2" s="527" t="s">
        <v>236</v>
      </c>
      <c r="IV2" s="527" t="s">
        <v>236</v>
      </c>
      <c r="IW2" s="527" t="s">
        <v>236</v>
      </c>
      <c r="IX2" s="527" t="s">
        <v>236</v>
      </c>
      <c r="IY2" s="527" t="s">
        <v>236</v>
      </c>
      <c r="IZ2" s="527" t="s">
        <v>236</v>
      </c>
      <c r="JA2" s="527" t="s">
        <v>236</v>
      </c>
      <c r="JB2" s="527" t="s">
        <v>236</v>
      </c>
      <c r="JC2" s="527" t="s">
        <v>161</v>
      </c>
      <c r="JD2" s="527" t="s">
        <v>161</v>
      </c>
      <c r="JE2" s="527" t="s">
        <v>161</v>
      </c>
      <c r="JF2" s="527" t="s">
        <v>161</v>
      </c>
      <c r="JG2" s="527" t="s">
        <v>161</v>
      </c>
      <c r="JH2" s="527" t="s">
        <v>161</v>
      </c>
      <c r="JI2" s="527" t="s">
        <v>161</v>
      </c>
      <c r="JJ2" s="527" t="s">
        <v>161</v>
      </c>
      <c r="JK2" s="527" t="s">
        <v>161</v>
      </c>
      <c r="JL2" s="527" t="s">
        <v>237</v>
      </c>
      <c r="JM2" s="527" t="s">
        <v>237</v>
      </c>
      <c r="JN2" s="527" t="s">
        <v>237</v>
      </c>
      <c r="JO2" s="527" t="s">
        <v>237</v>
      </c>
      <c r="JP2" s="527" t="s">
        <v>237</v>
      </c>
      <c r="JQ2" s="527" t="s">
        <v>237</v>
      </c>
      <c r="JR2" s="527" t="s">
        <v>237</v>
      </c>
      <c r="JS2" s="527" t="s">
        <v>237</v>
      </c>
      <c r="JT2" s="527" t="s">
        <v>237</v>
      </c>
      <c r="JU2" s="527" t="s">
        <v>238</v>
      </c>
      <c r="JV2" s="527" t="s">
        <v>238</v>
      </c>
      <c r="JW2" s="527" t="s">
        <v>238</v>
      </c>
      <c r="JX2" s="527" t="s">
        <v>238</v>
      </c>
      <c r="JY2" s="527" t="s">
        <v>238</v>
      </c>
      <c r="JZ2" s="527" t="s">
        <v>238</v>
      </c>
      <c r="KA2" s="527" t="s">
        <v>238</v>
      </c>
      <c r="KB2" s="527" t="s">
        <v>238</v>
      </c>
      <c r="KC2" s="527" t="s">
        <v>238</v>
      </c>
      <c r="KD2" s="527" t="s">
        <v>239</v>
      </c>
      <c r="KE2" s="527" t="s">
        <v>239</v>
      </c>
      <c r="KF2" s="527" t="s">
        <v>239</v>
      </c>
      <c r="KG2" s="527" t="s">
        <v>239</v>
      </c>
      <c r="KH2" s="527" t="s">
        <v>239</v>
      </c>
      <c r="KI2" s="527" t="s">
        <v>239</v>
      </c>
      <c r="KJ2" s="527" t="s">
        <v>239</v>
      </c>
      <c r="KK2" s="527" t="s">
        <v>239</v>
      </c>
      <c r="KL2" s="527" t="s">
        <v>239</v>
      </c>
      <c r="KM2" s="527" t="s">
        <v>164</v>
      </c>
      <c r="KN2" s="527" t="s">
        <v>164</v>
      </c>
      <c r="KO2" s="527" t="s">
        <v>164</v>
      </c>
      <c r="KP2" s="527" t="s">
        <v>164</v>
      </c>
      <c r="KQ2" s="527" t="s">
        <v>164</v>
      </c>
      <c r="KR2" s="527" t="s">
        <v>164</v>
      </c>
      <c r="KS2" s="527" t="s">
        <v>164</v>
      </c>
      <c r="KT2" s="527" t="s">
        <v>164</v>
      </c>
      <c r="KU2" s="527" t="s">
        <v>164</v>
      </c>
      <c r="KV2" s="527" t="s">
        <v>240</v>
      </c>
      <c r="KW2" s="527" t="s">
        <v>240</v>
      </c>
      <c r="KX2" s="527" t="s">
        <v>240</v>
      </c>
      <c r="KY2" s="527" t="s">
        <v>240</v>
      </c>
      <c r="KZ2" s="527" t="s">
        <v>240</v>
      </c>
      <c r="LA2" s="527" t="s">
        <v>240</v>
      </c>
      <c r="LB2" s="527" t="s">
        <v>240</v>
      </c>
      <c r="LC2" s="527" t="s">
        <v>240</v>
      </c>
      <c r="LD2" s="527" t="s">
        <v>240</v>
      </c>
      <c r="LE2" s="527" t="s">
        <v>166</v>
      </c>
      <c r="LF2" s="527" t="s">
        <v>166</v>
      </c>
      <c r="LG2" s="527" t="s">
        <v>166</v>
      </c>
      <c r="LH2" s="527" t="s">
        <v>166</v>
      </c>
      <c r="LI2" s="527" t="s">
        <v>166</v>
      </c>
      <c r="LJ2" s="527" t="s">
        <v>166</v>
      </c>
      <c r="LK2" s="527" t="s">
        <v>166</v>
      </c>
      <c r="LL2" s="527" t="s">
        <v>166</v>
      </c>
      <c r="LM2" s="527" t="s">
        <v>166</v>
      </c>
      <c r="LN2" s="527" t="s">
        <v>183</v>
      </c>
      <c r="LO2" s="527" t="s">
        <v>183</v>
      </c>
      <c r="LP2" s="527" t="s">
        <v>183</v>
      </c>
      <c r="LQ2" s="527" t="s">
        <v>183</v>
      </c>
      <c r="LR2" s="527" t="s">
        <v>183</v>
      </c>
      <c r="LS2" s="527" t="s">
        <v>183</v>
      </c>
      <c r="LT2" s="527" t="s">
        <v>183</v>
      </c>
      <c r="LU2" s="527" t="s">
        <v>183</v>
      </c>
      <c r="LV2" s="527" t="s">
        <v>183</v>
      </c>
      <c r="LW2" s="527" t="s">
        <v>241</v>
      </c>
      <c r="LX2" s="527" t="s">
        <v>241</v>
      </c>
      <c r="LY2" s="527" t="s">
        <v>241</v>
      </c>
      <c r="LZ2" s="527" t="s">
        <v>241</v>
      </c>
      <c r="MA2" s="527" t="s">
        <v>241</v>
      </c>
      <c r="MB2" s="527" t="s">
        <v>241</v>
      </c>
      <c r="MC2" s="527" t="s">
        <v>241</v>
      </c>
      <c r="MD2" s="527" t="s">
        <v>241</v>
      </c>
      <c r="ME2" s="527" t="s">
        <v>241</v>
      </c>
    </row>
    <row r="3" s="528" customFormat="true" ht="10.5" hidden="false" customHeight="true" outlineLevel="0" collapsed="false">
      <c r="A3" s="523"/>
      <c r="B3" s="524"/>
      <c r="C3" s="525"/>
      <c r="D3" s="526"/>
      <c r="E3" s="526"/>
      <c r="F3" s="526"/>
      <c r="G3" s="526"/>
      <c r="H3" s="526"/>
      <c r="I3" s="526"/>
      <c r="J3" s="526"/>
      <c r="K3" s="526"/>
      <c r="L3" s="526"/>
      <c r="M3" s="526"/>
      <c r="N3" s="526"/>
      <c r="O3" s="526"/>
      <c r="P3" s="526"/>
      <c r="Q3" s="526"/>
      <c r="R3" s="526"/>
      <c r="S3" s="526"/>
      <c r="T3" s="526"/>
      <c r="U3" s="526"/>
      <c r="V3" s="526"/>
      <c r="W3" s="526"/>
      <c r="X3" s="526"/>
      <c r="Y3" s="526"/>
      <c r="Z3" s="526"/>
      <c r="AA3" s="526"/>
      <c r="AB3" s="526"/>
      <c r="AC3" s="526"/>
      <c r="AD3" s="526"/>
      <c r="AE3" s="526"/>
      <c r="AF3" s="526"/>
      <c r="AG3" s="526"/>
      <c r="AH3" s="526"/>
      <c r="AI3" s="526"/>
      <c r="AJ3" s="526"/>
      <c r="AK3" s="526"/>
      <c r="AL3" s="526"/>
      <c r="AM3" s="526"/>
      <c r="AN3" s="526"/>
      <c r="AO3" s="526"/>
      <c r="AP3" s="526"/>
      <c r="AQ3" s="526"/>
      <c r="AR3" s="526"/>
      <c r="AS3" s="526"/>
      <c r="AT3" s="526"/>
      <c r="AU3" s="526"/>
      <c r="AV3" s="526"/>
      <c r="AW3" s="526"/>
      <c r="AX3" s="526"/>
      <c r="AY3" s="526"/>
      <c r="AZ3" s="526"/>
      <c r="BA3" s="526"/>
      <c r="BB3" s="526"/>
      <c r="BC3" s="526"/>
      <c r="BD3" s="526"/>
      <c r="BE3" s="526"/>
      <c r="BF3" s="526"/>
      <c r="BG3" s="526"/>
      <c r="BH3" s="526"/>
      <c r="BI3" s="526"/>
      <c r="BJ3" s="526"/>
      <c r="BK3" s="526"/>
      <c r="BL3" s="526"/>
      <c r="BM3" s="526"/>
      <c r="BN3" s="526"/>
      <c r="BO3" s="526"/>
      <c r="BP3" s="526"/>
      <c r="BQ3" s="526"/>
      <c r="BR3" s="526"/>
      <c r="BS3" s="526"/>
      <c r="BT3" s="526"/>
      <c r="BU3" s="526"/>
      <c r="BV3" s="526"/>
      <c r="BW3" s="526"/>
      <c r="BX3" s="526"/>
      <c r="BY3" s="526"/>
      <c r="BZ3" s="526"/>
      <c r="CA3" s="526"/>
      <c r="CB3" s="526"/>
      <c r="CC3" s="526"/>
      <c r="CD3" s="526"/>
      <c r="CE3" s="526"/>
      <c r="CF3" s="526"/>
      <c r="CG3" s="526"/>
      <c r="CH3" s="526"/>
      <c r="CI3" s="526"/>
      <c r="CJ3" s="526"/>
      <c r="CK3" s="526"/>
      <c r="CL3" s="526"/>
      <c r="CM3" s="526"/>
      <c r="CN3" s="526"/>
      <c r="CO3" s="526"/>
      <c r="CP3" s="526"/>
      <c r="CQ3" s="526"/>
      <c r="CR3" s="526"/>
      <c r="CS3" s="526"/>
      <c r="CT3" s="526"/>
      <c r="CU3" s="526"/>
      <c r="CV3" s="526"/>
      <c r="CW3" s="526"/>
      <c r="CX3" s="526"/>
      <c r="CY3" s="526"/>
      <c r="CZ3" s="526"/>
      <c r="DA3" s="526"/>
      <c r="DB3" s="526"/>
      <c r="DC3" s="526"/>
      <c r="DD3" s="526"/>
      <c r="DE3" s="526"/>
      <c r="DF3" s="526"/>
      <c r="DG3" s="526"/>
      <c r="DH3" s="526"/>
      <c r="DI3" s="526"/>
      <c r="DJ3" s="526"/>
      <c r="DK3" s="526"/>
      <c r="DL3" s="526"/>
      <c r="DM3" s="526"/>
      <c r="DN3" s="526"/>
      <c r="DO3" s="526"/>
      <c r="DP3" s="526"/>
      <c r="DQ3" s="526"/>
      <c r="DR3" s="526"/>
      <c r="DS3" s="526"/>
      <c r="DT3" s="526"/>
      <c r="DU3" s="526"/>
      <c r="DV3" s="526"/>
      <c r="DW3" s="526"/>
      <c r="DX3" s="526"/>
      <c r="DY3" s="526"/>
      <c r="DZ3" s="526"/>
      <c r="EA3" s="526"/>
      <c r="EB3" s="526"/>
      <c r="EC3" s="526"/>
      <c r="ED3" s="526"/>
      <c r="EE3" s="526"/>
      <c r="EF3" s="526"/>
      <c r="EG3" s="526"/>
      <c r="EH3" s="526"/>
      <c r="EI3" s="526"/>
      <c r="EJ3" s="526"/>
      <c r="EK3" s="526"/>
      <c r="EL3" s="526"/>
      <c r="EM3" s="526"/>
      <c r="EN3" s="526"/>
      <c r="EO3" s="526"/>
      <c r="EP3" s="526"/>
      <c r="EQ3" s="526"/>
      <c r="ER3" s="526"/>
      <c r="ES3" s="526"/>
      <c r="ET3" s="526"/>
      <c r="EU3" s="526"/>
      <c r="EV3" s="526"/>
      <c r="EW3" s="526"/>
      <c r="EX3" s="526"/>
      <c r="EY3" s="526"/>
      <c r="EZ3" s="526"/>
      <c r="FA3" s="526"/>
      <c r="FB3" s="526"/>
      <c r="FC3" s="526"/>
      <c r="FD3" s="526"/>
      <c r="FE3" s="526"/>
      <c r="FF3" s="526"/>
      <c r="FG3" s="526"/>
      <c r="FH3" s="526"/>
      <c r="FI3" s="526"/>
      <c r="FJ3" s="526"/>
      <c r="FK3" s="526"/>
      <c r="FL3" s="526"/>
      <c r="FM3" s="526"/>
      <c r="FN3" s="526"/>
      <c r="FO3" s="526"/>
      <c r="FP3" s="526"/>
      <c r="FQ3" s="526"/>
      <c r="FR3" s="526"/>
      <c r="FS3" s="526"/>
      <c r="FT3" s="526"/>
      <c r="FU3" s="526"/>
      <c r="FV3" s="526"/>
      <c r="FW3" s="526"/>
      <c r="FX3" s="526"/>
      <c r="FY3" s="526"/>
      <c r="FZ3" s="526"/>
      <c r="GA3" s="526"/>
      <c r="GB3" s="526"/>
      <c r="GC3" s="526"/>
      <c r="GD3" s="526"/>
      <c r="GE3" s="526"/>
      <c r="GF3" s="526"/>
      <c r="GG3" s="526"/>
      <c r="GH3" s="526"/>
      <c r="GI3" s="526"/>
      <c r="GJ3" s="526"/>
      <c r="GK3" s="526"/>
      <c r="GL3" s="526"/>
      <c r="GM3" s="526"/>
      <c r="GN3" s="526"/>
      <c r="GO3" s="526"/>
      <c r="GP3" s="526"/>
      <c r="GQ3" s="526"/>
      <c r="GR3" s="526"/>
      <c r="GS3" s="526"/>
      <c r="GT3" s="526"/>
      <c r="GU3" s="526"/>
      <c r="GV3" s="526"/>
      <c r="GW3" s="526"/>
      <c r="GX3" s="526"/>
      <c r="GY3" s="526"/>
      <c r="GZ3" s="526"/>
      <c r="HA3" s="526"/>
      <c r="HB3" s="526"/>
      <c r="HC3" s="526"/>
      <c r="HD3" s="526"/>
      <c r="HE3" s="526"/>
      <c r="HF3" s="526"/>
      <c r="HG3" s="526"/>
      <c r="HH3" s="526"/>
      <c r="HI3" s="526"/>
      <c r="HJ3" s="526"/>
      <c r="HK3" s="526"/>
      <c r="HL3" s="526"/>
      <c r="HM3" s="526"/>
      <c r="HN3" s="526"/>
      <c r="HO3" s="526"/>
      <c r="HP3" s="526"/>
      <c r="HQ3" s="526"/>
      <c r="HR3" s="526"/>
      <c r="HS3" s="526"/>
      <c r="HT3" s="526"/>
      <c r="HU3" s="526"/>
      <c r="HV3" s="526"/>
      <c r="HW3" s="526"/>
      <c r="HX3" s="526"/>
      <c r="HY3" s="526"/>
      <c r="HZ3" s="526"/>
      <c r="IA3" s="526"/>
      <c r="IB3" s="526"/>
      <c r="IC3" s="526"/>
      <c r="ID3" s="526"/>
      <c r="IE3" s="526"/>
      <c r="IF3" s="526"/>
      <c r="IG3" s="526"/>
      <c r="IH3" s="526"/>
      <c r="II3" s="526"/>
      <c r="IJ3" s="526"/>
      <c r="IK3" s="526"/>
      <c r="IL3" s="526"/>
      <c r="IM3" s="526"/>
      <c r="IN3" s="526"/>
      <c r="IO3" s="526"/>
      <c r="IP3" s="526"/>
      <c r="IQ3" s="526"/>
      <c r="IR3" s="526"/>
      <c r="IS3" s="526"/>
      <c r="IT3" s="526"/>
      <c r="IU3" s="526"/>
      <c r="IV3" s="526"/>
      <c r="IW3" s="526"/>
      <c r="IX3" s="526"/>
      <c r="IY3" s="526"/>
      <c r="IZ3" s="526"/>
      <c r="JA3" s="526"/>
      <c r="JB3" s="526"/>
      <c r="JC3" s="526"/>
      <c r="JD3" s="526"/>
      <c r="JE3" s="526"/>
      <c r="JF3" s="526"/>
      <c r="JG3" s="526"/>
      <c r="JH3" s="526"/>
      <c r="JI3" s="526"/>
      <c r="JJ3" s="526"/>
      <c r="JK3" s="526"/>
      <c r="JL3" s="526"/>
      <c r="JM3" s="526"/>
      <c r="JN3" s="526"/>
      <c r="JO3" s="526"/>
      <c r="JP3" s="526"/>
      <c r="JQ3" s="526"/>
      <c r="JR3" s="526"/>
      <c r="JS3" s="526"/>
      <c r="JT3" s="526"/>
      <c r="JU3" s="526"/>
      <c r="JV3" s="526"/>
      <c r="JW3" s="526"/>
      <c r="JX3" s="526"/>
      <c r="JY3" s="526"/>
      <c r="JZ3" s="526"/>
      <c r="KA3" s="526"/>
      <c r="KB3" s="526"/>
      <c r="KC3" s="526"/>
      <c r="KD3" s="526"/>
      <c r="KE3" s="526"/>
      <c r="KF3" s="526"/>
      <c r="KG3" s="526"/>
      <c r="KH3" s="526"/>
      <c r="KI3" s="526"/>
      <c r="KJ3" s="526"/>
      <c r="KK3" s="526"/>
      <c r="KL3" s="526"/>
      <c r="KM3" s="526"/>
      <c r="KN3" s="526"/>
      <c r="KO3" s="526"/>
      <c r="KP3" s="526"/>
      <c r="KQ3" s="526"/>
      <c r="KR3" s="526"/>
      <c r="KS3" s="526"/>
      <c r="KT3" s="526"/>
      <c r="KU3" s="526"/>
      <c r="KV3" s="526"/>
      <c r="KW3" s="526"/>
      <c r="KX3" s="526"/>
      <c r="KY3" s="526"/>
      <c r="KZ3" s="526"/>
      <c r="LA3" s="526"/>
      <c r="LB3" s="529"/>
      <c r="LC3" s="526"/>
      <c r="LD3" s="526"/>
      <c r="LE3" s="526"/>
      <c r="LF3" s="526"/>
      <c r="LG3" s="526"/>
      <c r="LH3" s="526"/>
      <c r="LI3" s="526"/>
      <c r="LJ3" s="526"/>
      <c r="LK3" s="526"/>
      <c r="LL3" s="526"/>
      <c r="LM3" s="526"/>
      <c r="LN3" s="526"/>
      <c r="LO3" s="526"/>
      <c r="LP3" s="526"/>
      <c r="LQ3" s="526"/>
      <c r="LR3" s="526"/>
      <c r="LS3" s="526"/>
      <c r="LT3" s="526"/>
      <c r="LU3" s="526"/>
      <c r="LV3" s="526"/>
      <c r="LW3" s="526"/>
      <c r="LX3" s="526"/>
      <c r="LY3" s="526"/>
      <c r="LZ3" s="526"/>
      <c r="MA3" s="526"/>
      <c r="MB3" s="526"/>
      <c r="MC3" s="526"/>
      <c r="MD3" s="526"/>
      <c r="ME3" s="526"/>
    </row>
    <row r="4" customFormat="false" ht="10.5" hidden="false" customHeight="true" outlineLevel="0" collapsed="false">
      <c r="B4" s="530"/>
      <c r="C4" s="531"/>
      <c r="D4" s="532" t="s">
        <v>242</v>
      </c>
      <c r="E4" s="533"/>
      <c r="F4" s="533"/>
      <c r="G4" s="533"/>
      <c r="H4" s="534"/>
      <c r="I4" s="535" t="s">
        <v>243</v>
      </c>
      <c r="J4" s="532"/>
      <c r="K4" s="533"/>
      <c r="L4" s="533"/>
      <c r="M4" s="536"/>
      <c r="N4" s="533"/>
      <c r="O4" s="533"/>
      <c r="P4" s="534"/>
      <c r="Q4" s="537" t="s">
        <v>244</v>
      </c>
      <c r="R4" s="538"/>
      <c r="S4" s="534"/>
      <c r="T4" s="532" t="s">
        <v>212</v>
      </c>
      <c r="U4" s="532"/>
      <c r="V4" s="532"/>
      <c r="W4" s="532"/>
      <c r="X4" s="533"/>
      <c r="Y4" s="533"/>
      <c r="Z4" s="533"/>
      <c r="AA4" s="533"/>
      <c r="AB4" s="534"/>
      <c r="AC4" s="532" t="s">
        <v>213</v>
      </c>
      <c r="AD4" s="532"/>
      <c r="AE4" s="532"/>
      <c r="AF4" s="532"/>
      <c r="AG4" s="533"/>
      <c r="AH4" s="533"/>
      <c r="AI4" s="533"/>
      <c r="AJ4" s="533"/>
      <c r="AK4" s="534"/>
      <c r="AL4" s="532" t="s">
        <v>214</v>
      </c>
      <c r="AM4" s="532"/>
      <c r="AN4" s="532"/>
      <c r="AO4" s="532"/>
      <c r="AP4" s="533"/>
      <c r="AQ4" s="533"/>
      <c r="AR4" s="533"/>
      <c r="AS4" s="533"/>
      <c r="AT4" s="534"/>
      <c r="AU4" s="532" t="s">
        <v>104</v>
      </c>
      <c r="AV4" s="532"/>
      <c r="AW4" s="532"/>
      <c r="AX4" s="532"/>
      <c r="AY4" s="533"/>
      <c r="AZ4" s="533"/>
      <c r="BA4" s="533"/>
      <c r="BB4" s="533"/>
      <c r="BC4" s="534"/>
      <c r="BD4" s="532" t="s">
        <v>215</v>
      </c>
      <c r="BE4" s="532"/>
      <c r="BF4" s="532"/>
      <c r="BG4" s="532"/>
      <c r="BH4" s="533"/>
      <c r="BI4" s="533"/>
      <c r="BJ4" s="533"/>
      <c r="BK4" s="533"/>
      <c r="BL4" s="534"/>
      <c r="BM4" s="532" t="s">
        <v>220</v>
      </c>
      <c r="BN4" s="532"/>
      <c r="BO4" s="532"/>
      <c r="BP4" s="532"/>
      <c r="BQ4" s="533"/>
      <c r="BR4" s="533"/>
      <c r="BS4" s="533"/>
      <c r="BT4" s="533"/>
      <c r="BU4" s="533"/>
      <c r="BV4" s="535" t="s">
        <v>221</v>
      </c>
      <c r="BW4" s="532"/>
      <c r="BX4" s="532"/>
      <c r="BY4" s="532"/>
      <c r="BZ4" s="533"/>
      <c r="CA4" s="533"/>
      <c r="CB4" s="533"/>
      <c r="CC4" s="533"/>
      <c r="CD4" s="534"/>
      <c r="CE4" s="532" t="s">
        <v>222</v>
      </c>
      <c r="CF4" s="532"/>
      <c r="CG4" s="532"/>
      <c r="CH4" s="532"/>
      <c r="CI4" s="533"/>
      <c r="CJ4" s="533"/>
      <c r="CK4" s="533"/>
      <c r="CL4" s="533"/>
      <c r="CM4" s="534"/>
      <c r="CN4" s="532" t="s">
        <v>223</v>
      </c>
      <c r="CO4" s="532"/>
      <c r="CP4" s="532"/>
      <c r="CQ4" s="532"/>
      <c r="CR4" s="533"/>
      <c r="CS4" s="533"/>
      <c r="CT4" s="533"/>
      <c r="CU4" s="533"/>
      <c r="CV4" s="534"/>
      <c r="CW4" s="532" t="s">
        <v>224</v>
      </c>
      <c r="CX4" s="532"/>
      <c r="CY4" s="532"/>
      <c r="CZ4" s="532"/>
      <c r="DA4" s="533"/>
      <c r="DB4" s="533"/>
      <c r="DC4" s="533"/>
      <c r="DD4" s="533"/>
      <c r="DE4" s="534"/>
      <c r="DF4" s="532" t="s">
        <v>225</v>
      </c>
      <c r="DG4" s="532"/>
      <c r="DH4" s="532"/>
      <c r="DI4" s="532"/>
      <c r="DJ4" s="533"/>
      <c r="DK4" s="533"/>
      <c r="DL4" s="533"/>
      <c r="DM4" s="533"/>
      <c r="DN4" s="534"/>
      <c r="DO4" s="532" t="s">
        <v>226</v>
      </c>
      <c r="DP4" s="532"/>
      <c r="DQ4" s="532"/>
      <c r="DR4" s="532"/>
      <c r="DS4" s="533"/>
      <c r="DT4" s="533"/>
      <c r="DU4" s="533"/>
      <c r="DV4" s="533"/>
      <c r="DW4" s="534"/>
      <c r="DX4" s="532" t="s">
        <v>227</v>
      </c>
      <c r="DY4" s="532"/>
      <c r="DZ4" s="532"/>
      <c r="EA4" s="532"/>
      <c r="EB4" s="533"/>
      <c r="EC4" s="533"/>
      <c r="ED4" s="533"/>
      <c r="EE4" s="533"/>
      <c r="EF4" s="534"/>
      <c r="EG4" s="532" t="s">
        <v>228</v>
      </c>
      <c r="EH4" s="533"/>
      <c r="EI4" s="533"/>
      <c r="EJ4" s="533"/>
      <c r="EK4" s="533"/>
      <c r="EL4" s="533"/>
      <c r="EM4" s="533"/>
      <c r="EN4" s="533"/>
      <c r="EO4" s="534"/>
      <c r="EP4" s="532" t="s">
        <v>144</v>
      </c>
      <c r="EQ4" s="532"/>
      <c r="ER4" s="532"/>
      <c r="ES4" s="532"/>
      <c r="ET4" s="533"/>
      <c r="EU4" s="533"/>
      <c r="EV4" s="533"/>
      <c r="EW4" s="533"/>
      <c r="EX4" s="534"/>
      <c r="EY4" s="532" t="s">
        <v>229</v>
      </c>
      <c r="EZ4" s="533"/>
      <c r="FA4" s="533"/>
      <c r="FB4" s="533"/>
      <c r="FC4" s="533"/>
      <c r="FD4" s="533"/>
      <c r="FE4" s="533"/>
      <c r="FF4" s="533"/>
      <c r="FG4" s="534"/>
      <c r="FH4" s="532" t="s">
        <v>230</v>
      </c>
      <c r="FI4" s="532"/>
      <c r="FJ4" s="532"/>
      <c r="FK4" s="532"/>
      <c r="FL4" s="532"/>
      <c r="FM4" s="533"/>
      <c r="FN4" s="533"/>
      <c r="FO4" s="533"/>
      <c r="FP4" s="539"/>
      <c r="FQ4" s="532" t="s">
        <v>231</v>
      </c>
      <c r="FR4" s="532"/>
      <c r="FS4" s="532"/>
      <c r="FT4" s="532"/>
      <c r="FU4" s="532"/>
      <c r="FV4" s="533"/>
      <c r="FW4" s="533"/>
      <c r="FX4" s="533"/>
      <c r="FY4" s="539"/>
      <c r="FZ4" s="532" t="s">
        <v>149</v>
      </c>
      <c r="GA4" s="532"/>
      <c r="GB4" s="532"/>
      <c r="GC4" s="532"/>
      <c r="GD4" s="533"/>
      <c r="GE4" s="533"/>
      <c r="GF4" s="533"/>
      <c r="GG4" s="533"/>
      <c r="GH4" s="534"/>
      <c r="GI4" s="532" t="s">
        <v>232</v>
      </c>
      <c r="GJ4" s="532"/>
      <c r="GK4" s="532"/>
      <c r="GL4" s="532"/>
      <c r="GM4" s="533"/>
      <c r="GN4" s="533"/>
      <c r="GO4" s="533"/>
      <c r="GP4" s="533"/>
      <c r="GQ4" s="534"/>
      <c r="GR4" s="532" t="s">
        <v>233</v>
      </c>
      <c r="GS4" s="532"/>
      <c r="GT4" s="532"/>
      <c r="GU4" s="532"/>
      <c r="GV4" s="533"/>
      <c r="GW4" s="533"/>
      <c r="GX4" s="533"/>
      <c r="GY4" s="533"/>
      <c r="GZ4" s="534"/>
      <c r="HA4" s="532" t="s">
        <v>234</v>
      </c>
      <c r="HB4" s="532"/>
      <c r="HC4" s="532"/>
      <c r="HD4" s="532"/>
      <c r="HE4" s="532"/>
      <c r="HF4" s="533"/>
      <c r="HG4" s="533"/>
      <c r="HH4" s="533"/>
      <c r="HI4" s="539"/>
      <c r="HJ4" s="532" t="s">
        <v>235</v>
      </c>
      <c r="HK4" s="532"/>
      <c r="HL4" s="532"/>
      <c r="HM4" s="532"/>
      <c r="HN4" s="532"/>
      <c r="HO4" s="533"/>
      <c r="HP4" s="533"/>
      <c r="HQ4" s="533"/>
      <c r="HR4" s="539"/>
      <c r="HS4" s="532" t="s">
        <v>154</v>
      </c>
      <c r="HT4" s="532"/>
      <c r="HU4" s="532"/>
      <c r="HV4" s="532"/>
      <c r="HW4" s="533"/>
      <c r="HX4" s="533"/>
      <c r="HY4" s="533"/>
      <c r="HZ4" s="533"/>
      <c r="IA4" s="534"/>
      <c r="IB4" s="532" t="s">
        <v>155</v>
      </c>
      <c r="IC4" s="532"/>
      <c r="ID4" s="532"/>
      <c r="IE4" s="532"/>
      <c r="IF4" s="533"/>
      <c r="IG4" s="533"/>
      <c r="IH4" s="533"/>
      <c r="II4" s="533"/>
      <c r="IJ4" s="534"/>
      <c r="IK4" s="532" t="s">
        <v>157</v>
      </c>
      <c r="IL4" s="532"/>
      <c r="IM4" s="532"/>
      <c r="IN4" s="532"/>
      <c r="IO4" s="532"/>
      <c r="IP4" s="533"/>
      <c r="IQ4" s="533"/>
      <c r="IR4" s="533"/>
      <c r="IS4" s="539"/>
      <c r="IT4" s="532" t="s">
        <v>236</v>
      </c>
      <c r="IU4" s="532"/>
      <c r="IV4" s="532"/>
      <c r="IW4" s="532"/>
      <c r="IX4" s="532"/>
      <c r="IY4" s="533"/>
      <c r="IZ4" s="533"/>
      <c r="JA4" s="533"/>
      <c r="JB4" s="539"/>
      <c r="JC4" s="532" t="s">
        <v>161</v>
      </c>
      <c r="JD4" s="532"/>
      <c r="JE4" s="532"/>
      <c r="JF4" s="532"/>
      <c r="JG4" s="532"/>
      <c r="JH4" s="533"/>
      <c r="JI4" s="533"/>
      <c r="JJ4" s="533"/>
      <c r="JK4" s="539"/>
      <c r="JL4" s="532" t="s">
        <v>237</v>
      </c>
      <c r="JM4" s="532"/>
      <c r="JN4" s="532"/>
      <c r="JO4" s="532"/>
      <c r="JP4" s="532"/>
      <c r="JQ4" s="533"/>
      <c r="JR4" s="533"/>
      <c r="JS4" s="533"/>
      <c r="JT4" s="539"/>
      <c r="JU4" s="532" t="s">
        <v>238</v>
      </c>
      <c r="JV4" s="532"/>
      <c r="JW4" s="532"/>
      <c r="JX4" s="532"/>
      <c r="JY4" s="532"/>
      <c r="JZ4" s="533"/>
      <c r="KA4" s="533"/>
      <c r="KB4" s="533"/>
      <c r="KC4" s="539"/>
      <c r="KD4" s="532" t="s">
        <v>239</v>
      </c>
      <c r="KE4" s="532"/>
      <c r="KF4" s="532"/>
      <c r="KG4" s="532"/>
      <c r="KH4" s="532"/>
      <c r="KI4" s="533"/>
      <c r="KJ4" s="533"/>
      <c r="KK4" s="533"/>
      <c r="KL4" s="539"/>
      <c r="KM4" s="532" t="s">
        <v>164</v>
      </c>
      <c r="KN4" s="532"/>
      <c r="KO4" s="532"/>
      <c r="KP4" s="532"/>
      <c r="KQ4" s="532"/>
      <c r="KR4" s="533"/>
      <c r="KS4" s="533"/>
      <c r="KT4" s="533"/>
      <c r="KU4" s="539"/>
      <c r="KV4" s="532" t="s">
        <v>240</v>
      </c>
      <c r="KW4" s="532"/>
      <c r="KX4" s="532"/>
      <c r="KY4" s="532"/>
      <c r="KZ4" s="533"/>
      <c r="LA4" s="533"/>
      <c r="LB4" s="533"/>
      <c r="LC4" s="533"/>
      <c r="LD4" s="534"/>
      <c r="LE4" s="532" t="s">
        <v>166</v>
      </c>
      <c r="LF4" s="532"/>
      <c r="LG4" s="532"/>
      <c r="LH4" s="532"/>
      <c r="LI4" s="533"/>
      <c r="LJ4" s="533"/>
      <c r="LK4" s="533"/>
      <c r="LL4" s="533"/>
      <c r="LM4" s="534"/>
      <c r="LN4" s="532" t="s">
        <v>183</v>
      </c>
      <c r="LO4" s="532"/>
      <c r="LP4" s="532"/>
      <c r="LQ4" s="532"/>
      <c r="LR4" s="533"/>
      <c r="LS4" s="533"/>
      <c r="LT4" s="533"/>
      <c r="LU4" s="533"/>
      <c r="LV4" s="534"/>
      <c r="LW4" s="532" t="s">
        <v>241</v>
      </c>
      <c r="LX4" s="532"/>
      <c r="LY4" s="532"/>
      <c r="LZ4" s="532"/>
      <c r="MA4" s="533"/>
      <c r="MB4" s="533"/>
      <c r="MC4" s="533"/>
      <c r="MD4" s="533"/>
      <c r="ME4" s="540"/>
    </row>
    <row r="5" s="541" customFormat="true" ht="20.25" hidden="false" customHeight="true" outlineLevel="0" collapsed="false">
      <c r="B5" s="542" t="s">
        <v>245</v>
      </c>
      <c r="C5" s="543" t="s">
        <v>246</v>
      </c>
      <c r="D5" s="544" t="s">
        <v>247</v>
      </c>
      <c r="E5" s="544" t="s">
        <v>248</v>
      </c>
      <c r="F5" s="544" t="s">
        <v>249</v>
      </c>
      <c r="G5" s="544" t="s">
        <v>250</v>
      </c>
      <c r="H5" s="545" t="s">
        <v>251</v>
      </c>
      <c r="I5" s="544" t="s">
        <v>252</v>
      </c>
      <c r="J5" s="544" t="s">
        <v>253</v>
      </c>
      <c r="K5" s="544" t="s">
        <v>254</v>
      </c>
      <c r="L5" s="544" t="s">
        <v>194</v>
      </c>
      <c r="M5" s="544" t="s">
        <v>23</v>
      </c>
      <c r="N5" s="544" t="s">
        <v>73</v>
      </c>
      <c r="O5" s="544" t="s">
        <v>102</v>
      </c>
      <c r="P5" s="545" t="s">
        <v>255</v>
      </c>
      <c r="Q5" s="544" t="s">
        <v>256</v>
      </c>
      <c r="R5" s="544" t="s">
        <v>257</v>
      </c>
      <c r="S5" s="545" t="s">
        <v>258</v>
      </c>
      <c r="T5" s="544" t="n">
        <v>2019</v>
      </c>
      <c r="U5" s="544" t="n">
        <v>2021</v>
      </c>
      <c r="V5" s="544" t="n">
        <v>2022</v>
      </c>
      <c r="W5" s="544" t="n">
        <v>2023</v>
      </c>
      <c r="X5" s="544" t="n">
        <v>2024</v>
      </c>
      <c r="Y5" s="544" t="n">
        <v>2025</v>
      </c>
      <c r="Z5" s="544" t="s">
        <v>259</v>
      </c>
      <c r="AA5" s="544" t="s">
        <v>260</v>
      </c>
      <c r="AB5" s="545" t="s">
        <v>261</v>
      </c>
      <c r="AC5" s="544" t="n">
        <f aca="false">T5</f>
        <v>2019</v>
      </c>
      <c r="AD5" s="544" t="n">
        <f aca="false">U5</f>
        <v>2021</v>
      </c>
      <c r="AE5" s="544" t="n">
        <f aca="false">V5</f>
        <v>2022</v>
      </c>
      <c r="AF5" s="544" t="n">
        <f aca="false">W5</f>
        <v>2023</v>
      </c>
      <c r="AG5" s="544" t="n">
        <f aca="false">X5</f>
        <v>2024</v>
      </c>
      <c r="AH5" s="544" t="n">
        <f aca="false">Y5</f>
        <v>2025</v>
      </c>
      <c r="AI5" s="544" t="str">
        <f aca="false">Z5</f>
        <v>TTM</v>
      </c>
      <c r="AJ5" s="544" t="str">
        <f aca="false">AA5</f>
        <v>Reforecast</v>
      </c>
      <c r="AK5" s="545" t="str">
        <f aca="false">AB5</f>
        <v>Lender UW</v>
      </c>
      <c r="AL5" s="544" t="n">
        <f aca="false">AC5</f>
        <v>2019</v>
      </c>
      <c r="AM5" s="544" t="n">
        <f aca="false">AD5</f>
        <v>2021</v>
      </c>
      <c r="AN5" s="544" t="n">
        <f aca="false">AE5</f>
        <v>2022</v>
      </c>
      <c r="AO5" s="544" t="n">
        <f aca="false">AF5</f>
        <v>2023</v>
      </c>
      <c r="AP5" s="544" t="n">
        <f aca="false">AG5</f>
        <v>2024</v>
      </c>
      <c r="AQ5" s="544" t="n">
        <f aca="false">AH5</f>
        <v>2025</v>
      </c>
      <c r="AR5" s="544" t="str">
        <f aca="false">AI5</f>
        <v>TTM</v>
      </c>
      <c r="AS5" s="544" t="str">
        <f aca="false">AJ5</f>
        <v>Reforecast</v>
      </c>
      <c r="AT5" s="545" t="str">
        <f aca="false">AK5</f>
        <v>Lender UW</v>
      </c>
      <c r="AU5" s="544" t="n">
        <f aca="false">AL5</f>
        <v>2019</v>
      </c>
      <c r="AV5" s="544" t="n">
        <f aca="false">AM5</f>
        <v>2021</v>
      </c>
      <c r="AW5" s="544" t="n">
        <f aca="false">AN5</f>
        <v>2022</v>
      </c>
      <c r="AX5" s="544" t="n">
        <f aca="false">AO5</f>
        <v>2023</v>
      </c>
      <c r="AY5" s="544" t="n">
        <f aca="false">AP5</f>
        <v>2024</v>
      </c>
      <c r="AZ5" s="544" t="n">
        <f aca="false">AQ5</f>
        <v>2025</v>
      </c>
      <c r="BA5" s="544" t="str">
        <f aca="false">AR5</f>
        <v>TTM</v>
      </c>
      <c r="BB5" s="544" t="str">
        <f aca="false">AS5</f>
        <v>Reforecast</v>
      </c>
      <c r="BC5" s="545" t="str">
        <f aca="false">AT5</f>
        <v>Lender UW</v>
      </c>
      <c r="BD5" s="544" t="n">
        <f aca="false">AU5</f>
        <v>2019</v>
      </c>
      <c r="BE5" s="544" t="n">
        <f aca="false">AV5</f>
        <v>2021</v>
      </c>
      <c r="BF5" s="544" t="n">
        <f aca="false">AW5</f>
        <v>2022</v>
      </c>
      <c r="BG5" s="544" t="n">
        <f aca="false">AX5</f>
        <v>2023</v>
      </c>
      <c r="BH5" s="544" t="n">
        <f aca="false">AY5</f>
        <v>2024</v>
      </c>
      <c r="BI5" s="544" t="n">
        <f aca="false">AZ5</f>
        <v>2025</v>
      </c>
      <c r="BJ5" s="544" t="str">
        <f aca="false">BA5</f>
        <v>TTM</v>
      </c>
      <c r="BK5" s="544" t="str">
        <f aca="false">BB5</f>
        <v>Reforecast</v>
      </c>
      <c r="BL5" s="545" t="str">
        <f aca="false">BC5</f>
        <v>Lender UW</v>
      </c>
      <c r="BM5" s="544" t="n">
        <f aca="false">BD5</f>
        <v>2019</v>
      </c>
      <c r="BN5" s="544" t="n">
        <f aca="false">BE5</f>
        <v>2021</v>
      </c>
      <c r="BO5" s="544" t="n">
        <f aca="false">BF5</f>
        <v>2022</v>
      </c>
      <c r="BP5" s="544" t="n">
        <f aca="false">BG5</f>
        <v>2023</v>
      </c>
      <c r="BQ5" s="544" t="n">
        <f aca="false">BH5</f>
        <v>2024</v>
      </c>
      <c r="BR5" s="544" t="n">
        <f aca="false">BI5</f>
        <v>2025</v>
      </c>
      <c r="BS5" s="544" t="str">
        <f aca="false">BJ5</f>
        <v>TTM</v>
      </c>
      <c r="BT5" s="544" t="str">
        <f aca="false">BK5</f>
        <v>Reforecast</v>
      </c>
      <c r="BU5" s="544" t="str">
        <f aca="false">BL5</f>
        <v>Lender UW</v>
      </c>
      <c r="BV5" s="546" t="n">
        <f aca="false">BM5</f>
        <v>2019</v>
      </c>
      <c r="BW5" s="544" t="n">
        <f aca="false">BN5</f>
        <v>2021</v>
      </c>
      <c r="BX5" s="544" t="n">
        <f aca="false">BO5</f>
        <v>2022</v>
      </c>
      <c r="BY5" s="544" t="n">
        <f aca="false">BP5</f>
        <v>2023</v>
      </c>
      <c r="BZ5" s="544" t="n">
        <f aca="false">BQ5</f>
        <v>2024</v>
      </c>
      <c r="CA5" s="544" t="n">
        <f aca="false">BR5</f>
        <v>2025</v>
      </c>
      <c r="CB5" s="544" t="str">
        <f aca="false">BS5</f>
        <v>TTM</v>
      </c>
      <c r="CC5" s="544" t="str">
        <f aca="false">BT5</f>
        <v>Reforecast</v>
      </c>
      <c r="CD5" s="545" t="str">
        <f aca="false">BU5</f>
        <v>Lender UW</v>
      </c>
      <c r="CE5" s="544" t="n">
        <f aca="false">BV5</f>
        <v>2019</v>
      </c>
      <c r="CF5" s="544" t="n">
        <f aca="false">BW5</f>
        <v>2021</v>
      </c>
      <c r="CG5" s="544" t="n">
        <f aca="false">BX5</f>
        <v>2022</v>
      </c>
      <c r="CH5" s="544" t="n">
        <f aca="false">BY5</f>
        <v>2023</v>
      </c>
      <c r="CI5" s="544" t="n">
        <f aca="false">BZ5</f>
        <v>2024</v>
      </c>
      <c r="CJ5" s="544" t="n">
        <f aca="false">CA5</f>
        <v>2025</v>
      </c>
      <c r="CK5" s="544" t="str">
        <f aca="false">CB5</f>
        <v>TTM</v>
      </c>
      <c r="CL5" s="544" t="str">
        <f aca="false">CC5</f>
        <v>Reforecast</v>
      </c>
      <c r="CM5" s="545" t="str">
        <f aca="false">CD5</f>
        <v>Lender UW</v>
      </c>
      <c r="CN5" s="544" t="n">
        <f aca="false">CE5</f>
        <v>2019</v>
      </c>
      <c r="CO5" s="544" t="n">
        <f aca="false">CF5</f>
        <v>2021</v>
      </c>
      <c r="CP5" s="544" t="n">
        <f aca="false">CG5</f>
        <v>2022</v>
      </c>
      <c r="CQ5" s="544" t="n">
        <f aca="false">CH5</f>
        <v>2023</v>
      </c>
      <c r="CR5" s="544" t="n">
        <f aca="false">CI5</f>
        <v>2024</v>
      </c>
      <c r="CS5" s="544" t="n">
        <f aca="false">CJ5</f>
        <v>2025</v>
      </c>
      <c r="CT5" s="544" t="str">
        <f aca="false">CK5</f>
        <v>TTM</v>
      </c>
      <c r="CU5" s="544" t="str">
        <f aca="false">CL5</f>
        <v>Reforecast</v>
      </c>
      <c r="CV5" s="545" t="str">
        <f aca="false">CM5</f>
        <v>Lender UW</v>
      </c>
      <c r="CW5" s="544" t="n">
        <f aca="false">CN5</f>
        <v>2019</v>
      </c>
      <c r="CX5" s="544" t="n">
        <f aca="false">CO5</f>
        <v>2021</v>
      </c>
      <c r="CY5" s="544" t="n">
        <f aca="false">CP5</f>
        <v>2022</v>
      </c>
      <c r="CZ5" s="544" t="n">
        <f aca="false">CQ5</f>
        <v>2023</v>
      </c>
      <c r="DA5" s="544" t="n">
        <f aca="false">CR5</f>
        <v>2024</v>
      </c>
      <c r="DB5" s="544" t="n">
        <f aca="false">CS5</f>
        <v>2025</v>
      </c>
      <c r="DC5" s="544" t="str">
        <f aca="false">CT5</f>
        <v>TTM</v>
      </c>
      <c r="DD5" s="544" t="str">
        <f aca="false">CU5</f>
        <v>Reforecast</v>
      </c>
      <c r="DE5" s="545" t="str">
        <f aca="false">CV5</f>
        <v>Lender UW</v>
      </c>
      <c r="DF5" s="544" t="n">
        <f aca="false">CW5</f>
        <v>2019</v>
      </c>
      <c r="DG5" s="544" t="n">
        <f aca="false">CX5</f>
        <v>2021</v>
      </c>
      <c r="DH5" s="544" t="n">
        <f aca="false">CY5</f>
        <v>2022</v>
      </c>
      <c r="DI5" s="544" t="n">
        <f aca="false">CZ5</f>
        <v>2023</v>
      </c>
      <c r="DJ5" s="544" t="n">
        <f aca="false">DA5</f>
        <v>2024</v>
      </c>
      <c r="DK5" s="544" t="n">
        <f aca="false">DB5</f>
        <v>2025</v>
      </c>
      <c r="DL5" s="544" t="str">
        <f aca="false">DC5</f>
        <v>TTM</v>
      </c>
      <c r="DM5" s="544" t="str">
        <f aca="false">DD5</f>
        <v>Reforecast</v>
      </c>
      <c r="DN5" s="545" t="str">
        <f aca="false">DE5</f>
        <v>Lender UW</v>
      </c>
      <c r="DO5" s="544" t="n">
        <f aca="false">DF5</f>
        <v>2019</v>
      </c>
      <c r="DP5" s="544" t="n">
        <f aca="false">DG5</f>
        <v>2021</v>
      </c>
      <c r="DQ5" s="544" t="n">
        <f aca="false">DH5</f>
        <v>2022</v>
      </c>
      <c r="DR5" s="544" t="n">
        <f aca="false">DI5</f>
        <v>2023</v>
      </c>
      <c r="DS5" s="544" t="n">
        <f aca="false">DJ5</f>
        <v>2024</v>
      </c>
      <c r="DT5" s="544" t="n">
        <f aca="false">DK5</f>
        <v>2025</v>
      </c>
      <c r="DU5" s="544" t="str">
        <f aca="false">DL5</f>
        <v>TTM</v>
      </c>
      <c r="DV5" s="544" t="str">
        <f aca="false">DM5</f>
        <v>Reforecast</v>
      </c>
      <c r="DW5" s="545" t="str">
        <f aca="false">DN5</f>
        <v>Lender UW</v>
      </c>
      <c r="DX5" s="544" t="n">
        <f aca="false">DO5</f>
        <v>2019</v>
      </c>
      <c r="DY5" s="544" t="n">
        <f aca="false">DP5</f>
        <v>2021</v>
      </c>
      <c r="DZ5" s="544" t="n">
        <f aca="false">DQ5</f>
        <v>2022</v>
      </c>
      <c r="EA5" s="544" t="n">
        <f aca="false">DR5</f>
        <v>2023</v>
      </c>
      <c r="EB5" s="544" t="n">
        <f aca="false">DS5</f>
        <v>2024</v>
      </c>
      <c r="EC5" s="544" t="n">
        <f aca="false">DT5</f>
        <v>2025</v>
      </c>
      <c r="ED5" s="544" t="str">
        <f aca="false">DU5</f>
        <v>TTM</v>
      </c>
      <c r="EE5" s="544" t="str">
        <f aca="false">DV5</f>
        <v>Reforecast</v>
      </c>
      <c r="EF5" s="545" t="str">
        <f aca="false">DW5</f>
        <v>Lender UW</v>
      </c>
      <c r="EG5" s="544" t="n">
        <f aca="false">DX5</f>
        <v>2019</v>
      </c>
      <c r="EH5" s="544" t="n">
        <f aca="false">DY5</f>
        <v>2021</v>
      </c>
      <c r="EI5" s="544" t="n">
        <f aca="false">DZ5</f>
        <v>2022</v>
      </c>
      <c r="EJ5" s="544" t="n">
        <f aca="false">EA5</f>
        <v>2023</v>
      </c>
      <c r="EK5" s="544" t="n">
        <f aca="false">EB5</f>
        <v>2024</v>
      </c>
      <c r="EL5" s="544" t="n">
        <f aca="false">EC5</f>
        <v>2025</v>
      </c>
      <c r="EM5" s="544" t="str">
        <f aca="false">ED5</f>
        <v>TTM</v>
      </c>
      <c r="EN5" s="544" t="str">
        <f aca="false">EE5</f>
        <v>Reforecast</v>
      </c>
      <c r="EO5" s="545" t="str">
        <f aca="false">EF5</f>
        <v>Lender UW</v>
      </c>
      <c r="EP5" s="544" t="n">
        <f aca="false">EG5</f>
        <v>2019</v>
      </c>
      <c r="EQ5" s="544" t="n">
        <f aca="false">EH5</f>
        <v>2021</v>
      </c>
      <c r="ER5" s="544" t="n">
        <f aca="false">EI5</f>
        <v>2022</v>
      </c>
      <c r="ES5" s="544" t="n">
        <f aca="false">EJ5</f>
        <v>2023</v>
      </c>
      <c r="ET5" s="544" t="n">
        <f aca="false">EK5</f>
        <v>2024</v>
      </c>
      <c r="EU5" s="544" t="n">
        <f aca="false">EL5</f>
        <v>2025</v>
      </c>
      <c r="EV5" s="544" t="str">
        <f aca="false">EM5</f>
        <v>TTM</v>
      </c>
      <c r="EW5" s="544" t="str">
        <f aca="false">EN5</f>
        <v>Reforecast</v>
      </c>
      <c r="EX5" s="545" t="str">
        <f aca="false">EO5</f>
        <v>Lender UW</v>
      </c>
      <c r="EY5" s="544" t="n">
        <f aca="false">EP5</f>
        <v>2019</v>
      </c>
      <c r="EZ5" s="544" t="n">
        <f aca="false">EQ5</f>
        <v>2021</v>
      </c>
      <c r="FA5" s="544" t="n">
        <f aca="false">ER5</f>
        <v>2022</v>
      </c>
      <c r="FB5" s="544" t="n">
        <f aca="false">ES5</f>
        <v>2023</v>
      </c>
      <c r="FC5" s="544" t="n">
        <f aca="false">ET5</f>
        <v>2024</v>
      </c>
      <c r="FD5" s="544" t="n">
        <f aca="false">EU5</f>
        <v>2025</v>
      </c>
      <c r="FE5" s="544" t="str">
        <f aca="false">EV5</f>
        <v>TTM</v>
      </c>
      <c r="FF5" s="544" t="str">
        <f aca="false">EW5</f>
        <v>Reforecast</v>
      </c>
      <c r="FG5" s="545" t="str">
        <f aca="false">EX5</f>
        <v>Lender UW</v>
      </c>
      <c r="FH5" s="544" t="n">
        <f aca="false">EY5</f>
        <v>2019</v>
      </c>
      <c r="FI5" s="544" t="n">
        <f aca="false">EZ5</f>
        <v>2021</v>
      </c>
      <c r="FJ5" s="544" t="n">
        <f aca="false">FA5</f>
        <v>2022</v>
      </c>
      <c r="FK5" s="544" t="n">
        <f aca="false">FB5</f>
        <v>2023</v>
      </c>
      <c r="FL5" s="544" t="n">
        <f aca="false">FC5</f>
        <v>2024</v>
      </c>
      <c r="FM5" s="544" t="n">
        <f aca="false">FD5</f>
        <v>2025</v>
      </c>
      <c r="FN5" s="544" t="str">
        <f aca="false">FE5</f>
        <v>TTM</v>
      </c>
      <c r="FO5" s="544" t="str">
        <f aca="false">FF5</f>
        <v>Reforecast</v>
      </c>
      <c r="FP5" s="545" t="str">
        <f aca="false">FG5</f>
        <v>Lender UW</v>
      </c>
      <c r="FQ5" s="544" t="n">
        <f aca="false">FH5</f>
        <v>2019</v>
      </c>
      <c r="FR5" s="544" t="n">
        <f aca="false">FI5</f>
        <v>2021</v>
      </c>
      <c r="FS5" s="544" t="n">
        <f aca="false">FJ5</f>
        <v>2022</v>
      </c>
      <c r="FT5" s="544" t="n">
        <f aca="false">FK5</f>
        <v>2023</v>
      </c>
      <c r="FU5" s="544" t="n">
        <f aca="false">FL5</f>
        <v>2024</v>
      </c>
      <c r="FV5" s="544" t="n">
        <f aca="false">FM5</f>
        <v>2025</v>
      </c>
      <c r="FW5" s="544" t="str">
        <f aca="false">FN5</f>
        <v>TTM</v>
      </c>
      <c r="FX5" s="544" t="str">
        <f aca="false">FO5</f>
        <v>Reforecast</v>
      </c>
      <c r="FY5" s="545" t="str">
        <f aca="false">FP5</f>
        <v>Lender UW</v>
      </c>
      <c r="FZ5" s="544" t="n">
        <f aca="false">FQ5</f>
        <v>2019</v>
      </c>
      <c r="GA5" s="544" t="n">
        <f aca="false">FR5</f>
        <v>2021</v>
      </c>
      <c r="GB5" s="544" t="n">
        <f aca="false">FS5</f>
        <v>2022</v>
      </c>
      <c r="GC5" s="544" t="n">
        <f aca="false">FT5</f>
        <v>2023</v>
      </c>
      <c r="GD5" s="544" t="n">
        <f aca="false">FU5</f>
        <v>2024</v>
      </c>
      <c r="GE5" s="544" t="n">
        <f aca="false">FV5</f>
        <v>2025</v>
      </c>
      <c r="GF5" s="544" t="str">
        <f aca="false">FW5</f>
        <v>TTM</v>
      </c>
      <c r="GG5" s="544" t="str">
        <f aca="false">FX5</f>
        <v>Reforecast</v>
      </c>
      <c r="GH5" s="545" t="str">
        <f aca="false">FY5</f>
        <v>Lender UW</v>
      </c>
      <c r="GI5" s="544" t="n">
        <f aca="false">FZ5</f>
        <v>2019</v>
      </c>
      <c r="GJ5" s="544" t="n">
        <f aca="false">GA5</f>
        <v>2021</v>
      </c>
      <c r="GK5" s="544" t="n">
        <f aca="false">GB5</f>
        <v>2022</v>
      </c>
      <c r="GL5" s="544" t="n">
        <f aca="false">GC5</f>
        <v>2023</v>
      </c>
      <c r="GM5" s="544" t="n">
        <f aca="false">GD5</f>
        <v>2024</v>
      </c>
      <c r="GN5" s="544" t="n">
        <f aca="false">GE5</f>
        <v>2025</v>
      </c>
      <c r="GO5" s="544" t="str">
        <f aca="false">GF5</f>
        <v>TTM</v>
      </c>
      <c r="GP5" s="544" t="str">
        <f aca="false">GG5</f>
        <v>Reforecast</v>
      </c>
      <c r="GQ5" s="545" t="str">
        <f aca="false">GH5</f>
        <v>Lender UW</v>
      </c>
      <c r="GR5" s="544" t="n">
        <f aca="false">GI5</f>
        <v>2019</v>
      </c>
      <c r="GS5" s="544" t="n">
        <f aca="false">GJ5</f>
        <v>2021</v>
      </c>
      <c r="GT5" s="544" t="n">
        <f aca="false">GK5</f>
        <v>2022</v>
      </c>
      <c r="GU5" s="544" t="n">
        <f aca="false">GL5</f>
        <v>2023</v>
      </c>
      <c r="GV5" s="544" t="n">
        <f aca="false">GM5</f>
        <v>2024</v>
      </c>
      <c r="GW5" s="544" t="n">
        <f aca="false">GN5</f>
        <v>2025</v>
      </c>
      <c r="GX5" s="544" t="str">
        <f aca="false">GO5</f>
        <v>TTM</v>
      </c>
      <c r="GY5" s="544" t="str">
        <f aca="false">GP5</f>
        <v>Reforecast</v>
      </c>
      <c r="GZ5" s="545" t="str">
        <f aca="false">GQ5</f>
        <v>Lender UW</v>
      </c>
      <c r="HA5" s="544" t="n">
        <f aca="false">GR5</f>
        <v>2019</v>
      </c>
      <c r="HB5" s="544" t="n">
        <f aca="false">GS5</f>
        <v>2021</v>
      </c>
      <c r="HC5" s="544" t="n">
        <f aca="false">GT5</f>
        <v>2022</v>
      </c>
      <c r="HD5" s="544" t="n">
        <f aca="false">GU5</f>
        <v>2023</v>
      </c>
      <c r="HE5" s="544" t="n">
        <f aca="false">GV5</f>
        <v>2024</v>
      </c>
      <c r="HF5" s="544" t="n">
        <f aca="false">GW5</f>
        <v>2025</v>
      </c>
      <c r="HG5" s="544" t="str">
        <f aca="false">GX5</f>
        <v>TTM</v>
      </c>
      <c r="HH5" s="544" t="str">
        <f aca="false">GY5</f>
        <v>Reforecast</v>
      </c>
      <c r="HI5" s="545" t="str">
        <f aca="false">GZ5</f>
        <v>Lender UW</v>
      </c>
      <c r="HJ5" s="544" t="n">
        <f aca="false">HA5</f>
        <v>2019</v>
      </c>
      <c r="HK5" s="544" t="n">
        <f aca="false">HB5</f>
        <v>2021</v>
      </c>
      <c r="HL5" s="544" t="n">
        <f aca="false">HC5</f>
        <v>2022</v>
      </c>
      <c r="HM5" s="544" t="n">
        <f aca="false">HD5</f>
        <v>2023</v>
      </c>
      <c r="HN5" s="544" t="n">
        <f aca="false">HE5</f>
        <v>2024</v>
      </c>
      <c r="HO5" s="544" t="n">
        <f aca="false">HF5</f>
        <v>2025</v>
      </c>
      <c r="HP5" s="544" t="str">
        <f aca="false">HG5</f>
        <v>TTM</v>
      </c>
      <c r="HQ5" s="544" t="str">
        <f aca="false">HH5</f>
        <v>Reforecast</v>
      </c>
      <c r="HR5" s="545" t="str">
        <f aca="false">HI5</f>
        <v>Lender UW</v>
      </c>
      <c r="HS5" s="544" t="n">
        <f aca="false">HJ5</f>
        <v>2019</v>
      </c>
      <c r="HT5" s="544" t="n">
        <f aca="false">HK5</f>
        <v>2021</v>
      </c>
      <c r="HU5" s="544" t="n">
        <f aca="false">HL5</f>
        <v>2022</v>
      </c>
      <c r="HV5" s="544" t="n">
        <f aca="false">HM5</f>
        <v>2023</v>
      </c>
      <c r="HW5" s="544" t="n">
        <f aca="false">HN5</f>
        <v>2024</v>
      </c>
      <c r="HX5" s="544" t="n">
        <f aca="false">HO5</f>
        <v>2025</v>
      </c>
      <c r="HY5" s="544" t="str">
        <f aca="false">HP5</f>
        <v>TTM</v>
      </c>
      <c r="HZ5" s="544" t="str">
        <f aca="false">HQ5</f>
        <v>Reforecast</v>
      </c>
      <c r="IA5" s="545" t="str">
        <f aca="false">HR5</f>
        <v>Lender UW</v>
      </c>
      <c r="IB5" s="544" t="n">
        <f aca="false">HS5</f>
        <v>2019</v>
      </c>
      <c r="IC5" s="544" t="n">
        <f aca="false">HT5</f>
        <v>2021</v>
      </c>
      <c r="ID5" s="544" t="n">
        <f aca="false">HU5</f>
        <v>2022</v>
      </c>
      <c r="IE5" s="544" t="n">
        <f aca="false">HV5</f>
        <v>2023</v>
      </c>
      <c r="IF5" s="544" t="n">
        <f aca="false">HW5</f>
        <v>2024</v>
      </c>
      <c r="IG5" s="544" t="n">
        <f aca="false">HX5</f>
        <v>2025</v>
      </c>
      <c r="IH5" s="544" t="str">
        <f aca="false">HY5</f>
        <v>TTM</v>
      </c>
      <c r="II5" s="544" t="str">
        <f aca="false">HZ5</f>
        <v>Reforecast</v>
      </c>
      <c r="IJ5" s="545" t="str">
        <f aca="false">IA5</f>
        <v>Lender UW</v>
      </c>
      <c r="IK5" s="544" t="n">
        <f aca="false">IB5</f>
        <v>2019</v>
      </c>
      <c r="IL5" s="544" t="n">
        <f aca="false">IC5</f>
        <v>2021</v>
      </c>
      <c r="IM5" s="544" t="n">
        <f aca="false">ID5</f>
        <v>2022</v>
      </c>
      <c r="IN5" s="544" t="n">
        <f aca="false">IE5</f>
        <v>2023</v>
      </c>
      <c r="IO5" s="544" t="n">
        <f aca="false">IF5</f>
        <v>2024</v>
      </c>
      <c r="IP5" s="544" t="n">
        <f aca="false">IG5</f>
        <v>2025</v>
      </c>
      <c r="IQ5" s="544" t="str">
        <f aca="false">IH5</f>
        <v>TTM</v>
      </c>
      <c r="IR5" s="544" t="str">
        <f aca="false">II5</f>
        <v>Reforecast</v>
      </c>
      <c r="IS5" s="545" t="str">
        <f aca="false">IJ5</f>
        <v>Lender UW</v>
      </c>
      <c r="IT5" s="544" t="n">
        <f aca="false">IK5</f>
        <v>2019</v>
      </c>
      <c r="IU5" s="544" t="n">
        <f aca="false">IL5</f>
        <v>2021</v>
      </c>
      <c r="IV5" s="544" t="n">
        <f aca="false">IM5</f>
        <v>2022</v>
      </c>
      <c r="IW5" s="544" t="n">
        <f aca="false">IN5</f>
        <v>2023</v>
      </c>
      <c r="IX5" s="544" t="n">
        <f aca="false">IO5</f>
        <v>2024</v>
      </c>
      <c r="IY5" s="544" t="n">
        <f aca="false">IP5</f>
        <v>2025</v>
      </c>
      <c r="IZ5" s="544" t="str">
        <f aca="false">IQ5</f>
        <v>TTM</v>
      </c>
      <c r="JA5" s="544" t="str">
        <f aca="false">IR5</f>
        <v>Reforecast</v>
      </c>
      <c r="JB5" s="545" t="str">
        <f aca="false">IS5</f>
        <v>Lender UW</v>
      </c>
      <c r="JC5" s="544" t="n">
        <f aca="false">IT5</f>
        <v>2019</v>
      </c>
      <c r="JD5" s="544" t="n">
        <f aca="false">IU5</f>
        <v>2021</v>
      </c>
      <c r="JE5" s="544" t="n">
        <f aca="false">IV5</f>
        <v>2022</v>
      </c>
      <c r="JF5" s="544" t="n">
        <f aca="false">IW5</f>
        <v>2023</v>
      </c>
      <c r="JG5" s="544" t="n">
        <f aca="false">IX5</f>
        <v>2024</v>
      </c>
      <c r="JH5" s="544" t="n">
        <f aca="false">IY5</f>
        <v>2025</v>
      </c>
      <c r="JI5" s="544" t="str">
        <f aca="false">IZ5</f>
        <v>TTM</v>
      </c>
      <c r="JJ5" s="544" t="str">
        <f aca="false">JA5</f>
        <v>Reforecast</v>
      </c>
      <c r="JK5" s="545" t="str">
        <f aca="false">JB5</f>
        <v>Lender UW</v>
      </c>
      <c r="JL5" s="544" t="n">
        <f aca="false">JC5</f>
        <v>2019</v>
      </c>
      <c r="JM5" s="544" t="n">
        <f aca="false">JD5</f>
        <v>2021</v>
      </c>
      <c r="JN5" s="544" t="n">
        <f aca="false">JE5</f>
        <v>2022</v>
      </c>
      <c r="JO5" s="544" t="n">
        <f aca="false">JF5</f>
        <v>2023</v>
      </c>
      <c r="JP5" s="544" t="n">
        <f aca="false">JG5</f>
        <v>2024</v>
      </c>
      <c r="JQ5" s="544" t="n">
        <f aca="false">JH5</f>
        <v>2025</v>
      </c>
      <c r="JR5" s="544" t="str">
        <f aca="false">JI5</f>
        <v>TTM</v>
      </c>
      <c r="JS5" s="544" t="str">
        <f aca="false">JJ5</f>
        <v>Reforecast</v>
      </c>
      <c r="JT5" s="545" t="str">
        <f aca="false">JK5</f>
        <v>Lender UW</v>
      </c>
      <c r="JU5" s="544" t="n">
        <f aca="false">JL5</f>
        <v>2019</v>
      </c>
      <c r="JV5" s="544" t="n">
        <f aca="false">JM5</f>
        <v>2021</v>
      </c>
      <c r="JW5" s="544" t="n">
        <f aca="false">JN5</f>
        <v>2022</v>
      </c>
      <c r="JX5" s="544" t="n">
        <f aca="false">JO5</f>
        <v>2023</v>
      </c>
      <c r="JY5" s="544" t="n">
        <f aca="false">JP5</f>
        <v>2024</v>
      </c>
      <c r="JZ5" s="544" t="n">
        <f aca="false">JQ5</f>
        <v>2025</v>
      </c>
      <c r="KA5" s="544" t="str">
        <f aca="false">JR5</f>
        <v>TTM</v>
      </c>
      <c r="KB5" s="544" t="str">
        <f aca="false">JS5</f>
        <v>Reforecast</v>
      </c>
      <c r="KC5" s="545" t="str">
        <f aca="false">JT5</f>
        <v>Lender UW</v>
      </c>
      <c r="KD5" s="544" t="n">
        <f aca="false">JU5</f>
        <v>2019</v>
      </c>
      <c r="KE5" s="544" t="n">
        <f aca="false">JV5</f>
        <v>2021</v>
      </c>
      <c r="KF5" s="544" t="n">
        <f aca="false">JW5</f>
        <v>2022</v>
      </c>
      <c r="KG5" s="544" t="n">
        <f aca="false">JX5</f>
        <v>2023</v>
      </c>
      <c r="KH5" s="544" t="n">
        <f aca="false">JY5</f>
        <v>2024</v>
      </c>
      <c r="KI5" s="544" t="n">
        <f aca="false">JZ5</f>
        <v>2025</v>
      </c>
      <c r="KJ5" s="544" t="str">
        <f aca="false">KA5</f>
        <v>TTM</v>
      </c>
      <c r="KK5" s="544" t="str">
        <f aca="false">KB5</f>
        <v>Reforecast</v>
      </c>
      <c r="KL5" s="545" t="str">
        <f aca="false">KC5</f>
        <v>Lender UW</v>
      </c>
      <c r="KM5" s="544" t="n">
        <f aca="false">KD5</f>
        <v>2019</v>
      </c>
      <c r="KN5" s="544" t="n">
        <f aca="false">KE5</f>
        <v>2021</v>
      </c>
      <c r="KO5" s="544" t="n">
        <f aca="false">KF5</f>
        <v>2022</v>
      </c>
      <c r="KP5" s="544" t="n">
        <f aca="false">KG5</f>
        <v>2023</v>
      </c>
      <c r="KQ5" s="544" t="n">
        <f aca="false">KH5</f>
        <v>2024</v>
      </c>
      <c r="KR5" s="544" t="n">
        <f aca="false">KI5</f>
        <v>2025</v>
      </c>
      <c r="KS5" s="544" t="str">
        <f aca="false">KJ5</f>
        <v>TTM</v>
      </c>
      <c r="KT5" s="544" t="str">
        <f aca="false">KK5</f>
        <v>Reforecast</v>
      </c>
      <c r="KU5" s="545" t="str">
        <f aca="false">KL5</f>
        <v>Lender UW</v>
      </c>
      <c r="KV5" s="544" t="n">
        <f aca="false">KM5</f>
        <v>2019</v>
      </c>
      <c r="KW5" s="544" t="n">
        <f aca="false">KN5</f>
        <v>2021</v>
      </c>
      <c r="KX5" s="544" t="n">
        <f aca="false">KO5</f>
        <v>2022</v>
      </c>
      <c r="KY5" s="544" t="n">
        <f aca="false">KP5</f>
        <v>2023</v>
      </c>
      <c r="KZ5" s="544" t="n">
        <f aca="false">KQ5</f>
        <v>2024</v>
      </c>
      <c r="LA5" s="544" t="n">
        <f aca="false">KR5</f>
        <v>2025</v>
      </c>
      <c r="LB5" s="544" t="str">
        <f aca="false">KS5</f>
        <v>TTM</v>
      </c>
      <c r="LC5" s="544" t="str">
        <f aca="false">KT5</f>
        <v>Reforecast</v>
      </c>
      <c r="LD5" s="545" t="str">
        <f aca="false">KU5</f>
        <v>Lender UW</v>
      </c>
      <c r="LE5" s="544" t="n">
        <f aca="false">KV5</f>
        <v>2019</v>
      </c>
      <c r="LF5" s="544" t="n">
        <f aca="false">KW5</f>
        <v>2021</v>
      </c>
      <c r="LG5" s="544" t="n">
        <f aca="false">KX5</f>
        <v>2022</v>
      </c>
      <c r="LH5" s="544" t="n">
        <f aca="false">KY5</f>
        <v>2023</v>
      </c>
      <c r="LI5" s="544" t="n">
        <f aca="false">KZ5</f>
        <v>2024</v>
      </c>
      <c r="LJ5" s="544" t="n">
        <f aca="false">LA5</f>
        <v>2025</v>
      </c>
      <c r="LK5" s="544" t="str">
        <f aca="false">LB5</f>
        <v>TTM</v>
      </c>
      <c r="LL5" s="544" t="str">
        <f aca="false">LC5</f>
        <v>Reforecast</v>
      </c>
      <c r="LM5" s="545" t="str">
        <f aca="false">LD5</f>
        <v>Lender UW</v>
      </c>
      <c r="LN5" s="544" t="n">
        <f aca="false">LE5</f>
        <v>2019</v>
      </c>
      <c r="LO5" s="544" t="n">
        <f aca="false">LF5</f>
        <v>2021</v>
      </c>
      <c r="LP5" s="544" t="n">
        <f aca="false">LG5</f>
        <v>2022</v>
      </c>
      <c r="LQ5" s="544" t="n">
        <f aca="false">LH5</f>
        <v>2023</v>
      </c>
      <c r="LR5" s="544" t="n">
        <f aca="false">LI5</f>
        <v>2024</v>
      </c>
      <c r="LS5" s="544" t="n">
        <f aca="false">LJ5</f>
        <v>2025</v>
      </c>
      <c r="LT5" s="544" t="str">
        <f aca="false">LK5</f>
        <v>TTM</v>
      </c>
      <c r="LU5" s="544" t="str">
        <f aca="false">LL5</f>
        <v>Reforecast</v>
      </c>
      <c r="LV5" s="545" t="str">
        <f aca="false">LM5</f>
        <v>Lender UW</v>
      </c>
      <c r="LW5" s="544" t="n">
        <f aca="false">LN5</f>
        <v>2019</v>
      </c>
      <c r="LX5" s="544" t="n">
        <f aca="false">LO5</f>
        <v>2021</v>
      </c>
      <c r="LY5" s="544" t="n">
        <f aca="false">LP5</f>
        <v>2022</v>
      </c>
      <c r="LZ5" s="544" t="n">
        <f aca="false">LQ5</f>
        <v>2023</v>
      </c>
      <c r="MA5" s="544" t="n">
        <f aca="false">LR5</f>
        <v>2024</v>
      </c>
      <c r="MB5" s="544" t="n">
        <f aca="false">LS5</f>
        <v>2025</v>
      </c>
      <c r="MC5" s="544" t="str">
        <f aca="false">LT5</f>
        <v>TTM</v>
      </c>
      <c r="MD5" s="544" t="str">
        <f aca="false">LU5</f>
        <v>Reforecast</v>
      </c>
      <c r="ME5" s="547" t="str">
        <f aca="false">LV5</f>
        <v>Lender UW</v>
      </c>
    </row>
    <row r="6" s="548" customFormat="true" ht="10.5" hidden="false" customHeight="true" outlineLevel="0" collapsed="false">
      <c r="B6" s="549"/>
      <c r="C6" s="550" t="s">
        <v>262</v>
      </c>
      <c r="D6" s="551"/>
      <c r="E6" s="551"/>
      <c r="F6" s="551"/>
      <c r="G6" s="551"/>
      <c r="H6" s="552"/>
      <c r="I6" s="551"/>
      <c r="J6" s="551"/>
      <c r="K6" s="551"/>
      <c r="L6" s="551"/>
      <c r="M6" s="553" t="n">
        <f aca="false">SUM(M7:M36)</f>
        <v>0</v>
      </c>
      <c r="N6" s="554" t="n">
        <f aca="false">SUM(N7:N36)</f>
        <v>0</v>
      </c>
      <c r="O6" s="555" t="n">
        <f aca="false">IFERROR(SUMPRODUCT(O7:O36,M7:M36)/M6,0)</f>
        <v>0</v>
      </c>
      <c r="P6" s="552"/>
      <c r="Q6" s="556"/>
      <c r="R6" s="557"/>
      <c r="S6" s="558"/>
      <c r="T6" s="559" t="n">
        <f aca="false">SUM(T7:T36)</f>
        <v>0</v>
      </c>
      <c r="U6" s="559" t="n">
        <f aca="false">SUM(U7:U36)</f>
        <v>0</v>
      </c>
      <c r="V6" s="559" t="n">
        <f aca="false">SUM(V7:V36)</f>
        <v>0</v>
      </c>
      <c r="W6" s="559" t="n">
        <f aca="false">SUM(W7:W36)</f>
        <v>0</v>
      </c>
      <c r="X6" s="559" t="n">
        <f aca="false">SUM(X7:X36)</f>
        <v>0</v>
      </c>
      <c r="Y6" s="559" t="n">
        <f aca="false">SUM(Y7:Y36)</f>
        <v>0</v>
      </c>
      <c r="Z6" s="559" t="n">
        <f aca="false">SUM(Z7:Z36)</f>
        <v>0</v>
      </c>
      <c r="AA6" s="559" t="n">
        <f aca="false">SUM(AA7:AA36)</f>
        <v>0</v>
      </c>
      <c r="AB6" s="560" t="n">
        <f aca="false">SUM(AB7:AB36)</f>
        <v>0</v>
      </c>
      <c r="AC6" s="559" t="n">
        <f aca="false">SUM(AC7:AC36)</f>
        <v>0</v>
      </c>
      <c r="AD6" s="559" t="n">
        <f aca="false">SUM(AD7:AD36)</f>
        <v>0</v>
      </c>
      <c r="AE6" s="559" t="n">
        <f aca="false">SUM(AE7:AE36)</f>
        <v>0</v>
      </c>
      <c r="AF6" s="559" t="n">
        <f aca="false">SUM(AF7:AF36)</f>
        <v>0</v>
      </c>
      <c r="AG6" s="559" t="n">
        <f aca="false">SUM(AG7:AG36)</f>
        <v>0</v>
      </c>
      <c r="AH6" s="559" t="n">
        <f aca="false">SUM(AH7:AH36)</f>
        <v>0</v>
      </c>
      <c r="AI6" s="559" t="n">
        <f aca="false">SUM(AI7:AI36)</f>
        <v>0</v>
      </c>
      <c r="AJ6" s="559" t="n">
        <f aca="false">SUM(AJ7:AJ36)</f>
        <v>0</v>
      </c>
      <c r="AK6" s="560" t="n">
        <f aca="false">SUM(AK7:AK36)</f>
        <v>0</v>
      </c>
      <c r="AL6" s="561" t="n">
        <f aca="false">IFERROR(AC6/T6,0)</f>
        <v>0</v>
      </c>
      <c r="AM6" s="561" t="n">
        <f aca="false">IFERROR(AD6/U6,0)</f>
        <v>0</v>
      </c>
      <c r="AN6" s="561" t="n">
        <f aca="false">IFERROR(AE6/V6,0)</f>
        <v>0</v>
      </c>
      <c r="AO6" s="561" t="n">
        <f aca="false">IFERROR(AF6/W6,0)</f>
        <v>0</v>
      </c>
      <c r="AP6" s="561" t="n">
        <f aca="false">IFERROR(AG6/X6,0)</f>
        <v>0</v>
      </c>
      <c r="AQ6" s="561" t="n">
        <f aca="false">IFERROR(AH6/Y6,0)</f>
        <v>0</v>
      </c>
      <c r="AR6" s="561" t="n">
        <f aca="false">IFERROR(AI6/Z6,0)</f>
        <v>0</v>
      </c>
      <c r="AS6" s="561" t="n">
        <f aca="false">IFERROR(AJ6/AA6,0)</f>
        <v>0</v>
      </c>
      <c r="AT6" s="562" t="n">
        <f aca="false">IFERROR(AK6/AB6,0)</f>
        <v>0</v>
      </c>
      <c r="AU6" s="563" t="n">
        <f aca="false">IFERROR(BM6/AC6,0)</f>
        <v>0</v>
      </c>
      <c r="AV6" s="563" t="n">
        <f aca="false">IFERROR(BN6/AD6,0)</f>
        <v>0</v>
      </c>
      <c r="AW6" s="563" t="n">
        <f aca="false">IFERROR(BO6/AE6,0)</f>
        <v>0</v>
      </c>
      <c r="AX6" s="563" t="n">
        <f aca="false">IFERROR(BP6/AF6,0)</f>
        <v>0</v>
      </c>
      <c r="AY6" s="563" t="n">
        <f aca="false">IFERROR(BQ6/AG6,0)</f>
        <v>0</v>
      </c>
      <c r="AZ6" s="563" t="n">
        <f aca="false">IFERROR(BR6/AH6,0)</f>
        <v>0</v>
      </c>
      <c r="BA6" s="563" t="n">
        <f aca="false">IFERROR(BS6/AI6,0)</f>
        <v>0</v>
      </c>
      <c r="BB6" s="563" t="n">
        <f aca="false">IFERROR(BT6/AJ6,0)</f>
        <v>0</v>
      </c>
      <c r="BC6" s="564" t="n">
        <f aca="false">IFERROR(BU6/AK6,0)</f>
        <v>0</v>
      </c>
      <c r="BD6" s="565" t="n">
        <f aca="false">IFERROR(BM6/T6,0)</f>
        <v>0</v>
      </c>
      <c r="BE6" s="565" t="n">
        <f aca="false">IFERROR(BN6/U6,0)</f>
        <v>0</v>
      </c>
      <c r="BF6" s="565" t="n">
        <f aca="false">IFERROR(BO6/V6,0)</f>
        <v>0</v>
      </c>
      <c r="BG6" s="565" t="n">
        <f aca="false">IFERROR(BP6/W6,0)</f>
        <v>0</v>
      </c>
      <c r="BH6" s="565" t="n">
        <f aca="false">IFERROR(BQ6/X6,0)</f>
        <v>0</v>
      </c>
      <c r="BI6" s="565" t="n">
        <f aca="false">IFERROR(BR6/Y6,0)</f>
        <v>0</v>
      </c>
      <c r="BJ6" s="565" t="n">
        <f aca="false">IFERROR(BS6/Z6,0)</f>
        <v>0</v>
      </c>
      <c r="BK6" s="565" t="n">
        <f aca="false">IFERROR(BT6/AA6,0)</f>
        <v>0</v>
      </c>
      <c r="BL6" s="566" t="n">
        <f aca="false">IFERROR(BU6/AB6,0)</f>
        <v>0</v>
      </c>
      <c r="BM6" s="567" t="n">
        <f aca="false">SUM(BM7:BM36)</f>
        <v>0</v>
      </c>
      <c r="BN6" s="567" t="n">
        <f aca="false">SUM(BN7:BN36)</f>
        <v>0</v>
      </c>
      <c r="BO6" s="567" t="n">
        <f aca="false">SUM(BO7:BO36)</f>
        <v>0</v>
      </c>
      <c r="BP6" s="567" t="n">
        <f aca="false">SUM(BP7:BP36)</f>
        <v>0</v>
      </c>
      <c r="BQ6" s="567" t="n">
        <f aca="false">SUM(BQ7:BQ36)</f>
        <v>0</v>
      </c>
      <c r="BR6" s="567" t="n">
        <f aca="false">SUM(BR7:BR36)</f>
        <v>0</v>
      </c>
      <c r="BS6" s="567" t="n">
        <f aca="false">SUM(BS7:BS36)</f>
        <v>0</v>
      </c>
      <c r="BT6" s="567" t="n">
        <f aca="false">SUM(BT7:BT36)</f>
        <v>0</v>
      </c>
      <c r="BU6" s="568" t="n">
        <f aca="false">SUM(BU7:BU36)</f>
        <v>0</v>
      </c>
      <c r="BV6" s="567" t="n">
        <f aca="false">SUM(BV7:BV36)</f>
        <v>0</v>
      </c>
      <c r="BW6" s="567" t="n">
        <f aca="false">SUM(BW7:BW36)</f>
        <v>0</v>
      </c>
      <c r="BX6" s="567" t="n">
        <f aca="false">SUM(BX7:BX36)</f>
        <v>0</v>
      </c>
      <c r="BY6" s="567" t="n">
        <f aca="false">SUM(BY7:BY36)</f>
        <v>0</v>
      </c>
      <c r="BZ6" s="567" t="n">
        <f aca="false">SUM(BZ7:BZ36)</f>
        <v>0</v>
      </c>
      <c r="CA6" s="567" t="n">
        <f aca="false">SUM(CA7:CA36)</f>
        <v>0</v>
      </c>
      <c r="CB6" s="567" t="n">
        <f aca="false">SUM(CB7:CB36)</f>
        <v>0</v>
      </c>
      <c r="CC6" s="567" t="n">
        <f aca="false">SUM(CC7:CC36)</f>
        <v>0</v>
      </c>
      <c r="CD6" s="568" t="n">
        <f aca="false">SUM(CD7:CD36)</f>
        <v>0</v>
      </c>
      <c r="CE6" s="567" t="n">
        <f aca="false">SUM(CE7:CE36)</f>
        <v>0</v>
      </c>
      <c r="CF6" s="567" t="n">
        <f aca="false">SUM(CF7:CF36)</f>
        <v>0</v>
      </c>
      <c r="CG6" s="567" t="n">
        <f aca="false">SUM(CG7:CG36)</f>
        <v>0</v>
      </c>
      <c r="CH6" s="567" t="n">
        <f aca="false">SUM(CH7:CH36)</f>
        <v>0</v>
      </c>
      <c r="CI6" s="567" t="n">
        <f aca="false">SUM(CI7:CI36)</f>
        <v>0</v>
      </c>
      <c r="CJ6" s="567" t="n">
        <f aca="false">SUM(CJ7:CJ36)</f>
        <v>0</v>
      </c>
      <c r="CK6" s="567" t="n">
        <f aca="false">SUM(CK7:CK36)</f>
        <v>0</v>
      </c>
      <c r="CL6" s="567" t="n">
        <f aca="false">SUM(CL7:CL36)</f>
        <v>0</v>
      </c>
      <c r="CM6" s="569" t="n">
        <f aca="false">SUM(CM7:CM36)</f>
        <v>0</v>
      </c>
      <c r="CN6" s="567" t="n">
        <f aca="false">SUM(CN7:CN36)</f>
        <v>0</v>
      </c>
      <c r="CO6" s="567" t="n">
        <f aca="false">SUM(CO7:CO36)</f>
        <v>0</v>
      </c>
      <c r="CP6" s="567" t="n">
        <f aca="false">SUM(CP7:CP36)</f>
        <v>0</v>
      </c>
      <c r="CQ6" s="567" t="n">
        <f aca="false">SUM(CQ7:CQ36)</f>
        <v>0</v>
      </c>
      <c r="CR6" s="567" t="n">
        <f aca="false">SUM(CR7:CR36)</f>
        <v>0</v>
      </c>
      <c r="CS6" s="567" t="n">
        <f aca="false">SUM(CS7:CS36)</f>
        <v>0</v>
      </c>
      <c r="CT6" s="567" t="n">
        <f aca="false">SUM(CT7:CT36)</f>
        <v>0</v>
      </c>
      <c r="CU6" s="567" t="n">
        <f aca="false">SUM(CU7:CU36)</f>
        <v>0</v>
      </c>
      <c r="CV6" s="569" t="n">
        <f aca="false">SUM(CV7:CV36)</f>
        <v>0</v>
      </c>
      <c r="CW6" s="567" t="n">
        <f aca="false">SUM(CW7:CW36)</f>
        <v>0</v>
      </c>
      <c r="CX6" s="567" t="n">
        <f aca="false">SUM(CX7:CX36)</f>
        <v>0</v>
      </c>
      <c r="CY6" s="567" t="n">
        <f aca="false">SUM(CY7:CY36)</f>
        <v>0</v>
      </c>
      <c r="CZ6" s="567" t="n">
        <f aca="false">SUM(CZ7:CZ36)</f>
        <v>0</v>
      </c>
      <c r="DA6" s="567" t="n">
        <f aca="false">SUM(DA7:DA36)</f>
        <v>0</v>
      </c>
      <c r="DB6" s="567" t="n">
        <f aca="false">SUM(DB7:DB36)</f>
        <v>0</v>
      </c>
      <c r="DC6" s="567" t="n">
        <f aca="false">SUM(DC7:DC36)</f>
        <v>0</v>
      </c>
      <c r="DD6" s="567" t="n">
        <f aca="false">SUM(DD7:DD36)</f>
        <v>0</v>
      </c>
      <c r="DE6" s="569" t="n">
        <f aca="false">SUM(DE7:DE36)</f>
        <v>0</v>
      </c>
      <c r="DF6" s="567" t="n">
        <f aca="false">SUM(DF7:DF36)</f>
        <v>0</v>
      </c>
      <c r="DG6" s="567" t="n">
        <f aca="false">SUM(DG7:DG36)</f>
        <v>0</v>
      </c>
      <c r="DH6" s="567" t="n">
        <f aca="false">SUM(DH7:DH36)</f>
        <v>0</v>
      </c>
      <c r="DI6" s="567" t="n">
        <f aca="false">SUM(DI7:DI36)</f>
        <v>0</v>
      </c>
      <c r="DJ6" s="567" t="n">
        <f aca="false">SUM(DJ7:DJ36)</f>
        <v>0</v>
      </c>
      <c r="DK6" s="567" t="n">
        <f aca="false">SUM(DK7:DK36)</f>
        <v>0</v>
      </c>
      <c r="DL6" s="567" t="n">
        <f aca="false">SUM(DL7:DL36)</f>
        <v>0</v>
      </c>
      <c r="DM6" s="567" t="n">
        <f aca="false">SUM(DM7:DM36)</f>
        <v>0</v>
      </c>
      <c r="DN6" s="569" t="n">
        <f aca="false">SUM(DN7:DN36)</f>
        <v>0</v>
      </c>
      <c r="DO6" s="567" t="n">
        <f aca="false">SUM(DO7:DO36)</f>
        <v>0</v>
      </c>
      <c r="DP6" s="567" t="n">
        <f aca="false">SUM(DP7:DP36)</f>
        <v>0</v>
      </c>
      <c r="DQ6" s="567" t="n">
        <f aca="false">SUM(DQ7:DQ36)</f>
        <v>0</v>
      </c>
      <c r="DR6" s="567" t="n">
        <f aca="false">SUM(DR7:DR36)</f>
        <v>0</v>
      </c>
      <c r="DS6" s="567" t="n">
        <f aca="false">SUM(DS7:DS36)</f>
        <v>0</v>
      </c>
      <c r="DT6" s="567" t="n">
        <f aca="false">SUM(DT7:DT36)</f>
        <v>0</v>
      </c>
      <c r="DU6" s="567" t="n">
        <f aca="false">SUM(DU7:DU36)</f>
        <v>0</v>
      </c>
      <c r="DV6" s="567" t="n">
        <f aca="false">SUM(DV7:DV36)</f>
        <v>0</v>
      </c>
      <c r="DW6" s="569" t="n">
        <f aca="false">SUM(DW7:DW36)</f>
        <v>0</v>
      </c>
      <c r="DX6" s="567" t="n">
        <f aca="false">SUM(DX7:DX36)</f>
        <v>0</v>
      </c>
      <c r="DY6" s="567" t="n">
        <f aca="false">SUM(DY7:DY36)</f>
        <v>0</v>
      </c>
      <c r="DZ6" s="567" t="n">
        <f aca="false">SUM(DZ7:DZ36)</f>
        <v>0</v>
      </c>
      <c r="EA6" s="567" t="n">
        <f aca="false">SUM(EA7:EA36)</f>
        <v>0</v>
      </c>
      <c r="EB6" s="567" t="n">
        <f aca="false">SUM(EB7:EB36)</f>
        <v>0</v>
      </c>
      <c r="EC6" s="567" t="n">
        <f aca="false">SUM(EC7:EC36)</f>
        <v>0</v>
      </c>
      <c r="ED6" s="567" t="n">
        <f aca="false">SUM(ED7:ED36)</f>
        <v>0</v>
      </c>
      <c r="EE6" s="567" t="n">
        <f aca="false">SUM(EE7:EE36)</f>
        <v>0</v>
      </c>
      <c r="EF6" s="569" t="n">
        <f aca="false">SUM(EF7:EF36)</f>
        <v>0</v>
      </c>
      <c r="EG6" s="567" t="n">
        <f aca="false">SUM(EG7:EG36)</f>
        <v>0</v>
      </c>
      <c r="EH6" s="567" t="n">
        <f aca="false">SUM(EH7:EH36)</f>
        <v>0</v>
      </c>
      <c r="EI6" s="567" t="n">
        <f aca="false">SUM(EI7:EI36)</f>
        <v>0</v>
      </c>
      <c r="EJ6" s="567" t="n">
        <f aca="false">SUM(EJ7:EJ36)</f>
        <v>0</v>
      </c>
      <c r="EK6" s="567" t="n">
        <f aca="false">SUM(EK7:EK36)</f>
        <v>0</v>
      </c>
      <c r="EL6" s="567" t="n">
        <f aca="false">SUM(EL7:EL36)</f>
        <v>0</v>
      </c>
      <c r="EM6" s="567" t="n">
        <f aca="false">SUM(EM7:EM36)</f>
        <v>0</v>
      </c>
      <c r="EN6" s="567" t="n">
        <f aca="false">SUM(EN7:EN36)</f>
        <v>0</v>
      </c>
      <c r="EO6" s="569" t="n">
        <f aca="false">SUM(EO7:EO36)</f>
        <v>0</v>
      </c>
      <c r="EP6" s="567" t="n">
        <f aca="false">SUM(EP7:EP36)</f>
        <v>0</v>
      </c>
      <c r="EQ6" s="567" t="n">
        <f aca="false">SUM(EQ7:EQ36)</f>
        <v>0</v>
      </c>
      <c r="ER6" s="567" t="n">
        <f aca="false">SUM(ER7:ER36)</f>
        <v>0</v>
      </c>
      <c r="ES6" s="567" t="n">
        <f aca="false">SUM(ES7:ES36)</f>
        <v>0</v>
      </c>
      <c r="ET6" s="567" t="n">
        <f aca="false">SUM(ET7:ET36)</f>
        <v>0</v>
      </c>
      <c r="EU6" s="567" t="n">
        <f aca="false">SUM(EU7:EU36)</f>
        <v>0</v>
      </c>
      <c r="EV6" s="567" t="n">
        <f aca="false">SUM(EV7:EV36)</f>
        <v>0</v>
      </c>
      <c r="EW6" s="567" t="n">
        <f aca="false">SUM(EW7:EW36)</f>
        <v>0</v>
      </c>
      <c r="EX6" s="569" t="n">
        <f aca="false">SUM(EX7:EX36)</f>
        <v>0</v>
      </c>
      <c r="EY6" s="567" t="n">
        <f aca="false">SUM(EY7:EY36)</f>
        <v>0</v>
      </c>
      <c r="EZ6" s="567" t="n">
        <f aca="false">SUM(EZ7:EZ36)</f>
        <v>0</v>
      </c>
      <c r="FA6" s="567" t="n">
        <f aca="false">SUM(FA7:FA36)</f>
        <v>0</v>
      </c>
      <c r="FB6" s="567" t="n">
        <f aca="false">SUM(FB7:FB36)</f>
        <v>0</v>
      </c>
      <c r="FC6" s="567" t="n">
        <f aca="false">SUM(FC7:FC36)</f>
        <v>0</v>
      </c>
      <c r="FD6" s="567" t="n">
        <f aca="false">SUM(FD7:FD36)</f>
        <v>0</v>
      </c>
      <c r="FE6" s="567" t="n">
        <f aca="false">SUM(FE7:FE36)</f>
        <v>0</v>
      </c>
      <c r="FF6" s="567" t="n">
        <f aca="false">SUM(FF7:FF36)</f>
        <v>0</v>
      </c>
      <c r="FG6" s="569" t="n">
        <f aca="false">SUM(FG7:FG36)</f>
        <v>0</v>
      </c>
      <c r="FH6" s="567" t="n">
        <f aca="false">SUM(FH7:FH36)</f>
        <v>0</v>
      </c>
      <c r="FI6" s="567" t="n">
        <f aca="false">SUM(FI7:FI36)</f>
        <v>0</v>
      </c>
      <c r="FJ6" s="567" t="n">
        <f aca="false">SUM(FJ7:FJ36)</f>
        <v>0</v>
      </c>
      <c r="FK6" s="567" t="n">
        <f aca="false">SUM(FK7:FK36)</f>
        <v>0</v>
      </c>
      <c r="FL6" s="567" t="n">
        <f aca="false">SUM(FL7:FL36)</f>
        <v>0</v>
      </c>
      <c r="FM6" s="567" t="n">
        <f aca="false">SUM(FM7:FM36)</f>
        <v>0</v>
      </c>
      <c r="FN6" s="567" t="n">
        <f aca="false">SUM(FN7:FN36)</f>
        <v>0</v>
      </c>
      <c r="FO6" s="567" t="n">
        <f aca="false">SUM(FO7:FO36)</f>
        <v>0</v>
      </c>
      <c r="FP6" s="569" t="n">
        <f aca="false">SUM(FP7:FP36)</f>
        <v>0</v>
      </c>
      <c r="FQ6" s="567" t="n">
        <f aca="false">SUM(FQ7:FQ36)</f>
        <v>0</v>
      </c>
      <c r="FR6" s="567" t="n">
        <f aca="false">SUM(FR7:FR36)</f>
        <v>0</v>
      </c>
      <c r="FS6" s="567" t="n">
        <f aca="false">SUM(FS7:FS36)</f>
        <v>0</v>
      </c>
      <c r="FT6" s="567" t="n">
        <f aca="false">SUM(FT7:FT36)</f>
        <v>0</v>
      </c>
      <c r="FU6" s="567" t="n">
        <f aca="false">SUM(FU7:FU36)</f>
        <v>0</v>
      </c>
      <c r="FV6" s="567" t="n">
        <f aca="false">SUM(FV7:FV36)</f>
        <v>0</v>
      </c>
      <c r="FW6" s="567" t="n">
        <f aca="false">SUM(FW7:FW36)</f>
        <v>0</v>
      </c>
      <c r="FX6" s="567" t="n">
        <f aca="false">SUM(FX7:FX36)</f>
        <v>0</v>
      </c>
      <c r="FY6" s="569" t="n">
        <f aca="false">SUM(FY7:FY36)</f>
        <v>0</v>
      </c>
      <c r="FZ6" s="567" t="n">
        <f aca="false">SUM(FZ7:FZ36)</f>
        <v>0</v>
      </c>
      <c r="GA6" s="567" t="n">
        <f aca="false">SUM(GA7:GA36)</f>
        <v>0</v>
      </c>
      <c r="GB6" s="567" t="n">
        <f aca="false">SUM(GB7:GB36)</f>
        <v>0</v>
      </c>
      <c r="GC6" s="567" t="n">
        <f aca="false">SUM(GC7:GC36)</f>
        <v>0</v>
      </c>
      <c r="GD6" s="567" t="n">
        <f aca="false">SUM(GD7:GD36)</f>
        <v>0</v>
      </c>
      <c r="GE6" s="567" t="n">
        <f aca="false">SUM(GE7:GE36)</f>
        <v>0</v>
      </c>
      <c r="GF6" s="567" t="n">
        <f aca="false">SUM(GF7:GF36)</f>
        <v>0</v>
      </c>
      <c r="GG6" s="567" t="n">
        <f aca="false">SUM(GG7:GG36)</f>
        <v>0</v>
      </c>
      <c r="GH6" s="569" t="n">
        <f aca="false">SUM(GH7:GH36)</f>
        <v>0</v>
      </c>
      <c r="GI6" s="567" t="n">
        <f aca="false">SUM(GI7:GI36)</f>
        <v>0</v>
      </c>
      <c r="GJ6" s="567" t="n">
        <f aca="false">SUM(GJ7:GJ36)</f>
        <v>0</v>
      </c>
      <c r="GK6" s="567" t="n">
        <f aca="false">SUM(GK7:GK36)</f>
        <v>0</v>
      </c>
      <c r="GL6" s="567" t="n">
        <f aca="false">SUM(GL7:GL36)</f>
        <v>0</v>
      </c>
      <c r="GM6" s="567" t="n">
        <f aca="false">SUM(GM7:GM36)</f>
        <v>0</v>
      </c>
      <c r="GN6" s="567" t="n">
        <f aca="false">SUM(GN7:GN36)</f>
        <v>0</v>
      </c>
      <c r="GO6" s="567" t="n">
        <f aca="false">SUM(GO7:GO36)</f>
        <v>0</v>
      </c>
      <c r="GP6" s="567" t="n">
        <f aca="false">SUM(GP7:GP36)</f>
        <v>0</v>
      </c>
      <c r="GQ6" s="569" t="n">
        <f aca="false">SUM(GQ7:GQ36)</f>
        <v>0</v>
      </c>
      <c r="GR6" s="567" t="n">
        <f aca="false">SUM(GR7:GR36)</f>
        <v>0</v>
      </c>
      <c r="GS6" s="567" t="n">
        <f aca="false">SUM(GS7:GS36)</f>
        <v>0</v>
      </c>
      <c r="GT6" s="567" t="n">
        <f aca="false">SUM(GT7:GT36)</f>
        <v>0</v>
      </c>
      <c r="GU6" s="567" t="n">
        <f aca="false">SUM(GU7:GU36)</f>
        <v>0</v>
      </c>
      <c r="GV6" s="567" t="n">
        <f aca="false">SUM(GV7:GV36)</f>
        <v>0</v>
      </c>
      <c r="GW6" s="567" t="n">
        <f aca="false">SUM(GW7:GW36)</f>
        <v>0</v>
      </c>
      <c r="GX6" s="567" t="n">
        <f aca="false">SUM(GX7:GX36)</f>
        <v>0</v>
      </c>
      <c r="GY6" s="567" t="n">
        <f aca="false">SUM(GY7:GY36)</f>
        <v>0</v>
      </c>
      <c r="GZ6" s="569" t="n">
        <f aca="false">SUM(GZ7:GZ36)</f>
        <v>0</v>
      </c>
      <c r="HA6" s="567" t="n">
        <f aca="false">SUM(HA7:HA36)</f>
        <v>0</v>
      </c>
      <c r="HB6" s="567" t="n">
        <f aca="false">SUM(HB7:HB36)</f>
        <v>0</v>
      </c>
      <c r="HC6" s="567" t="n">
        <f aca="false">SUM(HC7:HC36)</f>
        <v>0</v>
      </c>
      <c r="HD6" s="567" t="n">
        <f aca="false">SUM(HD7:HD36)</f>
        <v>0</v>
      </c>
      <c r="HE6" s="567" t="n">
        <f aca="false">SUM(HE7:HE36)</f>
        <v>0</v>
      </c>
      <c r="HF6" s="567" t="n">
        <f aca="false">SUM(HF7:HF36)</f>
        <v>0</v>
      </c>
      <c r="HG6" s="567" t="n">
        <f aca="false">SUM(HG7:HG36)</f>
        <v>0</v>
      </c>
      <c r="HH6" s="567" t="n">
        <f aca="false">SUM(HH7:HH36)</f>
        <v>0</v>
      </c>
      <c r="HI6" s="569" t="n">
        <f aca="false">SUM(HI7:HI36)</f>
        <v>0</v>
      </c>
      <c r="HJ6" s="567" t="n">
        <f aca="false">SUM(HJ7:HJ36)</f>
        <v>0</v>
      </c>
      <c r="HK6" s="567" t="n">
        <f aca="false">SUM(HK7:HK36)</f>
        <v>0</v>
      </c>
      <c r="HL6" s="567" t="n">
        <f aca="false">SUM(HL7:HL36)</f>
        <v>0</v>
      </c>
      <c r="HM6" s="567" t="n">
        <f aca="false">SUM(HM7:HM36)</f>
        <v>0</v>
      </c>
      <c r="HN6" s="567" t="n">
        <f aca="false">SUM(HN7:HN36)</f>
        <v>0</v>
      </c>
      <c r="HO6" s="567" t="n">
        <f aca="false">SUM(HO7:HO36)</f>
        <v>0</v>
      </c>
      <c r="HP6" s="567" t="n">
        <f aca="false">SUM(HP7:HP36)</f>
        <v>0</v>
      </c>
      <c r="HQ6" s="567" t="n">
        <f aca="false">SUM(HQ7:HQ36)</f>
        <v>0</v>
      </c>
      <c r="HR6" s="569" t="n">
        <f aca="false">SUM(HR7:HR36)</f>
        <v>0</v>
      </c>
      <c r="HS6" s="567" t="n">
        <f aca="false">SUM(HS7:HS36)</f>
        <v>0</v>
      </c>
      <c r="HT6" s="567" t="n">
        <f aca="false">SUM(HT7:HT36)</f>
        <v>0</v>
      </c>
      <c r="HU6" s="567" t="n">
        <f aca="false">SUM(HU7:HU36)</f>
        <v>0</v>
      </c>
      <c r="HV6" s="567" t="n">
        <f aca="false">SUM(HV7:HV36)</f>
        <v>0</v>
      </c>
      <c r="HW6" s="567" t="n">
        <f aca="false">SUM(HW7:HW36)</f>
        <v>0</v>
      </c>
      <c r="HX6" s="567" t="n">
        <f aca="false">SUM(HX7:HX36)</f>
        <v>0</v>
      </c>
      <c r="HY6" s="567" t="n">
        <f aca="false">SUM(HY7:HY36)</f>
        <v>0</v>
      </c>
      <c r="HZ6" s="567" t="n">
        <f aca="false">SUM(HZ7:HZ36)</f>
        <v>0</v>
      </c>
      <c r="IA6" s="569" t="n">
        <f aca="false">SUM(IA7:IA36)</f>
        <v>0</v>
      </c>
      <c r="IB6" s="567" t="n">
        <f aca="false">SUM(IB7:IB36)</f>
        <v>0</v>
      </c>
      <c r="IC6" s="567" t="n">
        <f aca="false">SUM(IC7:IC36)</f>
        <v>0</v>
      </c>
      <c r="ID6" s="567" t="n">
        <f aca="false">SUM(ID7:ID36)</f>
        <v>0</v>
      </c>
      <c r="IE6" s="567" t="n">
        <f aca="false">SUM(IE7:IE36)</f>
        <v>0</v>
      </c>
      <c r="IF6" s="567" t="n">
        <f aca="false">SUM(IF7:IF36)</f>
        <v>0</v>
      </c>
      <c r="IG6" s="567" t="n">
        <f aca="false">SUM(IG7:IG36)</f>
        <v>0</v>
      </c>
      <c r="IH6" s="567" t="n">
        <f aca="false">SUM(IH7:IH36)</f>
        <v>0</v>
      </c>
      <c r="II6" s="567" t="n">
        <f aca="false">SUM(II7:II36)</f>
        <v>0</v>
      </c>
      <c r="IJ6" s="569" t="n">
        <f aca="false">SUM(IJ7:IJ36)</f>
        <v>0</v>
      </c>
      <c r="IK6" s="567" t="n">
        <f aca="false">SUM(IK7:IK36)</f>
        <v>0</v>
      </c>
      <c r="IL6" s="567" t="n">
        <f aca="false">SUM(IL7:IL36)</f>
        <v>0</v>
      </c>
      <c r="IM6" s="567" t="n">
        <f aca="false">SUM(IM7:IM36)</f>
        <v>0</v>
      </c>
      <c r="IN6" s="567" t="n">
        <f aca="false">SUM(IN7:IN36)</f>
        <v>0</v>
      </c>
      <c r="IO6" s="567" t="n">
        <f aca="false">SUM(IO7:IO36)</f>
        <v>0</v>
      </c>
      <c r="IP6" s="567" t="n">
        <f aca="false">SUM(IP7:IP36)</f>
        <v>0</v>
      </c>
      <c r="IQ6" s="567" t="n">
        <f aca="false">SUM(IQ7:IQ36)</f>
        <v>0</v>
      </c>
      <c r="IR6" s="567" t="n">
        <f aca="false">SUM(IR7:IR36)</f>
        <v>0</v>
      </c>
      <c r="IS6" s="569" t="n">
        <f aca="false">SUM(IS7:IS36)</f>
        <v>0</v>
      </c>
      <c r="IT6" s="567" t="n">
        <f aca="false">SUM(IT7:IT36)</f>
        <v>0</v>
      </c>
      <c r="IU6" s="567" t="n">
        <f aca="false">SUM(IU7:IU36)</f>
        <v>0</v>
      </c>
      <c r="IV6" s="567" t="n">
        <f aca="false">SUM(IV7:IV36)</f>
        <v>0</v>
      </c>
      <c r="IW6" s="567" t="n">
        <f aca="false">SUM(IW7:IW36)</f>
        <v>0</v>
      </c>
      <c r="IX6" s="567" t="n">
        <f aca="false">SUM(IX7:IX36)</f>
        <v>0</v>
      </c>
      <c r="IY6" s="567" t="n">
        <f aca="false">SUM(IY7:IY36)</f>
        <v>0</v>
      </c>
      <c r="IZ6" s="567" t="n">
        <f aca="false">SUM(IZ7:IZ36)</f>
        <v>0</v>
      </c>
      <c r="JA6" s="567" t="n">
        <f aca="false">SUM(JA7:JA36)</f>
        <v>0</v>
      </c>
      <c r="JB6" s="569" t="n">
        <f aca="false">SUM(JB7:JB36)</f>
        <v>0</v>
      </c>
      <c r="JC6" s="567" t="n">
        <f aca="false">SUM(JC7:JC36)</f>
        <v>0</v>
      </c>
      <c r="JD6" s="567" t="n">
        <f aca="false">SUM(JD7:JD36)</f>
        <v>0</v>
      </c>
      <c r="JE6" s="567" t="n">
        <f aca="false">SUM(JE7:JE36)</f>
        <v>0</v>
      </c>
      <c r="JF6" s="567" t="n">
        <f aca="false">SUM(JF7:JF36)</f>
        <v>0</v>
      </c>
      <c r="JG6" s="567" t="n">
        <f aca="false">SUM(JG7:JG36)</f>
        <v>0</v>
      </c>
      <c r="JH6" s="567" t="n">
        <f aca="false">SUM(JH7:JH36)</f>
        <v>0</v>
      </c>
      <c r="JI6" s="567" t="n">
        <f aca="false">SUM(JI7:JI36)</f>
        <v>0</v>
      </c>
      <c r="JJ6" s="567" t="n">
        <f aca="false">SUM(JJ7:JJ36)</f>
        <v>0</v>
      </c>
      <c r="JK6" s="569" t="n">
        <f aca="false">SUM(JK7:JK36)</f>
        <v>0</v>
      </c>
      <c r="JL6" s="567" t="n">
        <f aca="false">SUM(JL7:JL36)</f>
        <v>0</v>
      </c>
      <c r="JM6" s="567" t="n">
        <f aca="false">SUM(JM7:JM36)</f>
        <v>0</v>
      </c>
      <c r="JN6" s="567" t="n">
        <f aca="false">SUM(JN7:JN36)</f>
        <v>0</v>
      </c>
      <c r="JO6" s="567" t="n">
        <f aca="false">SUM(JO7:JO36)</f>
        <v>0</v>
      </c>
      <c r="JP6" s="567" t="n">
        <f aca="false">SUM(JP7:JP36)</f>
        <v>0</v>
      </c>
      <c r="JQ6" s="567" t="n">
        <f aca="false">SUM(JQ7:JQ36)</f>
        <v>0</v>
      </c>
      <c r="JR6" s="567" t="n">
        <f aca="false">SUM(JR7:JR36)</f>
        <v>0</v>
      </c>
      <c r="JS6" s="567" t="n">
        <f aca="false">SUM(JS7:JS36)</f>
        <v>0</v>
      </c>
      <c r="JT6" s="569" t="n">
        <f aca="false">SUM(JT7:JT36)</f>
        <v>0</v>
      </c>
      <c r="JU6" s="567" t="n">
        <f aca="false">SUM(JU7:JU36)</f>
        <v>0</v>
      </c>
      <c r="JV6" s="567" t="n">
        <f aca="false">SUM(JV7:JV36)</f>
        <v>0</v>
      </c>
      <c r="JW6" s="567" t="n">
        <f aca="false">SUM(JW7:JW36)</f>
        <v>0</v>
      </c>
      <c r="JX6" s="567" t="n">
        <f aca="false">SUM(JX7:JX36)</f>
        <v>0</v>
      </c>
      <c r="JY6" s="567" t="n">
        <f aca="false">SUM(JY7:JY36)</f>
        <v>0</v>
      </c>
      <c r="JZ6" s="567" t="n">
        <f aca="false">SUM(JZ7:JZ36)</f>
        <v>0</v>
      </c>
      <c r="KA6" s="567" t="n">
        <f aca="false">SUM(KA7:KA36)</f>
        <v>0</v>
      </c>
      <c r="KB6" s="567" t="n">
        <f aca="false">SUM(KB7:KB36)</f>
        <v>0</v>
      </c>
      <c r="KC6" s="569" t="n">
        <f aca="false">SUM(KC7:KC36)</f>
        <v>0</v>
      </c>
      <c r="KD6" s="567" t="n">
        <f aca="false">SUM(KD7:KD36)</f>
        <v>0</v>
      </c>
      <c r="KE6" s="567" t="n">
        <f aca="false">SUM(KE7:KE36)</f>
        <v>0</v>
      </c>
      <c r="KF6" s="567" t="n">
        <f aca="false">SUM(KF7:KF36)</f>
        <v>0</v>
      </c>
      <c r="KG6" s="567" t="n">
        <f aca="false">SUM(KG7:KG36)</f>
        <v>0</v>
      </c>
      <c r="KH6" s="567" t="n">
        <f aca="false">SUM(KH7:KH36)</f>
        <v>0</v>
      </c>
      <c r="KI6" s="567" t="n">
        <f aca="false">SUM(KI7:KI36)</f>
        <v>0</v>
      </c>
      <c r="KJ6" s="567" t="n">
        <f aca="false">SUM(KJ7:KJ36)</f>
        <v>0</v>
      </c>
      <c r="KK6" s="567" t="n">
        <f aca="false">SUM(KK7:KK36)</f>
        <v>0</v>
      </c>
      <c r="KL6" s="569" t="n">
        <f aca="false">SUM(KL7:KL36)</f>
        <v>0</v>
      </c>
      <c r="KM6" s="567" t="n">
        <f aca="false">SUM(KM7:KM36)</f>
        <v>0</v>
      </c>
      <c r="KN6" s="567" t="n">
        <f aca="false">SUM(KN7:KN36)</f>
        <v>0</v>
      </c>
      <c r="KO6" s="567" t="n">
        <f aca="false">SUM(KO7:KO36)</f>
        <v>0</v>
      </c>
      <c r="KP6" s="567" t="n">
        <f aca="false">SUM(KP7:KP36)</f>
        <v>0</v>
      </c>
      <c r="KQ6" s="567" t="n">
        <f aca="false">SUM(KQ7:KQ36)</f>
        <v>0</v>
      </c>
      <c r="KR6" s="567" t="n">
        <f aca="false">SUM(KR7:KR36)</f>
        <v>0</v>
      </c>
      <c r="KS6" s="567" t="n">
        <f aca="false">SUM(KS7:KS36)</f>
        <v>0</v>
      </c>
      <c r="KT6" s="567" t="n">
        <f aca="false">SUM(KT7:KT36)</f>
        <v>0</v>
      </c>
      <c r="KU6" s="569" t="n">
        <f aca="false">SUM(KU7:KU36)</f>
        <v>0</v>
      </c>
      <c r="KV6" s="567" t="n">
        <f aca="false">SUM(KV7:KV36)</f>
        <v>0</v>
      </c>
      <c r="KW6" s="567" t="n">
        <f aca="false">SUM(KW7:KW36)</f>
        <v>0</v>
      </c>
      <c r="KX6" s="567" t="n">
        <f aca="false">SUM(KX7:KX36)</f>
        <v>0</v>
      </c>
      <c r="KY6" s="567" t="n">
        <f aca="false">SUM(KY7:KY36)</f>
        <v>0</v>
      </c>
      <c r="KZ6" s="567" t="n">
        <f aca="false">SUM(KZ7:KZ36)</f>
        <v>0</v>
      </c>
      <c r="LA6" s="567" t="n">
        <f aca="false">SUM(LA7:LA36)</f>
        <v>0</v>
      </c>
      <c r="LB6" s="567" t="n">
        <f aca="false">SUM(LB7:LB36)</f>
        <v>0</v>
      </c>
      <c r="LC6" s="567" t="n">
        <f aca="false">SUM(LC7:LC36)</f>
        <v>0</v>
      </c>
      <c r="LD6" s="569" t="n">
        <f aca="false">SUM(LD7:LD36)</f>
        <v>0</v>
      </c>
      <c r="LE6" s="567" t="n">
        <f aca="false">SUM(LE7:LE36)</f>
        <v>0</v>
      </c>
      <c r="LF6" s="567" t="n">
        <f aca="false">SUM(LF7:LF36)</f>
        <v>0</v>
      </c>
      <c r="LG6" s="567" t="n">
        <f aca="false">SUM(LG7:LG36)</f>
        <v>0</v>
      </c>
      <c r="LH6" s="567" t="n">
        <f aca="false">SUM(LH7:LH36)</f>
        <v>0</v>
      </c>
      <c r="LI6" s="567" t="n">
        <f aca="false">SUM(LI7:LI36)</f>
        <v>0</v>
      </c>
      <c r="LJ6" s="567" t="n">
        <f aca="false">SUM(LJ7:LJ36)</f>
        <v>0</v>
      </c>
      <c r="LK6" s="567" t="n">
        <f aca="false">SUM(LK7:LK36)</f>
        <v>0</v>
      </c>
      <c r="LL6" s="567" t="n">
        <f aca="false">SUM(LL7:LL36)</f>
        <v>0</v>
      </c>
      <c r="LM6" s="569" t="n">
        <f aca="false">SUM(LM7:LM36)</f>
        <v>0</v>
      </c>
      <c r="LN6" s="567" t="n">
        <f aca="false">SUM(LN7:LN36)</f>
        <v>0</v>
      </c>
      <c r="LO6" s="567" t="n">
        <f aca="false">SUM(LO7:LO36)</f>
        <v>0</v>
      </c>
      <c r="LP6" s="567" t="n">
        <f aca="false">SUM(LP7:LP36)</f>
        <v>0</v>
      </c>
      <c r="LQ6" s="567" t="n">
        <f aca="false">SUM(LQ7:LQ36)</f>
        <v>0</v>
      </c>
      <c r="LR6" s="567" t="n">
        <f aca="false">SUM(LR7:LR36)</f>
        <v>0</v>
      </c>
      <c r="LS6" s="567" t="n">
        <f aca="false">SUM(LS7:LS36)</f>
        <v>0</v>
      </c>
      <c r="LT6" s="567" t="n">
        <f aca="false">SUM(LT7:LT36)</f>
        <v>0</v>
      </c>
      <c r="LU6" s="567" t="n">
        <f aca="false">SUM(LU7:LU36)</f>
        <v>0</v>
      </c>
      <c r="LV6" s="569" t="n">
        <f aca="false">SUM(LV7:LV36)</f>
        <v>0</v>
      </c>
      <c r="LW6" s="567" t="n">
        <f aca="false">SUM(LW7:LW36)</f>
        <v>0</v>
      </c>
      <c r="LX6" s="567" t="n">
        <f aca="false">SUM(LX7:LX36)</f>
        <v>0</v>
      </c>
      <c r="LY6" s="567" t="n">
        <f aca="false">SUM(LY7:LY36)</f>
        <v>0</v>
      </c>
      <c r="LZ6" s="567" t="n">
        <f aca="false">SUM(LZ7:LZ36)</f>
        <v>0</v>
      </c>
      <c r="MA6" s="567" t="n">
        <f aca="false">SUM(MA7:MA36)</f>
        <v>0</v>
      </c>
      <c r="MB6" s="567" t="n">
        <f aca="false">SUM(MB7:MB36)</f>
        <v>0</v>
      </c>
      <c r="MC6" s="567" t="n">
        <f aca="false">SUM(MC7:MC36)</f>
        <v>0</v>
      </c>
      <c r="MD6" s="567" t="n">
        <f aca="false">SUM(MD7:MD36)</f>
        <v>0</v>
      </c>
      <c r="ME6" s="570" t="n">
        <f aca="false">SUM(ME7:ME36)</f>
        <v>0</v>
      </c>
    </row>
    <row r="7" customFormat="false" ht="10.5" hidden="false" customHeight="true" outlineLevel="0" collapsed="false">
      <c r="A7" s="571"/>
      <c r="B7" s="572"/>
      <c r="C7" s="573"/>
      <c r="D7" s="574"/>
      <c r="E7" s="574"/>
      <c r="F7" s="574"/>
      <c r="G7" s="574"/>
      <c r="H7" s="575"/>
      <c r="I7" s="576"/>
      <c r="J7" s="574"/>
      <c r="K7" s="577"/>
      <c r="L7" s="574"/>
      <c r="M7" s="574"/>
      <c r="N7" s="578" t="n">
        <f aca="false">IFERROR(M7/$M$6,0)</f>
        <v>0</v>
      </c>
      <c r="O7" s="574"/>
      <c r="P7" s="575"/>
      <c r="Q7" s="579"/>
      <c r="R7" s="577"/>
      <c r="S7" s="580"/>
      <c r="T7" s="581"/>
      <c r="U7" s="581"/>
      <c r="V7" s="581"/>
      <c r="W7" s="581"/>
      <c r="X7" s="581"/>
      <c r="Y7" s="581"/>
      <c r="Z7" s="581"/>
      <c r="AA7" s="581"/>
      <c r="AB7" s="582"/>
      <c r="AC7" s="581"/>
      <c r="AD7" s="581"/>
      <c r="AE7" s="581"/>
      <c r="AF7" s="581"/>
      <c r="AG7" s="581"/>
      <c r="AH7" s="581"/>
      <c r="AI7" s="581"/>
      <c r="AJ7" s="581"/>
      <c r="AK7" s="582"/>
      <c r="AL7" s="578"/>
      <c r="AM7" s="578"/>
      <c r="AN7" s="578"/>
      <c r="AO7" s="578"/>
      <c r="AP7" s="578"/>
      <c r="AQ7" s="578"/>
      <c r="AR7" s="578"/>
      <c r="AS7" s="578"/>
      <c r="AT7" s="583"/>
      <c r="AU7" s="584"/>
      <c r="AV7" s="584"/>
      <c r="AW7" s="584"/>
      <c r="AX7" s="584"/>
      <c r="AY7" s="584"/>
      <c r="AZ7" s="584"/>
      <c r="BA7" s="584"/>
      <c r="BB7" s="584"/>
      <c r="BC7" s="585"/>
      <c r="BD7" s="584"/>
      <c r="BE7" s="584"/>
      <c r="BF7" s="584"/>
      <c r="BG7" s="584"/>
      <c r="BH7" s="584"/>
      <c r="BI7" s="584"/>
      <c r="BJ7" s="584"/>
      <c r="BK7" s="584"/>
      <c r="BL7" s="585"/>
      <c r="BM7" s="586"/>
      <c r="BN7" s="586"/>
      <c r="BO7" s="586"/>
      <c r="BP7" s="586"/>
      <c r="BQ7" s="586"/>
      <c r="BR7" s="586"/>
      <c r="BS7" s="586"/>
      <c r="BT7" s="586"/>
      <c r="BU7" s="586"/>
      <c r="BV7" s="587"/>
      <c r="BW7" s="586"/>
      <c r="BX7" s="586"/>
      <c r="BY7" s="586"/>
      <c r="BZ7" s="586"/>
      <c r="CA7" s="586"/>
      <c r="CB7" s="586"/>
      <c r="CC7" s="586"/>
      <c r="CD7" s="588"/>
      <c r="CE7" s="586"/>
      <c r="CF7" s="586"/>
      <c r="CG7" s="586"/>
      <c r="CH7" s="586"/>
      <c r="CI7" s="586"/>
      <c r="CJ7" s="586"/>
      <c r="CK7" s="586"/>
      <c r="CL7" s="586"/>
      <c r="CM7" s="588"/>
      <c r="CN7" s="586"/>
      <c r="CO7" s="586"/>
      <c r="CP7" s="586"/>
      <c r="CQ7" s="586"/>
      <c r="CR7" s="586"/>
      <c r="CS7" s="586"/>
      <c r="CT7" s="586"/>
      <c r="CU7" s="586"/>
      <c r="CV7" s="588"/>
      <c r="CW7" s="586"/>
      <c r="CX7" s="586"/>
      <c r="CY7" s="586"/>
      <c r="CZ7" s="586"/>
      <c r="DA7" s="586"/>
      <c r="DB7" s="586"/>
      <c r="DC7" s="586"/>
      <c r="DD7" s="586"/>
      <c r="DE7" s="588"/>
      <c r="DF7" s="586"/>
      <c r="DG7" s="586"/>
      <c r="DH7" s="586"/>
      <c r="DI7" s="586"/>
      <c r="DJ7" s="586"/>
      <c r="DK7" s="586"/>
      <c r="DL7" s="586"/>
      <c r="DM7" s="586"/>
      <c r="DN7" s="588"/>
      <c r="DO7" s="586"/>
      <c r="DP7" s="586"/>
      <c r="DQ7" s="586"/>
      <c r="DR7" s="586"/>
      <c r="DS7" s="586"/>
      <c r="DT7" s="586"/>
      <c r="DU7" s="586"/>
      <c r="DV7" s="586"/>
      <c r="DW7" s="588"/>
      <c r="DX7" s="586"/>
      <c r="DY7" s="586"/>
      <c r="DZ7" s="586"/>
      <c r="EA7" s="586"/>
      <c r="EB7" s="586"/>
      <c r="EC7" s="586"/>
      <c r="ED7" s="586"/>
      <c r="EE7" s="586"/>
      <c r="EF7" s="588"/>
      <c r="EG7" s="586"/>
      <c r="EH7" s="586"/>
      <c r="EI7" s="586"/>
      <c r="EJ7" s="586"/>
      <c r="EK7" s="586"/>
      <c r="EL7" s="586"/>
      <c r="EM7" s="586"/>
      <c r="EN7" s="586"/>
      <c r="EO7" s="588"/>
      <c r="EP7" s="586"/>
      <c r="EQ7" s="586"/>
      <c r="ER7" s="586"/>
      <c r="ES7" s="586"/>
      <c r="ET7" s="586"/>
      <c r="EU7" s="586"/>
      <c r="EV7" s="586"/>
      <c r="EW7" s="586"/>
      <c r="EX7" s="588"/>
      <c r="EY7" s="586"/>
      <c r="EZ7" s="586"/>
      <c r="FA7" s="586"/>
      <c r="FB7" s="586"/>
      <c r="FC7" s="586"/>
      <c r="FD7" s="586"/>
      <c r="FE7" s="586"/>
      <c r="FF7" s="586"/>
      <c r="FG7" s="588"/>
      <c r="FH7" s="586"/>
      <c r="FI7" s="586"/>
      <c r="FJ7" s="586"/>
      <c r="FK7" s="586"/>
      <c r="FL7" s="586"/>
      <c r="FM7" s="586"/>
      <c r="FN7" s="586"/>
      <c r="FO7" s="586"/>
      <c r="FP7" s="588"/>
      <c r="FQ7" s="586"/>
      <c r="FR7" s="586"/>
      <c r="FS7" s="586"/>
      <c r="FT7" s="586"/>
      <c r="FU7" s="586"/>
      <c r="FV7" s="586"/>
      <c r="FW7" s="586"/>
      <c r="FX7" s="586"/>
      <c r="FY7" s="588"/>
      <c r="FZ7" s="586"/>
      <c r="GA7" s="586"/>
      <c r="GB7" s="586"/>
      <c r="GC7" s="586"/>
      <c r="GD7" s="586"/>
      <c r="GE7" s="586"/>
      <c r="GF7" s="586"/>
      <c r="GG7" s="586"/>
      <c r="GH7" s="588"/>
      <c r="GI7" s="586"/>
      <c r="GJ7" s="586"/>
      <c r="GK7" s="586"/>
      <c r="GL7" s="586"/>
      <c r="GM7" s="586"/>
      <c r="GN7" s="586"/>
      <c r="GO7" s="586"/>
      <c r="GP7" s="586"/>
      <c r="GQ7" s="588"/>
      <c r="GR7" s="586"/>
      <c r="GS7" s="586"/>
      <c r="GT7" s="586"/>
      <c r="GU7" s="586"/>
      <c r="GV7" s="586"/>
      <c r="GW7" s="586"/>
      <c r="GX7" s="586"/>
      <c r="GY7" s="586"/>
      <c r="GZ7" s="588"/>
      <c r="HA7" s="586"/>
      <c r="HB7" s="586"/>
      <c r="HC7" s="586"/>
      <c r="HD7" s="586"/>
      <c r="HE7" s="586"/>
      <c r="HF7" s="586"/>
      <c r="HG7" s="586"/>
      <c r="HH7" s="586"/>
      <c r="HI7" s="588"/>
      <c r="HJ7" s="586"/>
      <c r="HK7" s="586"/>
      <c r="HL7" s="586"/>
      <c r="HM7" s="586"/>
      <c r="HN7" s="586"/>
      <c r="HO7" s="586"/>
      <c r="HP7" s="586"/>
      <c r="HQ7" s="586"/>
      <c r="HR7" s="588"/>
      <c r="HS7" s="586"/>
      <c r="HT7" s="586"/>
      <c r="HU7" s="586"/>
      <c r="HV7" s="586"/>
      <c r="HW7" s="586"/>
      <c r="HX7" s="586"/>
      <c r="HY7" s="586"/>
      <c r="HZ7" s="586"/>
      <c r="IA7" s="588"/>
      <c r="IB7" s="586"/>
      <c r="IC7" s="586"/>
      <c r="ID7" s="586"/>
      <c r="IE7" s="586"/>
      <c r="IF7" s="586"/>
      <c r="IG7" s="586"/>
      <c r="IH7" s="586"/>
      <c r="II7" s="586"/>
      <c r="IJ7" s="588"/>
      <c r="IK7" s="586"/>
      <c r="IL7" s="586"/>
      <c r="IM7" s="586"/>
      <c r="IN7" s="586"/>
      <c r="IO7" s="586"/>
      <c r="IP7" s="586"/>
      <c r="IQ7" s="586"/>
      <c r="IR7" s="586"/>
      <c r="IS7" s="588"/>
      <c r="IT7" s="586"/>
      <c r="IU7" s="586"/>
      <c r="IV7" s="586"/>
      <c r="IW7" s="586"/>
      <c r="IX7" s="586"/>
      <c r="IY7" s="586"/>
      <c r="IZ7" s="586"/>
      <c r="JA7" s="586"/>
      <c r="JB7" s="588"/>
      <c r="JC7" s="586"/>
      <c r="JD7" s="586"/>
      <c r="JE7" s="586"/>
      <c r="JF7" s="586"/>
      <c r="JG7" s="586"/>
      <c r="JH7" s="586"/>
      <c r="JI7" s="586"/>
      <c r="JJ7" s="586"/>
      <c r="JK7" s="588"/>
      <c r="JL7" s="586"/>
      <c r="JM7" s="586"/>
      <c r="JN7" s="586"/>
      <c r="JO7" s="586"/>
      <c r="JP7" s="586"/>
      <c r="JQ7" s="586"/>
      <c r="JR7" s="586"/>
      <c r="JS7" s="586"/>
      <c r="JT7" s="588"/>
      <c r="JU7" s="586"/>
      <c r="JV7" s="586"/>
      <c r="JW7" s="586"/>
      <c r="JX7" s="586"/>
      <c r="JY7" s="586"/>
      <c r="JZ7" s="586"/>
      <c r="KA7" s="586"/>
      <c r="KB7" s="586"/>
      <c r="KC7" s="588"/>
      <c r="KD7" s="586"/>
      <c r="KE7" s="586"/>
      <c r="KF7" s="586"/>
      <c r="KG7" s="586"/>
      <c r="KH7" s="586"/>
      <c r="KI7" s="586"/>
      <c r="KJ7" s="586"/>
      <c r="KK7" s="586"/>
      <c r="KL7" s="588"/>
      <c r="KM7" s="586"/>
      <c r="KN7" s="586"/>
      <c r="KO7" s="586"/>
      <c r="KP7" s="586"/>
      <c r="KQ7" s="586"/>
      <c r="KR7" s="586"/>
      <c r="KS7" s="586"/>
      <c r="KT7" s="586"/>
      <c r="KU7" s="588"/>
      <c r="KV7" s="586"/>
      <c r="KW7" s="586"/>
      <c r="KX7" s="586"/>
      <c r="KY7" s="586"/>
      <c r="KZ7" s="586"/>
      <c r="LA7" s="586"/>
      <c r="LB7" s="586"/>
      <c r="LC7" s="586"/>
      <c r="LD7" s="588"/>
      <c r="LE7" s="586"/>
      <c r="LF7" s="586"/>
      <c r="LG7" s="586"/>
      <c r="LH7" s="586"/>
      <c r="LI7" s="586"/>
      <c r="LJ7" s="586"/>
      <c r="LK7" s="586"/>
      <c r="LL7" s="586"/>
      <c r="LM7" s="588"/>
      <c r="LN7" s="586"/>
      <c r="LO7" s="586"/>
      <c r="LP7" s="586"/>
      <c r="LQ7" s="586"/>
      <c r="LR7" s="586"/>
      <c r="LS7" s="586"/>
      <c r="LT7" s="586"/>
      <c r="LU7" s="586"/>
      <c r="LV7" s="588"/>
      <c r="LW7" s="586"/>
      <c r="LX7" s="586"/>
      <c r="LY7" s="586"/>
      <c r="LZ7" s="586"/>
      <c r="MA7" s="586"/>
      <c r="MB7" s="586"/>
      <c r="MC7" s="586"/>
      <c r="MD7" s="586"/>
      <c r="ME7" s="589"/>
    </row>
    <row r="8" customFormat="false" ht="9.75" hidden="false" customHeight="false" outlineLevel="0" collapsed="false">
      <c r="A8" s="571"/>
      <c r="B8" s="572"/>
      <c r="C8" s="573"/>
      <c r="D8" s="574"/>
      <c r="E8" s="574"/>
      <c r="F8" s="574"/>
      <c r="G8" s="574"/>
      <c r="H8" s="575"/>
      <c r="I8" s="576"/>
      <c r="J8" s="574"/>
      <c r="K8" s="577"/>
      <c r="L8" s="574"/>
      <c r="M8" s="574"/>
      <c r="N8" s="578" t="n">
        <f aca="false">IFERROR(M8/$M$6,0)</f>
        <v>0</v>
      </c>
      <c r="O8" s="574"/>
      <c r="P8" s="575"/>
      <c r="Q8" s="579"/>
      <c r="R8" s="577"/>
      <c r="S8" s="580"/>
      <c r="T8" s="581"/>
      <c r="U8" s="581"/>
      <c r="V8" s="581"/>
      <c r="W8" s="581"/>
      <c r="X8" s="581"/>
      <c r="Y8" s="581"/>
      <c r="Z8" s="581"/>
      <c r="AA8" s="581"/>
      <c r="AB8" s="582"/>
      <c r="AC8" s="581"/>
      <c r="AD8" s="581"/>
      <c r="AE8" s="581"/>
      <c r="AF8" s="581"/>
      <c r="AG8" s="581"/>
      <c r="AH8" s="581"/>
      <c r="AI8" s="581"/>
      <c r="AJ8" s="581"/>
      <c r="AK8" s="582"/>
      <c r="AL8" s="578"/>
      <c r="AM8" s="578"/>
      <c r="AN8" s="578"/>
      <c r="AO8" s="578"/>
      <c r="AP8" s="578"/>
      <c r="AQ8" s="578"/>
      <c r="AR8" s="578"/>
      <c r="AS8" s="578"/>
      <c r="AT8" s="583"/>
      <c r="AU8" s="584"/>
      <c r="AV8" s="584"/>
      <c r="AW8" s="584"/>
      <c r="AX8" s="584"/>
      <c r="AY8" s="584"/>
      <c r="AZ8" s="584"/>
      <c r="BA8" s="584"/>
      <c r="BB8" s="584"/>
      <c r="BC8" s="585"/>
      <c r="BD8" s="584"/>
      <c r="BE8" s="584"/>
      <c r="BF8" s="584"/>
      <c r="BG8" s="584"/>
      <c r="BH8" s="584"/>
      <c r="BI8" s="584"/>
      <c r="BJ8" s="584"/>
      <c r="BK8" s="584"/>
      <c r="BL8" s="585"/>
      <c r="BM8" s="581"/>
      <c r="BN8" s="581"/>
      <c r="BO8" s="581"/>
      <c r="BP8" s="581"/>
      <c r="BQ8" s="581"/>
      <c r="BR8" s="581"/>
      <c r="BS8" s="581"/>
      <c r="BT8" s="581"/>
      <c r="BU8" s="581"/>
      <c r="BV8" s="590"/>
      <c r="BW8" s="581"/>
      <c r="BX8" s="581"/>
      <c r="BY8" s="581"/>
      <c r="BZ8" s="581"/>
      <c r="CA8" s="581"/>
      <c r="CB8" s="581"/>
      <c r="CC8" s="581"/>
      <c r="CD8" s="582"/>
      <c r="CE8" s="581"/>
      <c r="CF8" s="581"/>
      <c r="CG8" s="581"/>
      <c r="CH8" s="581"/>
      <c r="CI8" s="581"/>
      <c r="CJ8" s="581"/>
      <c r="CK8" s="581"/>
      <c r="CL8" s="581"/>
      <c r="CM8" s="582"/>
      <c r="CN8" s="581"/>
      <c r="CO8" s="581"/>
      <c r="CP8" s="581"/>
      <c r="CQ8" s="581"/>
      <c r="CR8" s="581"/>
      <c r="CS8" s="581"/>
      <c r="CT8" s="581"/>
      <c r="CU8" s="581"/>
      <c r="CV8" s="582"/>
      <c r="CW8" s="581"/>
      <c r="CX8" s="581"/>
      <c r="CY8" s="581"/>
      <c r="CZ8" s="581"/>
      <c r="DA8" s="581"/>
      <c r="DB8" s="581"/>
      <c r="DC8" s="581"/>
      <c r="DD8" s="581"/>
      <c r="DE8" s="582"/>
      <c r="DF8" s="581"/>
      <c r="DG8" s="581"/>
      <c r="DH8" s="581"/>
      <c r="DI8" s="581"/>
      <c r="DJ8" s="581"/>
      <c r="DK8" s="581"/>
      <c r="DL8" s="581"/>
      <c r="DM8" s="581"/>
      <c r="DN8" s="582"/>
      <c r="DO8" s="581"/>
      <c r="DP8" s="581"/>
      <c r="DQ8" s="581"/>
      <c r="DR8" s="581"/>
      <c r="DS8" s="581"/>
      <c r="DT8" s="581"/>
      <c r="DU8" s="581"/>
      <c r="DV8" s="581"/>
      <c r="DW8" s="582"/>
      <c r="DX8" s="581"/>
      <c r="DY8" s="581"/>
      <c r="DZ8" s="581"/>
      <c r="EA8" s="581"/>
      <c r="EB8" s="581"/>
      <c r="EC8" s="581"/>
      <c r="ED8" s="581"/>
      <c r="EE8" s="581"/>
      <c r="EF8" s="582"/>
      <c r="EG8" s="581"/>
      <c r="EH8" s="581"/>
      <c r="EI8" s="581"/>
      <c r="EJ8" s="581"/>
      <c r="EK8" s="581"/>
      <c r="EL8" s="581"/>
      <c r="EM8" s="581"/>
      <c r="EN8" s="581"/>
      <c r="EO8" s="582"/>
      <c r="EP8" s="581"/>
      <c r="EQ8" s="581"/>
      <c r="ER8" s="581"/>
      <c r="ES8" s="581"/>
      <c r="ET8" s="581"/>
      <c r="EU8" s="581"/>
      <c r="EV8" s="581"/>
      <c r="EW8" s="581"/>
      <c r="EX8" s="582"/>
      <c r="EY8" s="581"/>
      <c r="EZ8" s="581"/>
      <c r="FA8" s="581"/>
      <c r="FB8" s="581"/>
      <c r="FC8" s="581"/>
      <c r="FD8" s="581"/>
      <c r="FE8" s="581"/>
      <c r="FF8" s="581"/>
      <c r="FG8" s="582"/>
      <c r="FH8" s="581"/>
      <c r="FI8" s="581"/>
      <c r="FJ8" s="581"/>
      <c r="FK8" s="581"/>
      <c r="FL8" s="581"/>
      <c r="FM8" s="581"/>
      <c r="FN8" s="581"/>
      <c r="FO8" s="581"/>
      <c r="FP8" s="582"/>
      <c r="FQ8" s="581"/>
      <c r="FR8" s="581"/>
      <c r="FS8" s="581"/>
      <c r="FT8" s="581"/>
      <c r="FU8" s="581"/>
      <c r="FV8" s="581"/>
      <c r="FW8" s="581"/>
      <c r="FX8" s="581"/>
      <c r="FY8" s="582"/>
      <c r="FZ8" s="581"/>
      <c r="GA8" s="581"/>
      <c r="GB8" s="581"/>
      <c r="GC8" s="581"/>
      <c r="GD8" s="581"/>
      <c r="GE8" s="581"/>
      <c r="GF8" s="581"/>
      <c r="GG8" s="581"/>
      <c r="GH8" s="582"/>
      <c r="GI8" s="581"/>
      <c r="GJ8" s="581"/>
      <c r="GK8" s="581"/>
      <c r="GL8" s="581"/>
      <c r="GM8" s="581"/>
      <c r="GN8" s="581"/>
      <c r="GO8" s="581"/>
      <c r="GP8" s="581"/>
      <c r="GQ8" s="582"/>
      <c r="GR8" s="581"/>
      <c r="GS8" s="581"/>
      <c r="GT8" s="581"/>
      <c r="GU8" s="581"/>
      <c r="GV8" s="581"/>
      <c r="GW8" s="581"/>
      <c r="GX8" s="581"/>
      <c r="GY8" s="581"/>
      <c r="GZ8" s="582"/>
      <c r="HA8" s="581"/>
      <c r="HB8" s="581"/>
      <c r="HC8" s="581"/>
      <c r="HD8" s="581"/>
      <c r="HE8" s="581"/>
      <c r="HF8" s="581"/>
      <c r="HG8" s="581"/>
      <c r="HH8" s="581"/>
      <c r="HI8" s="582"/>
      <c r="HJ8" s="581"/>
      <c r="HK8" s="581"/>
      <c r="HL8" s="581"/>
      <c r="HM8" s="581"/>
      <c r="HN8" s="581"/>
      <c r="HO8" s="581"/>
      <c r="HP8" s="581"/>
      <c r="HQ8" s="581"/>
      <c r="HR8" s="582"/>
      <c r="HS8" s="581"/>
      <c r="HT8" s="581"/>
      <c r="HU8" s="581"/>
      <c r="HV8" s="581"/>
      <c r="HW8" s="581"/>
      <c r="HX8" s="581"/>
      <c r="HY8" s="581"/>
      <c r="HZ8" s="581"/>
      <c r="IA8" s="582"/>
      <c r="IB8" s="581"/>
      <c r="IC8" s="581"/>
      <c r="ID8" s="581"/>
      <c r="IE8" s="581"/>
      <c r="IF8" s="581"/>
      <c r="IG8" s="581"/>
      <c r="IH8" s="581"/>
      <c r="II8" s="581"/>
      <c r="IJ8" s="582"/>
      <c r="IK8" s="581"/>
      <c r="IL8" s="581"/>
      <c r="IM8" s="581"/>
      <c r="IN8" s="581"/>
      <c r="IO8" s="581"/>
      <c r="IP8" s="581"/>
      <c r="IQ8" s="581"/>
      <c r="IR8" s="581"/>
      <c r="IS8" s="582"/>
      <c r="IT8" s="581"/>
      <c r="IU8" s="581"/>
      <c r="IV8" s="581"/>
      <c r="IW8" s="581"/>
      <c r="IX8" s="581"/>
      <c r="IY8" s="581"/>
      <c r="IZ8" s="581"/>
      <c r="JA8" s="581"/>
      <c r="JB8" s="582"/>
      <c r="JC8" s="581"/>
      <c r="JD8" s="581"/>
      <c r="JE8" s="581"/>
      <c r="JF8" s="581"/>
      <c r="JG8" s="581"/>
      <c r="JH8" s="581"/>
      <c r="JI8" s="581"/>
      <c r="JJ8" s="581"/>
      <c r="JK8" s="582"/>
      <c r="JL8" s="581"/>
      <c r="JM8" s="581"/>
      <c r="JN8" s="581"/>
      <c r="JO8" s="581"/>
      <c r="JP8" s="581"/>
      <c r="JQ8" s="581"/>
      <c r="JR8" s="581"/>
      <c r="JS8" s="581"/>
      <c r="JT8" s="582"/>
      <c r="JU8" s="581"/>
      <c r="JV8" s="581"/>
      <c r="JW8" s="581"/>
      <c r="JX8" s="581"/>
      <c r="JY8" s="581"/>
      <c r="JZ8" s="581"/>
      <c r="KA8" s="581"/>
      <c r="KB8" s="581"/>
      <c r="KC8" s="582"/>
      <c r="KD8" s="581"/>
      <c r="KE8" s="581"/>
      <c r="KF8" s="581"/>
      <c r="KG8" s="581"/>
      <c r="KH8" s="581"/>
      <c r="KI8" s="581"/>
      <c r="KJ8" s="581"/>
      <c r="KK8" s="581"/>
      <c r="KL8" s="582"/>
      <c r="KM8" s="581"/>
      <c r="KN8" s="581"/>
      <c r="KO8" s="581"/>
      <c r="KP8" s="581"/>
      <c r="KQ8" s="581"/>
      <c r="KR8" s="581"/>
      <c r="KS8" s="581"/>
      <c r="KT8" s="581"/>
      <c r="KU8" s="582"/>
      <c r="KV8" s="581"/>
      <c r="KW8" s="581"/>
      <c r="KX8" s="581"/>
      <c r="KY8" s="581"/>
      <c r="KZ8" s="581"/>
      <c r="LA8" s="581"/>
      <c r="LB8" s="581"/>
      <c r="LC8" s="581"/>
      <c r="LD8" s="582"/>
      <c r="LE8" s="581"/>
      <c r="LF8" s="581"/>
      <c r="LG8" s="581"/>
      <c r="LH8" s="581"/>
      <c r="LI8" s="581"/>
      <c r="LJ8" s="581"/>
      <c r="LK8" s="581"/>
      <c r="LL8" s="581"/>
      <c r="LM8" s="582"/>
      <c r="LN8" s="581"/>
      <c r="LO8" s="581"/>
      <c r="LP8" s="581"/>
      <c r="LQ8" s="581"/>
      <c r="LR8" s="581"/>
      <c r="LS8" s="581"/>
      <c r="LT8" s="581"/>
      <c r="LU8" s="581"/>
      <c r="LV8" s="582"/>
      <c r="LW8" s="581"/>
      <c r="LX8" s="581"/>
      <c r="LY8" s="581"/>
      <c r="LZ8" s="581"/>
      <c r="MA8" s="581"/>
      <c r="MB8" s="581"/>
      <c r="MC8" s="581"/>
      <c r="MD8" s="581"/>
      <c r="ME8" s="591"/>
    </row>
    <row r="9" customFormat="false" ht="9.75" hidden="false" customHeight="false" outlineLevel="0" collapsed="false">
      <c r="A9" s="571"/>
      <c r="B9" s="572"/>
      <c r="C9" s="573"/>
      <c r="D9" s="574"/>
      <c r="E9" s="574"/>
      <c r="F9" s="574"/>
      <c r="G9" s="574"/>
      <c r="H9" s="575"/>
      <c r="I9" s="576"/>
      <c r="J9" s="574"/>
      <c r="K9" s="577"/>
      <c r="L9" s="574"/>
      <c r="M9" s="574"/>
      <c r="N9" s="578" t="n">
        <f aca="false">IFERROR(M9/$M$6,0)</f>
        <v>0</v>
      </c>
      <c r="O9" s="574"/>
      <c r="P9" s="575"/>
      <c r="Q9" s="579"/>
      <c r="R9" s="577"/>
      <c r="S9" s="580"/>
      <c r="T9" s="581"/>
      <c r="U9" s="581"/>
      <c r="V9" s="581"/>
      <c r="W9" s="581"/>
      <c r="X9" s="581"/>
      <c r="Y9" s="581"/>
      <c r="Z9" s="581"/>
      <c r="AA9" s="581"/>
      <c r="AB9" s="582"/>
      <c r="AC9" s="581"/>
      <c r="AD9" s="581"/>
      <c r="AE9" s="581"/>
      <c r="AF9" s="581"/>
      <c r="AG9" s="581"/>
      <c r="AH9" s="581"/>
      <c r="AI9" s="581"/>
      <c r="AJ9" s="581"/>
      <c r="AK9" s="582"/>
      <c r="AL9" s="578"/>
      <c r="AM9" s="578"/>
      <c r="AN9" s="578"/>
      <c r="AO9" s="578"/>
      <c r="AP9" s="578"/>
      <c r="AQ9" s="578"/>
      <c r="AR9" s="578"/>
      <c r="AS9" s="578"/>
      <c r="AT9" s="583"/>
      <c r="AU9" s="584"/>
      <c r="AV9" s="584"/>
      <c r="AW9" s="584"/>
      <c r="AX9" s="584"/>
      <c r="AY9" s="584"/>
      <c r="AZ9" s="584"/>
      <c r="BA9" s="584"/>
      <c r="BB9" s="584"/>
      <c r="BC9" s="585"/>
      <c r="BD9" s="584"/>
      <c r="BE9" s="584"/>
      <c r="BF9" s="584"/>
      <c r="BG9" s="584"/>
      <c r="BH9" s="584"/>
      <c r="BI9" s="584"/>
      <c r="BJ9" s="584"/>
      <c r="BK9" s="584"/>
      <c r="BL9" s="585"/>
      <c r="BM9" s="581"/>
      <c r="BN9" s="581"/>
      <c r="BO9" s="581"/>
      <c r="BP9" s="581"/>
      <c r="BQ9" s="581"/>
      <c r="BR9" s="581"/>
      <c r="BS9" s="581"/>
      <c r="BT9" s="581"/>
      <c r="BU9" s="581"/>
      <c r="BV9" s="590"/>
      <c r="BW9" s="581"/>
      <c r="BX9" s="581"/>
      <c r="BY9" s="581"/>
      <c r="BZ9" s="581"/>
      <c r="CA9" s="581"/>
      <c r="CB9" s="581"/>
      <c r="CC9" s="581"/>
      <c r="CD9" s="582"/>
      <c r="CE9" s="581"/>
      <c r="CF9" s="581"/>
      <c r="CG9" s="581"/>
      <c r="CH9" s="581"/>
      <c r="CI9" s="581"/>
      <c r="CJ9" s="581"/>
      <c r="CK9" s="581"/>
      <c r="CL9" s="581"/>
      <c r="CM9" s="582"/>
      <c r="CN9" s="581"/>
      <c r="CO9" s="581"/>
      <c r="CP9" s="581"/>
      <c r="CQ9" s="581"/>
      <c r="CR9" s="581"/>
      <c r="CS9" s="581"/>
      <c r="CT9" s="581"/>
      <c r="CU9" s="581"/>
      <c r="CV9" s="582"/>
      <c r="CW9" s="581"/>
      <c r="CX9" s="581"/>
      <c r="CY9" s="581"/>
      <c r="CZ9" s="581"/>
      <c r="DA9" s="581"/>
      <c r="DB9" s="581"/>
      <c r="DC9" s="581"/>
      <c r="DD9" s="581"/>
      <c r="DE9" s="582"/>
      <c r="DF9" s="581"/>
      <c r="DG9" s="581"/>
      <c r="DH9" s="581"/>
      <c r="DI9" s="581"/>
      <c r="DJ9" s="581"/>
      <c r="DK9" s="581"/>
      <c r="DL9" s="581"/>
      <c r="DM9" s="581"/>
      <c r="DN9" s="582"/>
      <c r="DO9" s="581"/>
      <c r="DP9" s="581"/>
      <c r="DQ9" s="581"/>
      <c r="DR9" s="581"/>
      <c r="DS9" s="581"/>
      <c r="DT9" s="581"/>
      <c r="DU9" s="581"/>
      <c r="DV9" s="581"/>
      <c r="DW9" s="582"/>
      <c r="DX9" s="581"/>
      <c r="DY9" s="581"/>
      <c r="DZ9" s="581"/>
      <c r="EA9" s="581"/>
      <c r="EB9" s="581"/>
      <c r="EC9" s="581"/>
      <c r="ED9" s="581"/>
      <c r="EE9" s="581"/>
      <c r="EF9" s="582"/>
      <c r="EG9" s="581"/>
      <c r="EH9" s="581"/>
      <c r="EI9" s="581"/>
      <c r="EJ9" s="581"/>
      <c r="EK9" s="581"/>
      <c r="EL9" s="581"/>
      <c r="EM9" s="581"/>
      <c r="EN9" s="581"/>
      <c r="EO9" s="582"/>
      <c r="EP9" s="581"/>
      <c r="EQ9" s="581"/>
      <c r="ER9" s="581"/>
      <c r="ES9" s="581"/>
      <c r="ET9" s="581"/>
      <c r="EU9" s="581"/>
      <c r="EV9" s="581"/>
      <c r="EW9" s="581"/>
      <c r="EX9" s="582"/>
      <c r="EY9" s="581"/>
      <c r="EZ9" s="581"/>
      <c r="FA9" s="581"/>
      <c r="FB9" s="581"/>
      <c r="FC9" s="581"/>
      <c r="FD9" s="581"/>
      <c r="FE9" s="581"/>
      <c r="FF9" s="581"/>
      <c r="FG9" s="582"/>
      <c r="FH9" s="581"/>
      <c r="FI9" s="581"/>
      <c r="FJ9" s="581"/>
      <c r="FK9" s="581"/>
      <c r="FL9" s="581"/>
      <c r="FM9" s="581"/>
      <c r="FN9" s="581"/>
      <c r="FO9" s="581"/>
      <c r="FP9" s="582"/>
      <c r="FQ9" s="581"/>
      <c r="FR9" s="581"/>
      <c r="FS9" s="581"/>
      <c r="FT9" s="581"/>
      <c r="FU9" s="581"/>
      <c r="FV9" s="581"/>
      <c r="FW9" s="581"/>
      <c r="FX9" s="581"/>
      <c r="FY9" s="582"/>
      <c r="FZ9" s="581"/>
      <c r="GA9" s="581"/>
      <c r="GB9" s="581"/>
      <c r="GC9" s="581"/>
      <c r="GD9" s="581"/>
      <c r="GE9" s="581"/>
      <c r="GF9" s="581"/>
      <c r="GG9" s="581"/>
      <c r="GH9" s="582"/>
      <c r="GI9" s="581"/>
      <c r="GJ9" s="581"/>
      <c r="GK9" s="581"/>
      <c r="GL9" s="581"/>
      <c r="GM9" s="581"/>
      <c r="GN9" s="581"/>
      <c r="GO9" s="581"/>
      <c r="GP9" s="581"/>
      <c r="GQ9" s="582"/>
      <c r="GR9" s="581"/>
      <c r="GS9" s="581"/>
      <c r="GT9" s="581"/>
      <c r="GU9" s="581"/>
      <c r="GV9" s="581"/>
      <c r="GW9" s="581"/>
      <c r="GX9" s="581"/>
      <c r="GY9" s="581"/>
      <c r="GZ9" s="582"/>
      <c r="HA9" s="581"/>
      <c r="HB9" s="581"/>
      <c r="HC9" s="581"/>
      <c r="HD9" s="581"/>
      <c r="HE9" s="581"/>
      <c r="HF9" s="581"/>
      <c r="HG9" s="581"/>
      <c r="HH9" s="581"/>
      <c r="HI9" s="582"/>
      <c r="HJ9" s="581"/>
      <c r="HK9" s="581"/>
      <c r="HL9" s="581"/>
      <c r="HM9" s="581"/>
      <c r="HN9" s="581"/>
      <c r="HO9" s="581"/>
      <c r="HP9" s="581"/>
      <c r="HQ9" s="581"/>
      <c r="HR9" s="582"/>
      <c r="HS9" s="581"/>
      <c r="HT9" s="581"/>
      <c r="HU9" s="581"/>
      <c r="HV9" s="581"/>
      <c r="HW9" s="581"/>
      <c r="HX9" s="581"/>
      <c r="HY9" s="581"/>
      <c r="HZ9" s="581"/>
      <c r="IA9" s="582"/>
      <c r="IB9" s="581"/>
      <c r="IC9" s="581"/>
      <c r="ID9" s="581"/>
      <c r="IE9" s="581"/>
      <c r="IF9" s="581"/>
      <c r="IG9" s="581"/>
      <c r="IH9" s="581"/>
      <c r="II9" s="581"/>
      <c r="IJ9" s="582"/>
      <c r="IK9" s="581"/>
      <c r="IL9" s="581"/>
      <c r="IM9" s="581"/>
      <c r="IN9" s="581"/>
      <c r="IO9" s="581"/>
      <c r="IP9" s="581"/>
      <c r="IQ9" s="581"/>
      <c r="IR9" s="581"/>
      <c r="IS9" s="582"/>
      <c r="IT9" s="581"/>
      <c r="IU9" s="581"/>
      <c r="IV9" s="581"/>
      <c r="IW9" s="581"/>
      <c r="IX9" s="581"/>
      <c r="IY9" s="581"/>
      <c r="IZ9" s="581"/>
      <c r="JA9" s="581"/>
      <c r="JB9" s="582"/>
      <c r="JC9" s="581"/>
      <c r="JD9" s="581"/>
      <c r="JE9" s="581"/>
      <c r="JF9" s="581"/>
      <c r="JG9" s="581"/>
      <c r="JH9" s="581"/>
      <c r="JI9" s="581"/>
      <c r="JJ9" s="581"/>
      <c r="JK9" s="582"/>
      <c r="JL9" s="581"/>
      <c r="JM9" s="581"/>
      <c r="JN9" s="581"/>
      <c r="JO9" s="581"/>
      <c r="JP9" s="581"/>
      <c r="JQ9" s="581"/>
      <c r="JR9" s="581"/>
      <c r="JS9" s="581"/>
      <c r="JT9" s="582"/>
      <c r="JU9" s="581"/>
      <c r="JV9" s="581"/>
      <c r="JW9" s="581"/>
      <c r="JX9" s="581"/>
      <c r="JY9" s="581"/>
      <c r="JZ9" s="581"/>
      <c r="KA9" s="581"/>
      <c r="KB9" s="581"/>
      <c r="KC9" s="582"/>
      <c r="KD9" s="581"/>
      <c r="KE9" s="581"/>
      <c r="KF9" s="581"/>
      <c r="KG9" s="581"/>
      <c r="KH9" s="581"/>
      <c r="KI9" s="581"/>
      <c r="KJ9" s="581"/>
      <c r="KK9" s="581"/>
      <c r="KL9" s="582"/>
      <c r="KM9" s="581"/>
      <c r="KN9" s="581"/>
      <c r="KO9" s="581"/>
      <c r="KP9" s="581"/>
      <c r="KQ9" s="581"/>
      <c r="KR9" s="581"/>
      <c r="KS9" s="581"/>
      <c r="KT9" s="581"/>
      <c r="KU9" s="582"/>
      <c r="KV9" s="581"/>
      <c r="KW9" s="581"/>
      <c r="KX9" s="581"/>
      <c r="KY9" s="581"/>
      <c r="KZ9" s="581"/>
      <c r="LA9" s="581"/>
      <c r="LB9" s="581"/>
      <c r="LC9" s="581"/>
      <c r="LD9" s="582"/>
      <c r="LE9" s="581"/>
      <c r="LF9" s="581"/>
      <c r="LG9" s="581"/>
      <c r="LH9" s="581"/>
      <c r="LI9" s="581"/>
      <c r="LJ9" s="581"/>
      <c r="LK9" s="581"/>
      <c r="LL9" s="581"/>
      <c r="LM9" s="582"/>
      <c r="LN9" s="581"/>
      <c r="LO9" s="581"/>
      <c r="LP9" s="581"/>
      <c r="LQ9" s="581"/>
      <c r="LR9" s="581"/>
      <c r="LS9" s="581"/>
      <c r="LT9" s="581"/>
      <c r="LU9" s="581"/>
      <c r="LV9" s="582"/>
      <c r="LW9" s="581"/>
      <c r="LX9" s="581"/>
      <c r="LY9" s="581"/>
      <c r="LZ9" s="581"/>
      <c r="MA9" s="581"/>
      <c r="MB9" s="581"/>
      <c r="MC9" s="581"/>
      <c r="MD9" s="581"/>
      <c r="ME9" s="591"/>
    </row>
    <row r="10" customFormat="false" ht="9.75" hidden="false" customHeight="false" outlineLevel="0" collapsed="false">
      <c r="A10" s="571"/>
      <c r="B10" s="572"/>
      <c r="C10" s="573"/>
      <c r="D10" s="574"/>
      <c r="E10" s="574"/>
      <c r="F10" s="574"/>
      <c r="G10" s="574"/>
      <c r="H10" s="575"/>
      <c r="I10" s="576"/>
      <c r="J10" s="574"/>
      <c r="K10" s="577"/>
      <c r="L10" s="574"/>
      <c r="M10" s="574"/>
      <c r="N10" s="578" t="n">
        <f aca="false">IFERROR(M10/$M$6,0)</f>
        <v>0</v>
      </c>
      <c r="O10" s="574"/>
      <c r="P10" s="575"/>
      <c r="Q10" s="579"/>
      <c r="R10" s="577"/>
      <c r="S10" s="580"/>
      <c r="T10" s="581"/>
      <c r="U10" s="581"/>
      <c r="V10" s="581"/>
      <c r="W10" s="581"/>
      <c r="X10" s="581"/>
      <c r="Y10" s="581"/>
      <c r="Z10" s="581"/>
      <c r="AA10" s="581"/>
      <c r="AB10" s="582"/>
      <c r="AC10" s="581"/>
      <c r="AD10" s="581"/>
      <c r="AE10" s="581"/>
      <c r="AF10" s="581"/>
      <c r="AG10" s="581"/>
      <c r="AH10" s="581"/>
      <c r="AI10" s="581"/>
      <c r="AJ10" s="581"/>
      <c r="AK10" s="582"/>
      <c r="AL10" s="578"/>
      <c r="AM10" s="578"/>
      <c r="AN10" s="578"/>
      <c r="AO10" s="578"/>
      <c r="AP10" s="578"/>
      <c r="AQ10" s="578"/>
      <c r="AR10" s="578"/>
      <c r="AS10" s="578"/>
      <c r="AT10" s="583"/>
      <c r="AU10" s="584"/>
      <c r="AV10" s="584"/>
      <c r="AW10" s="584"/>
      <c r="AX10" s="584"/>
      <c r="AY10" s="584"/>
      <c r="AZ10" s="584"/>
      <c r="BA10" s="584"/>
      <c r="BB10" s="584"/>
      <c r="BC10" s="585"/>
      <c r="BD10" s="584"/>
      <c r="BE10" s="584"/>
      <c r="BF10" s="584"/>
      <c r="BG10" s="584"/>
      <c r="BH10" s="584"/>
      <c r="BI10" s="584"/>
      <c r="BJ10" s="584"/>
      <c r="BK10" s="584"/>
      <c r="BL10" s="585"/>
      <c r="BM10" s="581"/>
      <c r="BN10" s="581"/>
      <c r="BO10" s="581"/>
      <c r="BP10" s="581"/>
      <c r="BQ10" s="581"/>
      <c r="BR10" s="581"/>
      <c r="BS10" s="581"/>
      <c r="BT10" s="581"/>
      <c r="BU10" s="581"/>
      <c r="BV10" s="590"/>
      <c r="BW10" s="581"/>
      <c r="BX10" s="581"/>
      <c r="BY10" s="581"/>
      <c r="BZ10" s="581"/>
      <c r="CA10" s="581"/>
      <c r="CB10" s="581"/>
      <c r="CC10" s="581"/>
      <c r="CD10" s="582"/>
      <c r="CE10" s="581"/>
      <c r="CF10" s="581"/>
      <c r="CG10" s="581"/>
      <c r="CH10" s="581"/>
      <c r="CI10" s="581"/>
      <c r="CJ10" s="581"/>
      <c r="CK10" s="581"/>
      <c r="CL10" s="581"/>
      <c r="CM10" s="582"/>
      <c r="CN10" s="581"/>
      <c r="CO10" s="581"/>
      <c r="CP10" s="581"/>
      <c r="CQ10" s="581"/>
      <c r="CR10" s="581"/>
      <c r="CS10" s="581"/>
      <c r="CT10" s="581"/>
      <c r="CU10" s="581"/>
      <c r="CV10" s="582"/>
      <c r="CW10" s="581"/>
      <c r="CX10" s="581"/>
      <c r="CY10" s="581"/>
      <c r="CZ10" s="581"/>
      <c r="DA10" s="581"/>
      <c r="DB10" s="581"/>
      <c r="DC10" s="581"/>
      <c r="DD10" s="581"/>
      <c r="DE10" s="582"/>
      <c r="DF10" s="581"/>
      <c r="DG10" s="581"/>
      <c r="DH10" s="581"/>
      <c r="DI10" s="581"/>
      <c r="DJ10" s="581"/>
      <c r="DK10" s="581"/>
      <c r="DL10" s="581"/>
      <c r="DM10" s="581"/>
      <c r="DN10" s="582"/>
      <c r="DO10" s="581"/>
      <c r="DP10" s="581"/>
      <c r="DQ10" s="581"/>
      <c r="DR10" s="581"/>
      <c r="DS10" s="581"/>
      <c r="DT10" s="581"/>
      <c r="DU10" s="581"/>
      <c r="DV10" s="581"/>
      <c r="DW10" s="582"/>
      <c r="DX10" s="581"/>
      <c r="DY10" s="581"/>
      <c r="DZ10" s="581"/>
      <c r="EA10" s="581"/>
      <c r="EB10" s="581"/>
      <c r="EC10" s="581"/>
      <c r="ED10" s="581"/>
      <c r="EE10" s="581"/>
      <c r="EF10" s="582"/>
      <c r="EG10" s="581"/>
      <c r="EH10" s="581"/>
      <c r="EI10" s="581"/>
      <c r="EJ10" s="581"/>
      <c r="EK10" s="581"/>
      <c r="EL10" s="581"/>
      <c r="EM10" s="581"/>
      <c r="EN10" s="581"/>
      <c r="EO10" s="582"/>
      <c r="EP10" s="581"/>
      <c r="EQ10" s="581"/>
      <c r="ER10" s="581"/>
      <c r="ES10" s="581"/>
      <c r="ET10" s="581"/>
      <c r="EU10" s="581"/>
      <c r="EV10" s="581"/>
      <c r="EW10" s="581"/>
      <c r="EX10" s="582"/>
      <c r="EY10" s="581"/>
      <c r="EZ10" s="581"/>
      <c r="FA10" s="581"/>
      <c r="FB10" s="581"/>
      <c r="FC10" s="581"/>
      <c r="FD10" s="581"/>
      <c r="FE10" s="581"/>
      <c r="FF10" s="581"/>
      <c r="FG10" s="582"/>
      <c r="FH10" s="581"/>
      <c r="FI10" s="581"/>
      <c r="FJ10" s="581"/>
      <c r="FK10" s="581"/>
      <c r="FL10" s="581"/>
      <c r="FM10" s="581"/>
      <c r="FN10" s="581"/>
      <c r="FO10" s="581"/>
      <c r="FP10" s="582"/>
      <c r="FQ10" s="581"/>
      <c r="FR10" s="581"/>
      <c r="FS10" s="581"/>
      <c r="FT10" s="581"/>
      <c r="FU10" s="581"/>
      <c r="FV10" s="581"/>
      <c r="FW10" s="581"/>
      <c r="FX10" s="581"/>
      <c r="FY10" s="582"/>
      <c r="FZ10" s="581"/>
      <c r="GA10" s="581"/>
      <c r="GB10" s="581"/>
      <c r="GC10" s="581"/>
      <c r="GD10" s="581"/>
      <c r="GE10" s="581"/>
      <c r="GF10" s="581"/>
      <c r="GG10" s="581"/>
      <c r="GH10" s="582"/>
      <c r="GI10" s="581"/>
      <c r="GJ10" s="581"/>
      <c r="GK10" s="581"/>
      <c r="GL10" s="581"/>
      <c r="GM10" s="581"/>
      <c r="GN10" s="581"/>
      <c r="GO10" s="581"/>
      <c r="GP10" s="581"/>
      <c r="GQ10" s="582"/>
      <c r="GR10" s="581"/>
      <c r="GS10" s="581"/>
      <c r="GT10" s="581"/>
      <c r="GU10" s="581"/>
      <c r="GV10" s="581"/>
      <c r="GW10" s="581"/>
      <c r="GX10" s="581"/>
      <c r="GY10" s="581"/>
      <c r="GZ10" s="582"/>
      <c r="HA10" s="581"/>
      <c r="HB10" s="581"/>
      <c r="HC10" s="581"/>
      <c r="HD10" s="581"/>
      <c r="HE10" s="581"/>
      <c r="HF10" s="581"/>
      <c r="HG10" s="581"/>
      <c r="HH10" s="581"/>
      <c r="HI10" s="582"/>
      <c r="HJ10" s="581"/>
      <c r="HK10" s="581"/>
      <c r="HL10" s="581"/>
      <c r="HM10" s="581"/>
      <c r="HN10" s="581"/>
      <c r="HO10" s="581"/>
      <c r="HP10" s="581"/>
      <c r="HQ10" s="581"/>
      <c r="HR10" s="582"/>
      <c r="HS10" s="581"/>
      <c r="HT10" s="581"/>
      <c r="HU10" s="581"/>
      <c r="HV10" s="581"/>
      <c r="HW10" s="581"/>
      <c r="HX10" s="581"/>
      <c r="HY10" s="581"/>
      <c r="HZ10" s="581"/>
      <c r="IA10" s="582"/>
      <c r="IB10" s="581"/>
      <c r="IC10" s="581"/>
      <c r="ID10" s="581"/>
      <c r="IE10" s="581"/>
      <c r="IF10" s="581"/>
      <c r="IG10" s="581"/>
      <c r="IH10" s="581"/>
      <c r="II10" s="581"/>
      <c r="IJ10" s="582"/>
      <c r="IK10" s="581"/>
      <c r="IL10" s="581"/>
      <c r="IM10" s="581"/>
      <c r="IN10" s="581"/>
      <c r="IO10" s="581"/>
      <c r="IP10" s="581"/>
      <c r="IQ10" s="581"/>
      <c r="IR10" s="581"/>
      <c r="IS10" s="582"/>
      <c r="IT10" s="581"/>
      <c r="IU10" s="581"/>
      <c r="IV10" s="581"/>
      <c r="IW10" s="581"/>
      <c r="IX10" s="581"/>
      <c r="IY10" s="581"/>
      <c r="IZ10" s="581"/>
      <c r="JA10" s="581"/>
      <c r="JB10" s="582"/>
      <c r="JC10" s="581"/>
      <c r="JD10" s="581"/>
      <c r="JE10" s="581"/>
      <c r="JF10" s="581"/>
      <c r="JG10" s="581"/>
      <c r="JH10" s="581"/>
      <c r="JI10" s="581"/>
      <c r="JJ10" s="581"/>
      <c r="JK10" s="582"/>
      <c r="JL10" s="581"/>
      <c r="JM10" s="581"/>
      <c r="JN10" s="581"/>
      <c r="JO10" s="581"/>
      <c r="JP10" s="581"/>
      <c r="JQ10" s="581"/>
      <c r="JR10" s="581"/>
      <c r="JS10" s="581"/>
      <c r="JT10" s="582"/>
      <c r="JU10" s="581"/>
      <c r="JV10" s="581"/>
      <c r="JW10" s="581"/>
      <c r="JX10" s="581"/>
      <c r="JY10" s="581"/>
      <c r="JZ10" s="581"/>
      <c r="KA10" s="581"/>
      <c r="KB10" s="581"/>
      <c r="KC10" s="582"/>
      <c r="KD10" s="581"/>
      <c r="KE10" s="581"/>
      <c r="KF10" s="581"/>
      <c r="KG10" s="581"/>
      <c r="KH10" s="581"/>
      <c r="KI10" s="581"/>
      <c r="KJ10" s="581"/>
      <c r="KK10" s="581"/>
      <c r="KL10" s="582"/>
      <c r="KM10" s="581"/>
      <c r="KN10" s="581"/>
      <c r="KO10" s="581"/>
      <c r="KP10" s="581"/>
      <c r="KQ10" s="581"/>
      <c r="KR10" s="581"/>
      <c r="KS10" s="581"/>
      <c r="KT10" s="581"/>
      <c r="KU10" s="582"/>
      <c r="KV10" s="581"/>
      <c r="KW10" s="581"/>
      <c r="KX10" s="581"/>
      <c r="KY10" s="581"/>
      <c r="KZ10" s="581"/>
      <c r="LA10" s="581"/>
      <c r="LB10" s="581"/>
      <c r="LC10" s="581"/>
      <c r="LD10" s="582"/>
      <c r="LE10" s="581"/>
      <c r="LF10" s="581"/>
      <c r="LG10" s="581"/>
      <c r="LH10" s="581"/>
      <c r="LI10" s="581"/>
      <c r="LJ10" s="581"/>
      <c r="LK10" s="581"/>
      <c r="LL10" s="581"/>
      <c r="LM10" s="582"/>
      <c r="LN10" s="581"/>
      <c r="LO10" s="581"/>
      <c r="LP10" s="581"/>
      <c r="LQ10" s="581"/>
      <c r="LR10" s="581"/>
      <c r="LS10" s="581"/>
      <c r="LT10" s="581"/>
      <c r="LU10" s="581"/>
      <c r="LV10" s="582"/>
      <c r="LW10" s="581"/>
      <c r="LX10" s="581"/>
      <c r="LY10" s="581"/>
      <c r="LZ10" s="581"/>
      <c r="MA10" s="581"/>
      <c r="MB10" s="581"/>
      <c r="MC10" s="581"/>
      <c r="MD10" s="581"/>
      <c r="ME10" s="591"/>
    </row>
    <row r="11" customFormat="false" ht="9.75" hidden="false" customHeight="false" outlineLevel="0" collapsed="false">
      <c r="A11" s="571"/>
      <c r="B11" s="572"/>
      <c r="C11" s="573"/>
      <c r="D11" s="574"/>
      <c r="E11" s="574"/>
      <c r="F11" s="574"/>
      <c r="G11" s="574"/>
      <c r="H11" s="575"/>
      <c r="I11" s="576"/>
      <c r="J11" s="574"/>
      <c r="K11" s="577"/>
      <c r="L11" s="574"/>
      <c r="M11" s="574"/>
      <c r="N11" s="578" t="n">
        <f aca="false">IFERROR(M11/$M$6,0)</f>
        <v>0</v>
      </c>
      <c r="O11" s="574"/>
      <c r="P11" s="575"/>
      <c r="Q11" s="579"/>
      <c r="R11" s="577"/>
      <c r="S11" s="580"/>
      <c r="T11" s="581"/>
      <c r="U11" s="581"/>
      <c r="V11" s="581"/>
      <c r="W11" s="581"/>
      <c r="X11" s="581"/>
      <c r="Y11" s="581"/>
      <c r="Z11" s="581"/>
      <c r="AA11" s="581"/>
      <c r="AB11" s="582"/>
      <c r="AC11" s="581"/>
      <c r="AD11" s="581"/>
      <c r="AE11" s="581"/>
      <c r="AF11" s="581"/>
      <c r="AG11" s="581"/>
      <c r="AH11" s="581"/>
      <c r="AI11" s="581"/>
      <c r="AJ11" s="581"/>
      <c r="AK11" s="582"/>
      <c r="AL11" s="578"/>
      <c r="AM11" s="578"/>
      <c r="AN11" s="578"/>
      <c r="AO11" s="578"/>
      <c r="AP11" s="578"/>
      <c r="AQ11" s="578"/>
      <c r="AR11" s="578"/>
      <c r="AS11" s="578"/>
      <c r="AT11" s="583"/>
      <c r="AU11" s="584"/>
      <c r="AV11" s="584"/>
      <c r="AW11" s="584"/>
      <c r="AX11" s="584"/>
      <c r="AY11" s="584"/>
      <c r="AZ11" s="584"/>
      <c r="BA11" s="584"/>
      <c r="BB11" s="584"/>
      <c r="BC11" s="585"/>
      <c r="BD11" s="584"/>
      <c r="BE11" s="584"/>
      <c r="BF11" s="584"/>
      <c r="BG11" s="584"/>
      <c r="BH11" s="584"/>
      <c r="BI11" s="584"/>
      <c r="BJ11" s="584"/>
      <c r="BK11" s="584"/>
      <c r="BL11" s="585"/>
      <c r="BM11" s="581"/>
      <c r="BN11" s="581"/>
      <c r="BO11" s="581"/>
      <c r="BP11" s="581"/>
      <c r="BQ11" s="581"/>
      <c r="BR11" s="581"/>
      <c r="BS11" s="581"/>
      <c r="BT11" s="581"/>
      <c r="BU11" s="581"/>
      <c r="BV11" s="590"/>
      <c r="BW11" s="581"/>
      <c r="BX11" s="581"/>
      <c r="BY11" s="581"/>
      <c r="BZ11" s="581"/>
      <c r="CA11" s="581"/>
      <c r="CB11" s="581"/>
      <c r="CC11" s="581"/>
      <c r="CD11" s="582"/>
      <c r="CE11" s="581"/>
      <c r="CF11" s="581"/>
      <c r="CG11" s="581"/>
      <c r="CH11" s="581"/>
      <c r="CI11" s="581"/>
      <c r="CJ11" s="581"/>
      <c r="CK11" s="581"/>
      <c r="CL11" s="581"/>
      <c r="CM11" s="582"/>
      <c r="CN11" s="581"/>
      <c r="CO11" s="581"/>
      <c r="CP11" s="581"/>
      <c r="CQ11" s="581"/>
      <c r="CR11" s="581"/>
      <c r="CS11" s="581"/>
      <c r="CT11" s="581"/>
      <c r="CU11" s="581"/>
      <c r="CV11" s="582"/>
      <c r="CW11" s="581"/>
      <c r="CX11" s="581"/>
      <c r="CY11" s="581"/>
      <c r="CZ11" s="581"/>
      <c r="DA11" s="581"/>
      <c r="DB11" s="581"/>
      <c r="DC11" s="581"/>
      <c r="DD11" s="581"/>
      <c r="DE11" s="582"/>
      <c r="DF11" s="581"/>
      <c r="DG11" s="581"/>
      <c r="DH11" s="581"/>
      <c r="DI11" s="581"/>
      <c r="DJ11" s="581"/>
      <c r="DK11" s="581"/>
      <c r="DL11" s="581"/>
      <c r="DM11" s="581"/>
      <c r="DN11" s="582"/>
      <c r="DO11" s="581"/>
      <c r="DP11" s="581"/>
      <c r="DQ11" s="581"/>
      <c r="DR11" s="581"/>
      <c r="DS11" s="581"/>
      <c r="DT11" s="581"/>
      <c r="DU11" s="581"/>
      <c r="DV11" s="581"/>
      <c r="DW11" s="582"/>
      <c r="DX11" s="581"/>
      <c r="DY11" s="581"/>
      <c r="DZ11" s="581"/>
      <c r="EA11" s="581"/>
      <c r="EB11" s="581"/>
      <c r="EC11" s="581"/>
      <c r="ED11" s="581"/>
      <c r="EE11" s="581"/>
      <c r="EF11" s="582"/>
      <c r="EG11" s="581"/>
      <c r="EH11" s="581"/>
      <c r="EI11" s="581"/>
      <c r="EJ11" s="581"/>
      <c r="EK11" s="581"/>
      <c r="EL11" s="581"/>
      <c r="EM11" s="581"/>
      <c r="EN11" s="581"/>
      <c r="EO11" s="582"/>
      <c r="EP11" s="581"/>
      <c r="EQ11" s="581"/>
      <c r="ER11" s="581"/>
      <c r="ES11" s="581"/>
      <c r="ET11" s="581"/>
      <c r="EU11" s="581"/>
      <c r="EV11" s="581"/>
      <c r="EW11" s="581"/>
      <c r="EX11" s="582"/>
      <c r="EY11" s="581"/>
      <c r="EZ11" s="581"/>
      <c r="FA11" s="581"/>
      <c r="FB11" s="581"/>
      <c r="FC11" s="581"/>
      <c r="FD11" s="581"/>
      <c r="FE11" s="581"/>
      <c r="FF11" s="581"/>
      <c r="FG11" s="582"/>
      <c r="FH11" s="581"/>
      <c r="FI11" s="581"/>
      <c r="FJ11" s="581"/>
      <c r="FK11" s="581"/>
      <c r="FL11" s="581"/>
      <c r="FM11" s="581"/>
      <c r="FN11" s="581"/>
      <c r="FO11" s="581"/>
      <c r="FP11" s="582"/>
      <c r="FQ11" s="581"/>
      <c r="FR11" s="581"/>
      <c r="FS11" s="581"/>
      <c r="FT11" s="581"/>
      <c r="FU11" s="581"/>
      <c r="FV11" s="581"/>
      <c r="FW11" s="581"/>
      <c r="FX11" s="581"/>
      <c r="FY11" s="582"/>
      <c r="FZ11" s="581"/>
      <c r="GA11" s="581"/>
      <c r="GB11" s="581"/>
      <c r="GC11" s="581"/>
      <c r="GD11" s="581"/>
      <c r="GE11" s="581"/>
      <c r="GF11" s="581"/>
      <c r="GG11" s="581"/>
      <c r="GH11" s="582"/>
      <c r="GI11" s="581"/>
      <c r="GJ11" s="581"/>
      <c r="GK11" s="581"/>
      <c r="GL11" s="581"/>
      <c r="GM11" s="581"/>
      <c r="GN11" s="581"/>
      <c r="GO11" s="581"/>
      <c r="GP11" s="581"/>
      <c r="GQ11" s="582"/>
      <c r="GR11" s="581"/>
      <c r="GS11" s="581"/>
      <c r="GT11" s="581"/>
      <c r="GU11" s="581"/>
      <c r="GV11" s="581"/>
      <c r="GW11" s="581"/>
      <c r="GX11" s="581"/>
      <c r="GY11" s="581"/>
      <c r="GZ11" s="582"/>
      <c r="HA11" s="581"/>
      <c r="HB11" s="581"/>
      <c r="HC11" s="581"/>
      <c r="HD11" s="581"/>
      <c r="HE11" s="581"/>
      <c r="HF11" s="581"/>
      <c r="HG11" s="581"/>
      <c r="HH11" s="581"/>
      <c r="HI11" s="582"/>
      <c r="HJ11" s="581"/>
      <c r="HK11" s="581"/>
      <c r="HL11" s="581"/>
      <c r="HM11" s="581"/>
      <c r="HN11" s="581"/>
      <c r="HO11" s="581"/>
      <c r="HP11" s="581"/>
      <c r="HQ11" s="581"/>
      <c r="HR11" s="582"/>
      <c r="HS11" s="581"/>
      <c r="HT11" s="581"/>
      <c r="HU11" s="581"/>
      <c r="HV11" s="581"/>
      <c r="HW11" s="581"/>
      <c r="HX11" s="581"/>
      <c r="HY11" s="581"/>
      <c r="HZ11" s="581"/>
      <c r="IA11" s="582"/>
      <c r="IB11" s="581"/>
      <c r="IC11" s="581"/>
      <c r="ID11" s="581"/>
      <c r="IE11" s="581"/>
      <c r="IF11" s="581"/>
      <c r="IG11" s="581"/>
      <c r="IH11" s="581"/>
      <c r="II11" s="581"/>
      <c r="IJ11" s="582"/>
      <c r="IK11" s="581"/>
      <c r="IL11" s="581"/>
      <c r="IM11" s="581"/>
      <c r="IN11" s="581"/>
      <c r="IO11" s="581"/>
      <c r="IP11" s="581"/>
      <c r="IQ11" s="581"/>
      <c r="IR11" s="581"/>
      <c r="IS11" s="582"/>
      <c r="IT11" s="581"/>
      <c r="IU11" s="581"/>
      <c r="IV11" s="581"/>
      <c r="IW11" s="581"/>
      <c r="IX11" s="581"/>
      <c r="IY11" s="581"/>
      <c r="IZ11" s="581"/>
      <c r="JA11" s="581"/>
      <c r="JB11" s="582"/>
      <c r="JC11" s="581"/>
      <c r="JD11" s="581"/>
      <c r="JE11" s="581"/>
      <c r="JF11" s="581"/>
      <c r="JG11" s="581"/>
      <c r="JH11" s="581"/>
      <c r="JI11" s="581"/>
      <c r="JJ11" s="581"/>
      <c r="JK11" s="582"/>
      <c r="JL11" s="581"/>
      <c r="JM11" s="581"/>
      <c r="JN11" s="581"/>
      <c r="JO11" s="581"/>
      <c r="JP11" s="581"/>
      <c r="JQ11" s="581"/>
      <c r="JR11" s="581"/>
      <c r="JS11" s="581"/>
      <c r="JT11" s="582"/>
      <c r="JU11" s="581"/>
      <c r="JV11" s="581"/>
      <c r="JW11" s="581"/>
      <c r="JX11" s="581"/>
      <c r="JY11" s="581"/>
      <c r="JZ11" s="581"/>
      <c r="KA11" s="581"/>
      <c r="KB11" s="581"/>
      <c r="KC11" s="582"/>
      <c r="KD11" s="581"/>
      <c r="KE11" s="581"/>
      <c r="KF11" s="581"/>
      <c r="KG11" s="581"/>
      <c r="KH11" s="581"/>
      <c r="KI11" s="581"/>
      <c r="KJ11" s="581"/>
      <c r="KK11" s="581"/>
      <c r="KL11" s="582"/>
      <c r="KM11" s="581"/>
      <c r="KN11" s="581"/>
      <c r="KO11" s="581"/>
      <c r="KP11" s="581"/>
      <c r="KQ11" s="581"/>
      <c r="KR11" s="581"/>
      <c r="KS11" s="581"/>
      <c r="KT11" s="581"/>
      <c r="KU11" s="582"/>
      <c r="KV11" s="581"/>
      <c r="KW11" s="581"/>
      <c r="KX11" s="581"/>
      <c r="KY11" s="581"/>
      <c r="KZ11" s="581"/>
      <c r="LA11" s="581"/>
      <c r="LB11" s="581"/>
      <c r="LC11" s="581"/>
      <c r="LD11" s="582"/>
      <c r="LE11" s="581"/>
      <c r="LF11" s="581"/>
      <c r="LG11" s="581"/>
      <c r="LH11" s="581"/>
      <c r="LI11" s="581"/>
      <c r="LJ11" s="581"/>
      <c r="LK11" s="581"/>
      <c r="LL11" s="581"/>
      <c r="LM11" s="582"/>
      <c r="LN11" s="581"/>
      <c r="LO11" s="581"/>
      <c r="LP11" s="581"/>
      <c r="LQ11" s="581"/>
      <c r="LR11" s="581"/>
      <c r="LS11" s="581"/>
      <c r="LT11" s="581"/>
      <c r="LU11" s="581"/>
      <c r="LV11" s="582"/>
      <c r="LW11" s="581"/>
      <c r="LX11" s="581"/>
      <c r="LY11" s="581"/>
      <c r="LZ11" s="581"/>
      <c r="MA11" s="581"/>
      <c r="MB11" s="581"/>
      <c r="MC11" s="581"/>
      <c r="MD11" s="581"/>
      <c r="ME11" s="591"/>
    </row>
    <row r="12" customFormat="false" ht="9.75" hidden="false" customHeight="false" outlineLevel="0" collapsed="false">
      <c r="A12" s="571"/>
      <c r="B12" s="572"/>
      <c r="C12" s="573"/>
      <c r="D12" s="574"/>
      <c r="E12" s="574"/>
      <c r="F12" s="574"/>
      <c r="G12" s="574"/>
      <c r="H12" s="575"/>
      <c r="I12" s="576"/>
      <c r="J12" s="574"/>
      <c r="K12" s="577"/>
      <c r="L12" s="574"/>
      <c r="M12" s="574"/>
      <c r="N12" s="578" t="n">
        <f aca="false">IFERROR(M12/$M$6,0)</f>
        <v>0</v>
      </c>
      <c r="O12" s="574"/>
      <c r="P12" s="575"/>
      <c r="Q12" s="579"/>
      <c r="R12" s="577"/>
      <c r="S12" s="580"/>
      <c r="T12" s="581"/>
      <c r="U12" s="581"/>
      <c r="V12" s="581"/>
      <c r="W12" s="581"/>
      <c r="X12" s="581"/>
      <c r="Y12" s="581"/>
      <c r="Z12" s="581"/>
      <c r="AA12" s="581"/>
      <c r="AB12" s="582"/>
      <c r="AC12" s="581"/>
      <c r="AD12" s="581"/>
      <c r="AE12" s="581"/>
      <c r="AF12" s="581"/>
      <c r="AG12" s="581"/>
      <c r="AH12" s="581"/>
      <c r="AI12" s="581"/>
      <c r="AJ12" s="581"/>
      <c r="AK12" s="582"/>
      <c r="AL12" s="578"/>
      <c r="AM12" s="578"/>
      <c r="AN12" s="578"/>
      <c r="AO12" s="578"/>
      <c r="AP12" s="578"/>
      <c r="AQ12" s="578"/>
      <c r="AR12" s="578"/>
      <c r="AS12" s="578"/>
      <c r="AT12" s="583"/>
      <c r="AU12" s="584"/>
      <c r="AV12" s="584"/>
      <c r="AW12" s="584"/>
      <c r="AX12" s="584"/>
      <c r="AY12" s="584"/>
      <c r="AZ12" s="584"/>
      <c r="BA12" s="584"/>
      <c r="BB12" s="584"/>
      <c r="BC12" s="585"/>
      <c r="BD12" s="584"/>
      <c r="BE12" s="584"/>
      <c r="BF12" s="584"/>
      <c r="BG12" s="584"/>
      <c r="BH12" s="584"/>
      <c r="BI12" s="584"/>
      <c r="BJ12" s="584"/>
      <c r="BK12" s="584"/>
      <c r="BL12" s="585"/>
      <c r="BM12" s="581"/>
      <c r="BN12" s="581"/>
      <c r="BO12" s="581"/>
      <c r="BP12" s="581"/>
      <c r="BQ12" s="581"/>
      <c r="BR12" s="581"/>
      <c r="BS12" s="581"/>
      <c r="BT12" s="581"/>
      <c r="BU12" s="581"/>
      <c r="BV12" s="590"/>
      <c r="BW12" s="581"/>
      <c r="BX12" s="581"/>
      <c r="BY12" s="581"/>
      <c r="BZ12" s="581"/>
      <c r="CA12" s="581"/>
      <c r="CB12" s="581"/>
      <c r="CC12" s="581"/>
      <c r="CD12" s="582"/>
      <c r="CE12" s="581"/>
      <c r="CF12" s="581"/>
      <c r="CG12" s="581"/>
      <c r="CH12" s="581"/>
      <c r="CI12" s="581"/>
      <c r="CJ12" s="581"/>
      <c r="CK12" s="581"/>
      <c r="CL12" s="581"/>
      <c r="CM12" s="582"/>
      <c r="CN12" s="581"/>
      <c r="CO12" s="581"/>
      <c r="CP12" s="581"/>
      <c r="CQ12" s="581"/>
      <c r="CR12" s="581"/>
      <c r="CS12" s="581"/>
      <c r="CT12" s="581"/>
      <c r="CU12" s="581"/>
      <c r="CV12" s="582"/>
      <c r="CW12" s="581"/>
      <c r="CX12" s="581"/>
      <c r="CY12" s="581"/>
      <c r="CZ12" s="581"/>
      <c r="DA12" s="581"/>
      <c r="DB12" s="581"/>
      <c r="DC12" s="581"/>
      <c r="DD12" s="581"/>
      <c r="DE12" s="582"/>
      <c r="DF12" s="581"/>
      <c r="DG12" s="581"/>
      <c r="DH12" s="581"/>
      <c r="DI12" s="581"/>
      <c r="DJ12" s="581"/>
      <c r="DK12" s="581"/>
      <c r="DL12" s="581"/>
      <c r="DM12" s="581"/>
      <c r="DN12" s="582"/>
      <c r="DO12" s="581"/>
      <c r="DP12" s="581"/>
      <c r="DQ12" s="581"/>
      <c r="DR12" s="581"/>
      <c r="DS12" s="581"/>
      <c r="DT12" s="581"/>
      <c r="DU12" s="581"/>
      <c r="DV12" s="581"/>
      <c r="DW12" s="582"/>
      <c r="DX12" s="581"/>
      <c r="DY12" s="581"/>
      <c r="DZ12" s="581"/>
      <c r="EA12" s="581"/>
      <c r="EB12" s="581"/>
      <c r="EC12" s="581"/>
      <c r="ED12" s="581"/>
      <c r="EE12" s="581"/>
      <c r="EF12" s="582"/>
      <c r="EG12" s="581"/>
      <c r="EH12" s="581"/>
      <c r="EI12" s="581"/>
      <c r="EJ12" s="581"/>
      <c r="EK12" s="581"/>
      <c r="EL12" s="581"/>
      <c r="EM12" s="581"/>
      <c r="EN12" s="581"/>
      <c r="EO12" s="582"/>
      <c r="EP12" s="581"/>
      <c r="EQ12" s="581"/>
      <c r="ER12" s="581"/>
      <c r="ES12" s="581"/>
      <c r="ET12" s="581"/>
      <c r="EU12" s="581"/>
      <c r="EV12" s="581"/>
      <c r="EW12" s="581"/>
      <c r="EX12" s="582"/>
      <c r="EY12" s="581"/>
      <c r="EZ12" s="581"/>
      <c r="FA12" s="581"/>
      <c r="FB12" s="581"/>
      <c r="FC12" s="581"/>
      <c r="FD12" s="581"/>
      <c r="FE12" s="581"/>
      <c r="FF12" s="581"/>
      <c r="FG12" s="582"/>
      <c r="FH12" s="581"/>
      <c r="FI12" s="581"/>
      <c r="FJ12" s="581"/>
      <c r="FK12" s="581"/>
      <c r="FL12" s="581"/>
      <c r="FM12" s="581"/>
      <c r="FN12" s="581"/>
      <c r="FO12" s="581"/>
      <c r="FP12" s="582"/>
      <c r="FQ12" s="581"/>
      <c r="FR12" s="581"/>
      <c r="FS12" s="581"/>
      <c r="FT12" s="581"/>
      <c r="FU12" s="581"/>
      <c r="FV12" s="581"/>
      <c r="FW12" s="581"/>
      <c r="FX12" s="581"/>
      <c r="FY12" s="582"/>
      <c r="FZ12" s="581"/>
      <c r="GA12" s="581"/>
      <c r="GB12" s="581"/>
      <c r="GC12" s="581"/>
      <c r="GD12" s="581"/>
      <c r="GE12" s="581"/>
      <c r="GF12" s="581"/>
      <c r="GG12" s="581"/>
      <c r="GH12" s="582"/>
      <c r="GI12" s="581"/>
      <c r="GJ12" s="581"/>
      <c r="GK12" s="581"/>
      <c r="GL12" s="581"/>
      <c r="GM12" s="581"/>
      <c r="GN12" s="581"/>
      <c r="GO12" s="581"/>
      <c r="GP12" s="581"/>
      <c r="GQ12" s="582"/>
      <c r="GR12" s="581"/>
      <c r="GS12" s="581"/>
      <c r="GT12" s="581"/>
      <c r="GU12" s="581"/>
      <c r="GV12" s="581"/>
      <c r="GW12" s="581"/>
      <c r="GX12" s="581"/>
      <c r="GY12" s="581"/>
      <c r="GZ12" s="582"/>
      <c r="HA12" s="581"/>
      <c r="HB12" s="581"/>
      <c r="HC12" s="581"/>
      <c r="HD12" s="581"/>
      <c r="HE12" s="581"/>
      <c r="HF12" s="581"/>
      <c r="HG12" s="581"/>
      <c r="HH12" s="581"/>
      <c r="HI12" s="582"/>
      <c r="HJ12" s="581"/>
      <c r="HK12" s="581"/>
      <c r="HL12" s="581"/>
      <c r="HM12" s="581"/>
      <c r="HN12" s="581"/>
      <c r="HO12" s="581"/>
      <c r="HP12" s="581"/>
      <c r="HQ12" s="581"/>
      <c r="HR12" s="582"/>
      <c r="HS12" s="581"/>
      <c r="HT12" s="581"/>
      <c r="HU12" s="581"/>
      <c r="HV12" s="581"/>
      <c r="HW12" s="581"/>
      <c r="HX12" s="581"/>
      <c r="HY12" s="581"/>
      <c r="HZ12" s="581"/>
      <c r="IA12" s="582"/>
      <c r="IB12" s="581"/>
      <c r="IC12" s="581"/>
      <c r="ID12" s="581"/>
      <c r="IE12" s="581"/>
      <c r="IF12" s="581"/>
      <c r="IG12" s="581"/>
      <c r="IH12" s="581"/>
      <c r="II12" s="581"/>
      <c r="IJ12" s="582"/>
      <c r="IK12" s="581"/>
      <c r="IL12" s="581"/>
      <c r="IM12" s="581"/>
      <c r="IN12" s="581"/>
      <c r="IO12" s="581"/>
      <c r="IP12" s="581"/>
      <c r="IQ12" s="581"/>
      <c r="IR12" s="581"/>
      <c r="IS12" s="582"/>
      <c r="IT12" s="581"/>
      <c r="IU12" s="581"/>
      <c r="IV12" s="581"/>
      <c r="IW12" s="581"/>
      <c r="IX12" s="581"/>
      <c r="IY12" s="581"/>
      <c r="IZ12" s="581"/>
      <c r="JA12" s="581"/>
      <c r="JB12" s="582"/>
      <c r="JC12" s="581"/>
      <c r="JD12" s="581"/>
      <c r="JE12" s="581"/>
      <c r="JF12" s="581"/>
      <c r="JG12" s="581"/>
      <c r="JH12" s="581"/>
      <c r="JI12" s="581"/>
      <c r="JJ12" s="581"/>
      <c r="JK12" s="582"/>
      <c r="JL12" s="581"/>
      <c r="JM12" s="581"/>
      <c r="JN12" s="581"/>
      <c r="JO12" s="581"/>
      <c r="JP12" s="581"/>
      <c r="JQ12" s="581"/>
      <c r="JR12" s="581"/>
      <c r="JS12" s="581"/>
      <c r="JT12" s="582"/>
      <c r="JU12" s="581"/>
      <c r="JV12" s="581"/>
      <c r="JW12" s="581"/>
      <c r="JX12" s="581"/>
      <c r="JY12" s="581"/>
      <c r="JZ12" s="581"/>
      <c r="KA12" s="581"/>
      <c r="KB12" s="581"/>
      <c r="KC12" s="582"/>
      <c r="KD12" s="581"/>
      <c r="KE12" s="581"/>
      <c r="KF12" s="581"/>
      <c r="KG12" s="581"/>
      <c r="KH12" s="581"/>
      <c r="KI12" s="581"/>
      <c r="KJ12" s="581"/>
      <c r="KK12" s="581"/>
      <c r="KL12" s="582"/>
      <c r="KM12" s="581"/>
      <c r="KN12" s="581"/>
      <c r="KO12" s="581"/>
      <c r="KP12" s="581"/>
      <c r="KQ12" s="581"/>
      <c r="KR12" s="581"/>
      <c r="KS12" s="581"/>
      <c r="KT12" s="581"/>
      <c r="KU12" s="582"/>
      <c r="KV12" s="581"/>
      <c r="KW12" s="581"/>
      <c r="KX12" s="581"/>
      <c r="KY12" s="581"/>
      <c r="KZ12" s="581"/>
      <c r="LA12" s="581"/>
      <c r="LB12" s="581"/>
      <c r="LC12" s="581"/>
      <c r="LD12" s="582"/>
      <c r="LE12" s="581"/>
      <c r="LF12" s="581"/>
      <c r="LG12" s="581"/>
      <c r="LH12" s="581"/>
      <c r="LI12" s="581"/>
      <c r="LJ12" s="581"/>
      <c r="LK12" s="581"/>
      <c r="LL12" s="581"/>
      <c r="LM12" s="582"/>
      <c r="LN12" s="581"/>
      <c r="LO12" s="581"/>
      <c r="LP12" s="581"/>
      <c r="LQ12" s="581"/>
      <c r="LR12" s="581"/>
      <c r="LS12" s="581"/>
      <c r="LT12" s="581"/>
      <c r="LU12" s="581"/>
      <c r="LV12" s="582"/>
      <c r="LW12" s="581"/>
      <c r="LX12" s="581"/>
      <c r="LY12" s="581"/>
      <c r="LZ12" s="581"/>
      <c r="MA12" s="581"/>
      <c r="MB12" s="581"/>
      <c r="MC12" s="581"/>
      <c r="MD12" s="581"/>
      <c r="ME12" s="591"/>
    </row>
    <row r="13" customFormat="false" ht="9.75" hidden="false" customHeight="false" outlineLevel="0" collapsed="false">
      <c r="A13" s="571"/>
      <c r="B13" s="572"/>
      <c r="C13" s="573"/>
      <c r="D13" s="574"/>
      <c r="E13" s="574"/>
      <c r="F13" s="574"/>
      <c r="G13" s="574"/>
      <c r="H13" s="575"/>
      <c r="I13" s="576"/>
      <c r="J13" s="574"/>
      <c r="K13" s="577"/>
      <c r="L13" s="574"/>
      <c r="M13" s="574"/>
      <c r="N13" s="578" t="n">
        <f aca="false">IFERROR(M13/$M$6,0)</f>
        <v>0</v>
      </c>
      <c r="O13" s="574"/>
      <c r="P13" s="575"/>
      <c r="Q13" s="579"/>
      <c r="R13" s="577"/>
      <c r="S13" s="580"/>
      <c r="T13" s="581"/>
      <c r="U13" s="581"/>
      <c r="V13" s="581"/>
      <c r="W13" s="581"/>
      <c r="X13" s="581"/>
      <c r="Y13" s="581"/>
      <c r="Z13" s="581"/>
      <c r="AA13" s="581"/>
      <c r="AB13" s="582"/>
      <c r="AC13" s="581"/>
      <c r="AD13" s="581"/>
      <c r="AE13" s="581"/>
      <c r="AF13" s="581"/>
      <c r="AG13" s="581"/>
      <c r="AH13" s="581"/>
      <c r="AI13" s="581"/>
      <c r="AJ13" s="581"/>
      <c r="AK13" s="582"/>
      <c r="AL13" s="578"/>
      <c r="AM13" s="578"/>
      <c r="AN13" s="578"/>
      <c r="AO13" s="578"/>
      <c r="AP13" s="578"/>
      <c r="AQ13" s="578"/>
      <c r="AR13" s="578"/>
      <c r="AS13" s="578"/>
      <c r="AT13" s="583"/>
      <c r="AU13" s="584"/>
      <c r="AV13" s="584"/>
      <c r="AW13" s="584"/>
      <c r="AX13" s="584"/>
      <c r="AY13" s="584"/>
      <c r="AZ13" s="584"/>
      <c r="BA13" s="584"/>
      <c r="BB13" s="584"/>
      <c r="BC13" s="585"/>
      <c r="BD13" s="584"/>
      <c r="BE13" s="584"/>
      <c r="BF13" s="584"/>
      <c r="BG13" s="584"/>
      <c r="BH13" s="584"/>
      <c r="BI13" s="584"/>
      <c r="BJ13" s="584"/>
      <c r="BK13" s="584"/>
      <c r="BL13" s="585"/>
      <c r="BM13" s="581"/>
      <c r="BN13" s="581"/>
      <c r="BO13" s="581"/>
      <c r="BP13" s="581"/>
      <c r="BQ13" s="581"/>
      <c r="BR13" s="581"/>
      <c r="BS13" s="581"/>
      <c r="BT13" s="581"/>
      <c r="BU13" s="581"/>
      <c r="BV13" s="590"/>
      <c r="BW13" s="581"/>
      <c r="BX13" s="581"/>
      <c r="BY13" s="581"/>
      <c r="BZ13" s="581"/>
      <c r="CA13" s="581"/>
      <c r="CB13" s="581"/>
      <c r="CC13" s="581"/>
      <c r="CD13" s="582"/>
      <c r="CE13" s="581"/>
      <c r="CF13" s="581"/>
      <c r="CG13" s="581"/>
      <c r="CH13" s="581"/>
      <c r="CI13" s="581"/>
      <c r="CJ13" s="581"/>
      <c r="CK13" s="581"/>
      <c r="CL13" s="581"/>
      <c r="CM13" s="582"/>
      <c r="CN13" s="581"/>
      <c r="CO13" s="581"/>
      <c r="CP13" s="581"/>
      <c r="CQ13" s="581"/>
      <c r="CR13" s="581"/>
      <c r="CS13" s="581"/>
      <c r="CT13" s="581"/>
      <c r="CU13" s="581"/>
      <c r="CV13" s="582"/>
      <c r="CW13" s="581"/>
      <c r="CX13" s="581"/>
      <c r="CY13" s="581"/>
      <c r="CZ13" s="581"/>
      <c r="DA13" s="581"/>
      <c r="DB13" s="581"/>
      <c r="DC13" s="581"/>
      <c r="DD13" s="581"/>
      <c r="DE13" s="582"/>
      <c r="DF13" s="581"/>
      <c r="DG13" s="581"/>
      <c r="DH13" s="581"/>
      <c r="DI13" s="581"/>
      <c r="DJ13" s="581"/>
      <c r="DK13" s="581"/>
      <c r="DL13" s="581"/>
      <c r="DM13" s="581"/>
      <c r="DN13" s="582"/>
      <c r="DO13" s="581"/>
      <c r="DP13" s="581"/>
      <c r="DQ13" s="581"/>
      <c r="DR13" s="581"/>
      <c r="DS13" s="581"/>
      <c r="DT13" s="581"/>
      <c r="DU13" s="581"/>
      <c r="DV13" s="581"/>
      <c r="DW13" s="582"/>
      <c r="DX13" s="581"/>
      <c r="DY13" s="581"/>
      <c r="DZ13" s="581"/>
      <c r="EA13" s="581"/>
      <c r="EB13" s="581"/>
      <c r="EC13" s="581"/>
      <c r="ED13" s="581"/>
      <c r="EE13" s="581"/>
      <c r="EF13" s="582"/>
      <c r="EG13" s="581"/>
      <c r="EH13" s="581"/>
      <c r="EI13" s="581"/>
      <c r="EJ13" s="581"/>
      <c r="EK13" s="581"/>
      <c r="EL13" s="581"/>
      <c r="EM13" s="581"/>
      <c r="EN13" s="581"/>
      <c r="EO13" s="582"/>
      <c r="EP13" s="581"/>
      <c r="EQ13" s="581"/>
      <c r="ER13" s="581"/>
      <c r="ES13" s="581"/>
      <c r="ET13" s="581"/>
      <c r="EU13" s="581"/>
      <c r="EV13" s="581"/>
      <c r="EW13" s="581"/>
      <c r="EX13" s="582"/>
      <c r="EY13" s="581"/>
      <c r="EZ13" s="581"/>
      <c r="FA13" s="581"/>
      <c r="FB13" s="581"/>
      <c r="FC13" s="581"/>
      <c r="FD13" s="581"/>
      <c r="FE13" s="581"/>
      <c r="FF13" s="581"/>
      <c r="FG13" s="582"/>
      <c r="FH13" s="581"/>
      <c r="FI13" s="581"/>
      <c r="FJ13" s="581"/>
      <c r="FK13" s="581"/>
      <c r="FL13" s="581"/>
      <c r="FM13" s="581"/>
      <c r="FN13" s="581"/>
      <c r="FO13" s="581"/>
      <c r="FP13" s="582"/>
      <c r="FQ13" s="581"/>
      <c r="FR13" s="581"/>
      <c r="FS13" s="581"/>
      <c r="FT13" s="581"/>
      <c r="FU13" s="581"/>
      <c r="FV13" s="581"/>
      <c r="FW13" s="581"/>
      <c r="FX13" s="581"/>
      <c r="FY13" s="582"/>
      <c r="FZ13" s="581"/>
      <c r="GA13" s="581"/>
      <c r="GB13" s="581"/>
      <c r="GC13" s="581"/>
      <c r="GD13" s="581"/>
      <c r="GE13" s="581"/>
      <c r="GF13" s="581"/>
      <c r="GG13" s="581"/>
      <c r="GH13" s="582"/>
      <c r="GI13" s="581"/>
      <c r="GJ13" s="581"/>
      <c r="GK13" s="581"/>
      <c r="GL13" s="581"/>
      <c r="GM13" s="581"/>
      <c r="GN13" s="581"/>
      <c r="GO13" s="581"/>
      <c r="GP13" s="581"/>
      <c r="GQ13" s="582"/>
      <c r="GR13" s="581"/>
      <c r="GS13" s="581"/>
      <c r="GT13" s="581"/>
      <c r="GU13" s="581"/>
      <c r="GV13" s="581"/>
      <c r="GW13" s="581"/>
      <c r="GX13" s="581"/>
      <c r="GY13" s="581"/>
      <c r="GZ13" s="582"/>
      <c r="HA13" s="581"/>
      <c r="HB13" s="581"/>
      <c r="HC13" s="581"/>
      <c r="HD13" s="581"/>
      <c r="HE13" s="581"/>
      <c r="HF13" s="581"/>
      <c r="HG13" s="581"/>
      <c r="HH13" s="581"/>
      <c r="HI13" s="582"/>
      <c r="HJ13" s="581"/>
      <c r="HK13" s="581"/>
      <c r="HL13" s="581"/>
      <c r="HM13" s="581"/>
      <c r="HN13" s="581"/>
      <c r="HO13" s="581"/>
      <c r="HP13" s="581"/>
      <c r="HQ13" s="581"/>
      <c r="HR13" s="582"/>
      <c r="HS13" s="581"/>
      <c r="HT13" s="581"/>
      <c r="HU13" s="581"/>
      <c r="HV13" s="581"/>
      <c r="HW13" s="581"/>
      <c r="HX13" s="581"/>
      <c r="HY13" s="581"/>
      <c r="HZ13" s="581"/>
      <c r="IA13" s="582"/>
      <c r="IB13" s="581"/>
      <c r="IC13" s="581"/>
      <c r="ID13" s="581"/>
      <c r="IE13" s="581"/>
      <c r="IF13" s="581"/>
      <c r="IG13" s="581"/>
      <c r="IH13" s="581"/>
      <c r="II13" s="581"/>
      <c r="IJ13" s="582"/>
      <c r="IK13" s="581"/>
      <c r="IL13" s="581"/>
      <c r="IM13" s="581"/>
      <c r="IN13" s="581"/>
      <c r="IO13" s="581"/>
      <c r="IP13" s="581"/>
      <c r="IQ13" s="581"/>
      <c r="IR13" s="581"/>
      <c r="IS13" s="582"/>
      <c r="IT13" s="581"/>
      <c r="IU13" s="581"/>
      <c r="IV13" s="581"/>
      <c r="IW13" s="581"/>
      <c r="IX13" s="581"/>
      <c r="IY13" s="581"/>
      <c r="IZ13" s="581"/>
      <c r="JA13" s="581"/>
      <c r="JB13" s="582"/>
      <c r="JC13" s="581"/>
      <c r="JD13" s="581"/>
      <c r="JE13" s="581"/>
      <c r="JF13" s="581"/>
      <c r="JG13" s="581"/>
      <c r="JH13" s="581"/>
      <c r="JI13" s="581"/>
      <c r="JJ13" s="581"/>
      <c r="JK13" s="582"/>
      <c r="JL13" s="581"/>
      <c r="JM13" s="581"/>
      <c r="JN13" s="581"/>
      <c r="JO13" s="581"/>
      <c r="JP13" s="581"/>
      <c r="JQ13" s="581"/>
      <c r="JR13" s="581"/>
      <c r="JS13" s="581"/>
      <c r="JT13" s="582"/>
      <c r="JU13" s="581"/>
      <c r="JV13" s="581"/>
      <c r="JW13" s="581"/>
      <c r="JX13" s="581"/>
      <c r="JY13" s="581"/>
      <c r="JZ13" s="581"/>
      <c r="KA13" s="581"/>
      <c r="KB13" s="581"/>
      <c r="KC13" s="582"/>
      <c r="KD13" s="581"/>
      <c r="KE13" s="581"/>
      <c r="KF13" s="581"/>
      <c r="KG13" s="581"/>
      <c r="KH13" s="581"/>
      <c r="KI13" s="581"/>
      <c r="KJ13" s="581"/>
      <c r="KK13" s="581"/>
      <c r="KL13" s="582"/>
      <c r="KM13" s="581"/>
      <c r="KN13" s="581"/>
      <c r="KO13" s="581"/>
      <c r="KP13" s="581"/>
      <c r="KQ13" s="581"/>
      <c r="KR13" s="581"/>
      <c r="KS13" s="581"/>
      <c r="KT13" s="581"/>
      <c r="KU13" s="582"/>
      <c r="KV13" s="581"/>
      <c r="KW13" s="581"/>
      <c r="KX13" s="581"/>
      <c r="KY13" s="581"/>
      <c r="KZ13" s="581"/>
      <c r="LA13" s="581"/>
      <c r="LB13" s="581"/>
      <c r="LC13" s="581"/>
      <c r="LD13" s="582"/>
      <c r="LE13" s="581"/>
      <c r="LF13" s="581"/>
      <c r="LG13" s="581"/>
      <c r="LH13" s="581"/>
      <c r="LI13" s="581"/>
      <c r="LJ13" s="581"/>
      <c r="LK13" s="581"/>
      <c r="LL13" s="581"/>
      <c r="LM13" s="582"/>
      <c r="LN13" s="581"/>
      <c r="LO13" s="581"/>
      <c r="LP13" s="581"/>
      <c r="LQ13" s="581"/>
      <c r="LR13" s="581"/>
      <c r="LS13" s="581"/>
      <c r="LT13" s="581"/>
      <c r="LU13" s="581"/>
      <c r="LV13" s="582"/>
      <c r="LW13" s="581"/>
      <c r="LX13" s="581"/>
      <c r="LY13" s="581"/>
      <c r="LZ13" s="581"/>
      <c r="MA13" s="581"/>
      <c r="MB13" s="581"/>
      <c r="MC13" s="581"/>
      <c r="MD13" s="581"/>
      <c r="ME13" s="591"/>
    </row>
    <row r="14" customFormat="false" ht="9.75" hidden="false" customHeight="false" outlineLevel="0" collapsed="false">
      <c r="A14" s="571"/>
      <c r="B14" s="572"/>
      <c r="C14" s="573"/>
      <c r="D14" s="574"/>
      <c r="E14" s="574"/>
      <c r="F14" s="574"/>
      <c r="G14" s="574"/>
      <c r="H14" s="575"/>
      <c r="I14" s="576"/>
      <c r="J14" s="574"/>
      <c r="K14" s="577"/>
      <c r="L14" s="574"/>
      <c r="M14" s="574"/>
      <c r="N14" s="578" t="n">
        <f aca="false">IFERROR(M14/$M$6,0)</f>
        <v>0</v>
      </c>
      <c r="O14" s="574"/>
      <c r="P14" s="575"/>
      <c r="Q14" s="579"/>
      <c r="R14" s="577"/>
      <c r="S14" s="580"/>
      <c r="T14" s="581"/>
      <c r="U14" s="581"/>
      <c r="V14" s="581"/>
      <c r="W14" s="581"/>
      <c r="X14" s="581"/>
      <c r="Y14" s="581"/>
      <c r="Z14" s="581"/>
      <c r="AA14" s="581"/>
      <c r="AB14" s="582"/>
      <c r="AC14" s="581"/>
      <c r="AD14" s="581"/>
      <c r="AE14" s="581"/>
      <c r="AF14" s="581"/>
      <c r="AG14" s="581"/>
      <c r="AH14" s="581"/>
      <c r="AI14" s="581"/>
      <c r="AJ14" s="581"/>
      <c r="AK14" s="582"/>
      <c r="AL14" s="578"/>
      <c r="AM14" s="578"/>
      <c r="AN14" s="578"/>
      <c r="AO14" s="578"/>
      <c r="AP14" s="578"/>
      <c r="AQ14" s="578"/>
      <c r="AR14" s="578"/>
      <c r="AS14" s="578"/>
      <c r="AT14" s="583"/>
      <c r="AU14" s="584"/>
      <c r="AV14" s="584"/>
      <c r="AW14" s="584"/>
      <c r="AX14" s="584"/>
      <c r="AY14" s="584"/>
      <c r="AZ14" s="584"/>
      <c r="BA14" s="584"/>
      <c r="BB14" s="584"/>
      <c r="BC14" s="585"/>
      <c r="BD14" s="584"/>
      <c r="BE14" s="584"/>
      <c r="BF14" s="584"/>
      <c r="BG14" s="584"/>
      <c r="BH14" s="584"/>
      <c r="BI14" s="584"/>
      <c r="BJ14" s="584"/>
      <c r="BK14" s="584"/>
      <c r="BL14" s="585"/>
      <c r="BM14" s="581"/>
      <c r="BN14" s="581"/>
      <c r="BO14" s="581"/>
      <c r="BP14" s="581"/>
      <c r="BQ14" s="581"/>
      <c r="BR14" s="581"/>
      <c r="BS14" s="581"/>
      <c r="BT14" s="581"/>
      <c r="BU14" s="581"/>
      <c r="BV14" s="590"/>
      <c r="BW14" s="581"/>
      <c r="BX14" s="581"/>
      <c r="BY14" s="581"/>
      <c r="BZ14" s="581"/>
      <c r="CA14" s="581"/>
      <c r="CB14" s="581"/>
      <c r="CC14" s="581"/>
      <c r="CD14" s="582"/>
      <c r="CE14" s="581"/>
      <c r="CF14" s="581"/>
      <c r="CG14" s="581"/>
      <c r="CH14" s="581"/>
      <c r="CI14" s="581"/>
      <c r="CJ14" s="581"/>
      <c r="CK14" s="581"/>
      <c r="CL14" s="581"/>
      <c r="CM14" s="582"/>
      <c r="CN14" s="581"/>
      <c r="CO14" s="581"/>
      <c r="CP14" s="581"/>
      <c r="CQ14" s="581"/>
      <c r="CR14" s="581"/>
      <c r="CS14" s="581"/>
      <c r="CT14" s="581"/>
      <c r="CU14" s="581"/>
      <c r="CV14" s="582"/>
      <c r="CW14" s="581"/>
      <c r="CX14" s="581"/>
      <c r="CY14" s="581"/>
      <c r="CZ14" s="581"/>
      <c r="DA14" s="581"/>
      <c r="DB14" s="581"/>
      <c r="DC14" s="581"/>
      <c r="DD14" s="581"/>
      <c r="DE14" s="582"/>
      <c r="DF14" s="581"/>
      <c r="DG14" s="581"/>
      <c r="DH14" s="581"/>
      <c r="DI14" s="581"/>
      <c r="DJ14" s="581"/>
      <c r="DK14" s="581"/>
      <c r="DL14" s="581"/>
      <c r="DM14" s="581"/>
      <c r="DN14" s="582"/>
      <c r="DO14" s="581"/>
      <c r="DP14" s="581"/>
      <c r="DQ14" s="581"/>
      <c r="DR14" s="581"/>
      <c r="DS14" s="581"/>
      <c r="DT14" s="581"/>
      <c r="DU14" s="581"/>
      <c r="DV14" s="581"/>
      <c r="DW14" s="582"/>
      <c r="DX14" s="581"/>
      <c r="DY14" s="581"/>
      <c r="DZ14" s="581"/>
      <c r="EA14" s="581"/>
      <c r="EB14" s="581"/>
      <c r="EC14" s="581"/>
      <c r="ED14" s="581"/>
      <c r="EE14" s="581"/>
      <c r="EF14" s="582"/>
      <c r="EG14" s="581"/>
      <c r="EH14" s="581"/>
      <c r="EI14" s="581"/>
      <c r="EJ14" s="581"/>
      <c r="EK14" s="581"/>
      <c r="EL14" s="581"/>
      <c r="EM14" s="581"/>
      <c r="EN14" s="581"/>
      <c r="EO14" s="582"/>
      <c r="EP14" s="581"/>
      <c r="EQ14" s="581"/>
      <c r="ER14" s="581"/>
      <c r="ES14" s="581"/>
      <c r="ET14" s="581"/>
      <c r="EU14" s="581"/>
      <c r="EV14" s="581"/>
      <c r="EW14" s="581"/>
      <c r="EX14" s="582"/>
      <c r="EY14" s="581"/>
      <c r="EZ14" s="581"/>
      <c r="FA14" s="581"/>
      <c r="FB14" s="581"/>
      <c r="FC14" s="581"/>
      <c r="FD14" s="581"/>
      <c r="FE14" s="581"/>
      <c r="FF14" s="581"/>
      <c r="FG14" s="582"/>
      <c r="FH14" s="581"/>
      <c r="FI14" s="581"/>
      <c r="FJ14" s="581"/>
      <c r="FK14" s="581"/>
      <c r="FL14" s="581"/>
      <c r="FM14" s="581"/>
      <c r="FN14" s="581"/>
      <c r="FO14" s="581"/>
      <c r="FP14" s="582"/>
      <c r="FQ14" s="581"/>
      <c r="FR14" s="581"/>
      <c r="FS14" s="581"/>
      <c r="FT14" s="581"/>
      <c r="FU14" s="581"/>
      <c r="FV14" s="581"/>
      <c r="FW14" s="581"/>
      <c r="FX14" s="581"/>
      <c r="FY14" s="582"/>
      <c r="FZ14" s="581"/>
      <c r="GA14" s="581"/>
      <c r="GB14" s="581"/>
      <c r="GC14" s="581"/>
      <c r="GD14" s="581"/>
      <c r="GE14" s="581"/>
      <c r="GF14" s="581"/>
      <c r="GG14" s="581"/>
      <c r="GH14" s="582"/>
      <c r="GI14" s="581"/>
      <c r="GJ14" s="581"/>
      <c r="GK14" s="581"/>
      <c r="GL14" s="581"/>
      <c r="GM14" s="581"/>
      <c r="GN14" s="581"/>
      <c r="GO14" s="581"/>
      <c r="GP14" s="581"/>
      <c r="GQ14" s="582"/>
      <c r="GR14" s="581"/>
      <c r="GS14" s="581"/>
      <c r="GT14" s="581"/>
      <c r="GU14" s="581"/>
      <c r="GV14" s="581"/>
      <c r="GW14" s="581"/>
      <c r="GX14" s="581"/>
      <c r="GY14" s="581"/>
      <c r="GZ14" s="582"/>
      <c r="HA14" s="581"/>
      <c r="HB14" s="581"/>
      <c r="HC14" s="581"/>
      <c r="HD14" s="581"/>
      <c r="HE14" s="581"/>
      <c r="HF14" s="581"/>
      <c r="HG14" s="581"/>
      <c r="HH14" s="581"/>
      <c r="HI14" s="582"/>
      <c r="HJ14" s="581"/>
      <c r="HK14" s="581"/>
      <c r="HL14" s="581"/>
      <c r="HM14" s="581"/>
      <c r="HN14" s="581"/>
      <c r="HO14" s="581"/>
      <c r="HP14" s="581"/>
      <c r="HQ14" s="581"/>
      <c r="HR14" s="582"/>
      <c r="HS14" s="581"/>
      <c r="HT14" s="581"/>
      <c r="HU14" s="581"/>
      <c r="HV14" s="581"/>
      <c r="HW14" s="581"/>
      <c r="HX14" s="581"/>
      <c r="HY14" s="581"/>
      <c r="HZ14" s="581"/>
      <c r="IA14" s="582"/>
      <c r="IB14" s="581"/>
      <c r="IC14" s="581"/>
      <c r="ID14" s="581"/>
      <c r="IE14" s="581"/>
      <c r="IF14" s="581"/>
      <c r="IG14" s="581"/>
      <c r="IH14" s="581"/>
      <c r="II14" s="581"/>
      <c r="IJ14" s="582"/>
      <c r="IK14" s="581"/>
      <c r="IL14" s="581"/>
      <c r="IM14" s="581"/>
      <c r="IN14" s="581"/>
      <c r="IO14" s="581"/>
      <c r="IP14" s="581"/>
      <c r="IQ14" s="581"/>
      <c r="IR14" s="581"/>
      <c r="IS14" s="582"/>
      <c r="IT14" s="581"/>
      <c r="IU14" s="581"/>
      <c r="IV14" s="581"/>
      <c r="IW14" s="581"/>
      <c r="IX14" s="581"/>
      <c r="IY14" s="581"/>
      <c r="IZ14" s="581"/>
      <c r="JA14" s="581"/>
      <c r="JB14" s="582"/>
      <c r="JC14" s="581"/>
      <c r="JD14" s="581"/>
      <c r="JE14" s="581"/>
      <c r="JF14" s="581"/>
      <c r="JG14" s="581"/>
      <c r="JH14" s="581"/>
      <c r="JI14" s="581"/>
      <c r="JJ14" s="581"/>
      <c r="JK14" s="582"/>
      <c r="JL14" s="581"/>
      <c r="JM14" s="581"/>
      <c r="JN14" s="581"/>
      <c r="JO14" s="581"/>
      <c r="JP14" s="581"/>
      <c r="JQ14" s="581"/>
      <c r="JR14" s="581"/>
      <c r="JS14" s="581"/>
      <c r="JT14" s="582"/>
      <c r="JU14" s="581"/>
      <c r="JV14" s="581"/>
      <c r="JW14" s="581"/>
      <c r="JX14" s="581"/>
      <c r="JY14" s="581"/>
      <c r="JZ14" s="581"/>
      <c r="KA14" s="581"/>
      <c r="KB14" s="581"/>
      <c r="KC14" s="582"/>
      <c r="KD14" s="581"/>
      <c r="KE14" s="581"/>
      <c r="KF14" s="581"/>
      <c r="KG14" s="581"/>
      <c r="KH14" s="581"/>
      <c r="KI14" s="581"/>
      <c r="KJ14" s="581"/>
      <c r="KK14" s="581"/>
      <c r="KL14" s="582"/>
      <c r="KM14" s="581"/>
      <c r="KN14" s="581"/>
      <c r="KO14" s="581"/>
      <c r="KP14" s="581"/>
      <c r="KQ14" s="581"/>
      <c r="KR14" s="581"/>
      <c r="KS14" s="581"/>
      <c r="KT14" s="581"/>
      <c r="KU14" s="582"/>
      <c r="KV14" s="581"/>
      <c r="KW14" s="581"/>
      <c r="KX14" s="581"/>
      <c r="KY14" s="581"/>
      <c r="KZ14" s="581"/>
      <c r="LA14" s="581"/>
      <c r="LB14" s="581"/>
      <c r="LC14" s="581"/>
      <c r="LD14" s="582"/>
      <c r="LE14" s="581"/>
      <c r="LF14" s="581"/>
      <c r="LG14" s="581"/>
      <c r="LH14" s="581"/>
      <c r="LI14" s="581"/>
      <c r="LJ14" s="581"/>
      <c r="LK14" s="581"/>
      <c r="LL14" s="581"/>
      <c r="LM14" s="582"/>
      <c r="LN14" s="581"/>
      <c r="LO14" s="581"/>
      <c r="LP14" s="581"/>
      <c r="LQ14" s="581"/>
      <c r="LR14" s="581"/>
      <c r="LS14" s="581"/>
      <c r="LT14" s="581"/>
      <c r="LU14" s="581"/>
      <c r="LV14" s="582"/>
      <c r="LW14" s="581"/>
      <c r="LX14" s="581"/>
      <c r="LY14" s="581"/>
      <c r="LZ14" s="581"/>
      <c r="MA14" s="581"/>
      <c r="MB14" s="581"/>
      <c r="MC14" s="581"/>
      <c r="MD14" s="581"/>
      <c r="ME14" s="591"/>
    </row>
    <row r="15" customFormat="false" ht="9.75" hidden="false" customHeight="false" outlineLevel="0" collapsed="false">
      <c r="A15" s="571"/>
      <c r="B15" s="572"/>
      <c r="C15" s="573"/>
      <c r="D15" s="574"/>
      <c r="E15" s="574"/>
      <c r="F15" s="574"/>
      <c r="G15" s="574"/>
      <c r="H15" s="575"/>
      <c r="I15" s="576"/>
      <c r="J15" s="574"/>
      <c r="K15" s="577"/>
      <c r="L15" s="574"/>
      <c r="M15" s="574"/>
      <c r="N15" s="578" t="n">
        <f aca="false">IFERROR(M15/$M$6,0)</f>
        <v>0</v>
      </c>
      <c r="O15" s="574"/>
      <c r="P15" s="575"/>
      <c r="Q15" s="579"/>
      <c r="R15" s="577"/>
      <c r="S15" s="580"/>
      <c r="T15" s="581"/>
      <c r="U15" s="581"/>
      <c r="V15" s="581"/>
      <c r="W15" s="581"/>
      <c r="X15" s="581"/>
      <c r="Y15" s="581"/>
      <c r="Z15" s="581"/>
      <c r="AA15" s="581"/>
      <c r="AB15" s="582"/>
      <c r="AC15" s="581"/>
      <c r="AD15" s="581"/>
      <c r="AE15" s="581"/>
      <c r="AF15" s="581"/>
      <c r="AG15" s="581"/>
      <c r="AH15" s="581"/>
      <c r="AI15" s="581"/>
      <c r="AJ15" s="581"/>
      <c r="AK15" s="582"/>
      <c r="AL15" s="578"/>
      <c r="AM15" s="578"/>
      <c r="AN15" s="578"/>
      <c r="AO15" s="578"/>
      <c r="AP15" s="578"/>
      <c r="AQ15" s="578"/>
      <c r="AR15" s="578"/>
      <c r="AS15" s="578"/>
      <c r="AT15" s="583"/>
      <c r="AU15" s="584"/>
      <c r="AV15" s="584"/>
      <c r="AW15" s="584"/>
      <c r="AX15" s="584"/>
      <c r="AY15" s="584"/>
      <c r="AZ15" s="584"/>
      <c r="BA15" s="584"/>
      <c r="BB15" s="584"/>
      <c r="BC15" s="585"/>
      <c r="BD15" s="584"/>
      <c r="BE15" s="584"/>
      <c r="BF15" s="584"/>
      <c r="BG15" s="584"/>
      <c r="BH15" s="584"/>
      <c r="BI15" s="584"/>
      <c r="BJ15" s="584"/>
      <c r="BK15" s="584"/>
      <c r="BL15" s="585"/>
      <c r="BM15" s="581"/>
      <c r="BN15" s="581"/>
      <c r="BO15" s="581"/>
      <c r="BP15" s="581"/>
      <c r="BQ15" s="581"/>
      <c r="BR15" s="581"/>
      <c r="BS15" s="581"/>
      <c r="BT15" s="581"/>
      <c r="BU15" s="581"/>
      <c r="BV15" s="590"/>
      <c r="BW15" s="581"/>
      <c r="BX15" s="581"/>
      <c r="BY15" s="581"/>
      <c r="BZ15" s="581"/>
      <c r="CA15" s="581"/>
      <c r="CB15" s="581"/>
      <c r="CC15" s="581"/>
      <c r="CD15" s="582"/>
      <c r="CE15" s="581"/>
      <c r="CF15" s="581"/>
      <c r="CG15" s="581"/>
      <c r="CH15" s="581"/>
      <c r="CI15" s="581"/>
      <c r="CJ15" s="581"/>
      <c r="CK15" s="581"/>
      <c r="CL15" s="581"/>
      <c r="CM15" s="582"/>
      <c r="CN15" s="581"/>
      <c r="CO15" s="581"/>
      <c r="CP15" s="581"/>
      <c r="CQ15" s="581"/>
      <c r="CR15" s="581"/>
      <c r="CS15" s="581"/>
      <c r="CT15" s="581"/>
      <c r="CU15" s="581"/>
      <c r="CV15" s="582"/>
      <c r="CW15" s="581"/>
      <c r="CX15" s="581"/>
      <c r="CY15" s="581"/>
      <c r="CZ15" s="581"/>
      <c r="DA15" s="581"/>
      <c r="DB15" s="581"/>
      <c r="DC15" s="581"/>
      <c r="DD15" s="581"/>
      <c r="DE15" s="582"/>
      <c r="DF15" s="581"/>
      <c r="DG15" s="581"/>
      <c r="DH15" s="581"/>
      <c r="DI15" s="581"/>
      <c r="DJ15" s="581"/>
      <c r="DK15" s="581"/>
      <c r="DL15" s="581"/>
      <c r="DM15" s="581"/>
      <c r="DN15" s="582"/>
      <c r="DO15" s="581"/>
      <c r="DP15" s="581"/>
      <c r="DQ15" s="581"/>
      <c r="DR15" s="581"/>
      <c r="DS15" s="581"/>
      <c r="DT15" s="581"/>
      <c r="DU15" s="581"/>
      <c r="DV15" s="581"/>
      <c r="DW15" s="582"/>
      <c r="DX15" s="581"/>
      <c r="DY15" s="581"/>
      <c r="DZ15" s="581"/>
      <c r="EA15" s="581"/>
      <c r="EB15" s="581"/>
      <c r="EC15" s="581"/>
      <c r="ED15" s="581"/>
      <c r="EE15" s="581"/>
      <c r="EF15" s="582"/>
      <c r="EG15" s="581"/>
      <c r="EH15" s="581"/>
      <c r="EI15" s="581"/>
      <c r="EJ15" s="581"/>
      <c r="EK15" s="581"/>
      <c r="EL15" s="581"/>
      <c r="EM15" s="581"/>
      <c r="EN15" s="581"/>
      <c r="EO15" s="582"/>
      <c r="EP15" s="581"/>
      <c r="EQ15" s="581"/>
      <c r="ER15" s="581"/>
      <c r="ES15" s="581"/>
      <c r="ET15" s="581"/>
      <c r="EU15" s="581"/>
      <c r="EV15" s="581"/>
      <c r="EW15" s="581"/>
      <c r="EX15" s="582"/>
      <c r="EY15" s="581"/>
      <c r="EZ15" s="581"/>
      <c r="FA15" s="581"/>
      <c r="FB15" s="581"/>
      <c r="FC15" s="581"/>
      <c r="FD15" s="581"/>
      <c r="FE15" s="581"/>
      <c r="FF15" s="581"/>
      <c r="FG15" s="582"/>
      <c r="FH15" s="581"/>
      <c r="FI15" s="581"/>
      <c r="FJ15" s="581"/>
      <c r="FK15" s="581"/>
      <c r="FL15" s="581"/>
      <c r="FM15" s="581"/>
      <c r="FN15" s="581"/>
      <c r="FO15" s="581"/>
      <c r="FP15" s="582"/>
      <c r="FQ15" s="581"/>
      <c r="FR15" s="581"/>
      <c r="FS15" s="581"/>
      <c r="FT15" s="581"/>
      <c r="FU15" s="581"/>
      <c r="FV15" s="581"/>
      <c r="FW15" s="581"/>
      <c r="FX15" s="581"/>
      <c r="FY15" s="582"/>
      <c r="FZ15" s="581"/>
      <c r="GA15" s="581"/>
      <c r="GB15" s="581"/>
      <c r="GC15" s="581"/>
      <c r="GD15" s="581"/>
      <c r="GE15" s="581"/>
      <c r="GF15" s="581"/>
      <c r="GG15" s="581"/>
      <c r="GH15" s="582"/>
      <c r="GI15" s="581"/>
      <c r="GJ15" s="581"/>
      <c r="GK15" s="581"/>
      <c r="GL15" s="581"/>
      <c r="GM15" s="581"/>
      <c r="GN15" s="581"/>
      <c r="GO15" s="581"/>
      <c r="GP15" s="581"/>
      <c r="GQ15" s="582"/>
      <c r="GR15" s="581"/>
      <c r="GS15" s="581"/>
      <c r="GT15" s="581"/>
      <c r="GU15" s="581"/>
      <c r="GV15" s="581"/>
      <c r="GW15" s="581"/>
      <c r="GX15" s="581"/>
      <c r="GY15" s="581"/>
      <c r="GZ15" s="582"/>
      <c r="HA15" s="581"/>
      <c r="HB15" s="581"/>
      <c r="HC15" s="581"/>
      <c r="HD15" s="581"/>
      <c r="HE15" s="581"/>
      <c r="HF15" s="581"/>
      <c r="HG15" s="581"/>
      <c r="HH15" s="581"/>
      <c r="HI15" s="582"/>
      <c r="HJ15" s="581"/>
      <c r="HK15" s="581"/>
      <c r="HL15" s="581"/>
      <c r="HM15" s="581"/>
      <c r="HN15" s="581"/>
      <c r="HO15" s="581"/>
      <c r="HP15" s="581"/>
      <c r="HQ15" s="581"/>
      <c r="HR15" s="582"/>
      <c r="HS15" s="581"/>
      <c r="HT15" s="581"/>
      <c r="HU15" s="581"/>
      <c r="HV15" s="581"/>
      <c r="HW15" s="581"/>
      <c r="HX15" s="581"/>
      <c r="HY15" s="581"/>
      <c r="HZ15" s="581"/>
      <c r="IA15" s="582"/>
      <c r="IB15" s="581"/>
      <c r="IC15" s="581"/>
      <c r="ID15" s="581"/>
      <c r="IE15" s="581"/>
      <c r="IF15" s="581"/>
      <c r="IG15" s="581"/>
      <c r="IH15" s="581"/>
      <c r="II15" s="581"/>
      <c r="IJ15" s="582"/>
      <c r="IK15" s="581"/>
      <c r="IL15" s="581"/>
      <c r="IM15" s="581"/>
      <c r="IN15" s="581"/>
      <c r="IO15" s="581"/>
      <c r="IP15" s="581"/>
      <c r="IQ15" s="581"/>
      <c r="IR15" s="581"/>
      <c r="IS15" s="582"/>
      <c r="IT15" s="581"/>
      <c r="IU15" s="581"/>
      <c r="IV15" s="581"/>
      <c r="IW15" s="581"/>
      <c r="IX15" s="581"/>
      <c r="IY15" s="581"/>
      <c r="IZ15" s="581"/>
      <c r="JA15" s="581"/>
      <c r="JB15" s="582"/>
      <c r="JC15" s="581"/>
      <c r="JD15" s="581"/>
      <c r="JE15" s="581"/>
      <c r="JF15" s="581"/>
      <c r="JG15" s="581"/>
      <c r="JH15" s="581"/>
      <c r="JI15" s="581"/>
      <c r="JJ15" s="581"/>
      <c r="JK15" s="582"/>
      <c r="JL15" s="581"/>
      <c r="JM15" s="581"/>
      <c r="JN15" s="581"/>
      <c r="JO15" s="581"/>
      <c r="JP15" s="581"/>
      <c r="JQ15" s="581"/>
      <c r="JR15" s="581"/>
      <c r="JS15" s="581"/>
      <c r="JT15" s="582"/>
      <c r="JU15" s="581"/>
      <c r="JV15" s="581"/>
      <c r="JW15" s="581"/>
      <c r="JX15" s="581"/>
      <c r="JY15" s="581"/>
      <c r="JZ15" s="581"/>
      <c r="KA15" s="581"/>
      <c r="KB15" s="581"/>
      <c r="KC15" s="582"/>
      <c r="KD15" s="581"/>
      <c r="KE15" s="581"/>
      <c r="KF15" s="581"/>
      <c r="KG15" s="581"/>
      <c r="KH15" s="581"/>
      <c r="KI15" s="581"/>
      <c r="KJ15" s="581"/>
      <c r="KK15" s="581"/>
      <c r="KL15" s="582"/>
      <c r="KM15" s="581"/>
      <c r="KN15" s="581"/>
      <c r="KO15" s="581"/>
      <c r="KP15" s="581"/>
      <c r="KQ15" s="581"/>
      <c r="KR15" s="581"/>
      <c r="KS15" s="581"/>
      <c r="KT15" s="581"/>
      <c r="KU15" s="582"/>
      <c r="KV15" s="581"/>
      <c r="KW15" s="581"/>
      <c r="KX15" s="581"/>
      <c r="KY15" s="581"/>
      <c r="KZ15" s="581"/>
      <c r="LA15" s="581"/>
      <c r="LB15" s="581"/>
      <c r="LC15" s="581"/>
      <c r="LD15" s="582"/>
      <c r="LE15" s="581"/>
      <c r="LF15" s="581"/>
      <c r="LG15" s="581"/>
      <c r="LH15" s="581"/>
      <c r="LI15" s="581"/>
      <c r="LJ15" s="581"/>
      <c r="LK15" s="581"/>
      <c r="LL15" s="581"/>
      <c r="LM15" s="582"/>
      <c r="LN15" s="581"/>
      <c r="LO15" s="581"/>
      <c r="LP15" s="581"/>
      <c r="LQ15" s="581"/>
      <c r="LR15" s="581"/>
      <c r="LS15" s="581"/>
      <c r="LT15" s="581"/>
      <c r="LU15" s="581"/>
      <c r="LV15" s="582"/>
      <c r="LW15" s="581"/>
      <c r="LX15" s="581"/>
      <c r="LY15" s="581"/>
      <c r="LZ15" s="581"/>
      <c r="MA15" s="581"/>
      <c r="MB15" s="581"/>
      <c r="MC15" s="581"/>
      <c r="MD15" s="581"/>
      <c r="ME15" s="591"/>
    </row>
    <row r="16" customFormat="false" ht="9.75" hidden="false" customHeight="false" outlineLevel="0" collapsed="false">
      <c r="A16" s="571"/>
      <c r="B16" s="572"/>
      <c r="C16" s="573"/>
      <c r="D16" s="574"/>
      <c r="E16" s="574"/>
      <c r="F16" s="574"/>
      <c r="G16" s="574"/>
      <c r="H16" s="575"/>
      <c r="I16" s="576"/>
      <c r="J16" s="574"/>
      <c r="K16" s="577"/>
      <c r="L16" s="574"/>
      <c r="M16" s="574"/>
      <c r="N16" s="578" t="n">
        <f aca="false">IFERROR(M16/$M$6,0)</f>
        <v>0</v>
      </c>
      <c r="O16" s="574"/>
      <c r="P16" s="575"/>
      <c r="Q16" s="579"/>
      <c r="R16" s="577"/>
      <c r="S16" s="580"/>
      <c r="T16" s="581"/>
      <c r="U16" s="581"/>
      <c r="V16" s="581"/>
      <c r="W16" s="581"/>
      <c r="X16" s="581"/>
      <c r="Y16" s="581"/>
      <c r="Z16" s="581"/>
      <c r="AA16" s="581"/>
      <c r="AB16" s="582"/>
      <c r="AC16" s="581"/>
      <c r="AD16" s="581"/>
      <c r="AE16" s="581"/>
      <c r="AF16" s="581"/>
      <c r="AG16" s="581"/>
      <c r="AH16" s="581"/>
      <c r="AI16" s="581"/>
      <c r="AJ16" s="581"/>
      <c r="AK16" s="582"/>
      <c r="AL16" s="578"/>
      <c r="AM16" s="578"/>
      <c r="AN16" s="578"/>
      <c r="AO16" s="578"/>
      <c r="AP16" s="578"/>
      <c r="AQ16" s="578"/>
      <c r="AR16" s="578"/>
      <c r="AS16" s="578"/>
      <c r="AT16" s="583"/>
      <c r="AU16" s="584"/>
      <c r="AV16" s="584"/>
      <c r="AW16" s="584"/>
      <c r="AX16" s="584"/>
      <c r="AY16" s="584"/>
      <c r="AZ16" s="584"/>
      <c r="BA16" s="584"/>
      <c r="BB16" s="584"/>
      <c r="BC16" s="585"/>
      <c r="BD16" s="584"/>
      <c r="BE16" s="584"/>
      <c r="BF16" s="584"/>
      <c r="BG16" s="584"/>
      <c r="BH16" s="584"/>
      <c r="BI16" s="584"/>
      <c r="BJ16" s="584"/>
      <c r="BK16" s="584"/>
      <c r="BL16" s="585"/>
      <c r="BM16" s="581"/>
      <c r="BN16" s="581"/>
      <c r="BO16" s="581"/>
      <c r="BP16" s="581"/>
      <c r="BQ16" s="581"/>
      <c r="BR16" s="581"/>
      <c r="BS16" s="581"/>
      <c r="BT16" s="581"/>
      <c r="BU16" s="581"/>
      <c r="BV16" s="590"/>
      <c r="BW16" s="581"/>
      <c r="BX16" s="581"/>
      <c r="BY16" s="581"/>
      <c r="BZ16" s="581"/>
      <c r="CA16" s="581"/>
      <c r="CB16" s="581"/>
      <c r="CC16" s="581"/>
      <c r="CD16" s="582"/>
      <c r="CE16" s="581"/>
      <c r="CF16" s="581"/>
      <c r="CG16" s="581"/>
      <c r="CH16" s="581"/>
      <c r="CI16" s="581"/>
      <c r="CJ16" s="581"/>
      <c r="CK16" s="581"/>
      <c r="CL16" s="581"/>
      <c r="CM16" s="582"/>
      <c r="CN16" s="581"/>
      <c r="CO16" s="581"/>
      <c r="CP16" s="581"/>
      <c r="CQ16" s="581"/>
      <c r="CR16" s="581"/>
      <c r="CS16" s="581"/>
      <c r="CT16" s="581"/>
      <c r="CU16" s="581"/>
      <c r="CV16" s="582"/>
      <c r="CW16" s="581"/>
      <c r="CX16" s="581"/>
      <c r="CY16" s="581"/>
      <c r="CZ16" s="581"/>
      <c r="DA16" s="581"/>
      <c r="DB16" s="581"/>
      <c r="DC16" s="581"/>
      <c r="DD16" s="581"/>
      <c r="DE16" s="582"/>
      <c r="DF16" s="581"/>
      <c r="DG16" s="581"/>
      <c r="DH16" s="581"/>
      <c r="DI16" s="581"/>
      <c r="DJ16" s="581"/>
      <c r="DK16" s="581"/>
      <c r="DL16" s="581"/>
      <c r="DM16" s="581"/>
      <c r="DN16" s="582"/>
      <c r="DO16" s="581"/>
      <c r="DP16" s="581"/>
      <c r="DQ16" s="581"/>
      <c r="DR16" s="581"/>
      <c r="DS16" s="581"/>
      <c r="DT16" s="581"/>
      <c r="DU16" s="581"/>
      <c r="DV16" s="581"/>
      <c r="DW16" s="582"/>
      <c r="DX16" s="581"/>
      <c r="DY16" s="581"/>
      <c r="DZ16" s="581"/>
      <c r="EA16" s="581"/>
      <c r="EB16" s="581"/>
      <c r="EC16" s="581"/>
      <c r="ED16" s="581"/>
      <c r="EE16" s="581"/>
      <c r="EF16" s="582"/>
      <c r="EG16" s="581"/>
      <c r="EH16" s="581"/>
      <c r="EI16" s="581"/>
      <c r="EJ16" s="581"/>
      <c r="EK16" s="581"/>
      <c r="EL16" s="581"/>
      <c r="EM16" s="581"/>
      <c r="EN16" s="581"/>
      <c r="EO16" s="582"/>
      <c r="EP16" s="581"/>
      <c r="EQ16" s="581"/>
      <c r="ER16" s="581"/>
      <c r="ES16" s="581"/>
      <c r="ET16" s="581"/>
      <c r="EU16" s="581"/>
      <c r="EV16" s="581"/>
      <c r="EW16" s="581"/>
      <c r="EX16" s="582"/>
      <c r="EY16" s="581"/>
      <c r="EZ16" s="581"/>
      <c r="FA16" s="581"/>
      <c r="FB16" s="581"/>
      <c r="FC16" s="581"/>
      <c r="FD16" s="581"/>
      <c r="FE16" s="581"/>
      <c r="FF16" s="581"/>
      <c r="FG16" s="582"/>
      <c r="FH16" s="581"/>
      <c r="FI16" s="581"/>
      <c r="FJ16" s="581"/>
      <c r="FK16" s="581"/>
      <c r="FL16" s="581"/>
      <c r="FM16" s="581"/>
      <c r="FN16" s="581"/>
      <c r="FO16" s="581"/>
      <c r="FP16" s="582"/>
      <c r="FQ16" s="581"/>
      <c r="FR16" s="581"/>
      <c r="FS16" s="581"/>
      <c r="FT16" s="581"/>
      <c r="FU16" s="581"/>
      <c r="FV16" s="581"/>
      <c r="FW16" s="581"/>
      <c r="FX16" s="581"/>
      <c r="FY16" s="582"/>
      <c r="FZ16" s="581"/>
      <c r="GA16" s="581"/>
      <c r="GB16" s="581"/>
      <c r="GC16" s="581"/>
      <c r="GD16" s="581"/>
      <c r="GE16" s="581"/>
      <c r="GF16" s="581"/>
      <c r="GG16" s="581"/>
      <c r="GH16" s="582"/>
      <c r="GI16" s="581"/>
      <c r="GJ16" s="581"/>
      <c r="GK16" s="581"/>
      <c r="GL16" s="581"/>
      <c r="GM16" s="581"/>
      <c r="GN16" s="581"/>
      <c r="GO16" s="581"/>
      <c r="GP16" s="581"/>
      <c r="GQ16" s="582"/>
      <c r="GR16" s="581"/>
      <c r="GS16" s="581"/>
      <c r="GT16" s="581"/>
      <c r="GU16" s="581"/>
      <c r="GV16" s="581"/>
      <c r="GW16" s="581"/>
      <c r="GX16" s="581"/>
      <c r="GY16" s="581"/>
      <c r="GZ16" s="582"/>
      <c r="HA16" s="581"/>
      <c r="HB16" s="581"/>
      <c r="HC16" s="581"/>
      <c r="HD16" s="581"/>
      <c r="HE16" s="581"/>
      <c r="HF16" s="581"/>
      <c r="HG16" s="581"/>
      <c r="HH16" s="581"/>
      <c r="HI16" s="582"/>
      <c r="HJ16" s="581"/>
      <c r="HK16" s="581"/>
      <c r="HL16" s="581"/>
      <c r="HM16" s="581"/>
      <c r="HN16" s="581"/>
      <c r="HO16" s="581"/>
      <c r="HP16" s="581"/>
      <c r="HQ16" s="581"/>
      <c r="HR16" s="582"/>
      <c r="HS16" s="581"/>
      <c r="HT16" s="581"/>
      <c r="HU16" s="581"/>
      <c r="HV16" s="581"/>
      <c r="HW16" s="581"/>
      <c r="HX16" s="581"/>
      <c r="HY16" s="581"/>
      <c r="HZ16" s="581"/>
      <c r="IA16" s="582"/>
      <c r="IB16" s="581"/>
      <c r="IC16" s="581"/>
      <c r="ID16" s="581"/>
      <c r="IE16" s="581"/>
      <c r="IF16" s="581"/>
      <c r="IG16" s="581"/>
      <c r="IH16" s="581"/>
      <c r="II16" s="581"/>
      <c r="IJ16" s="582"/>
      <c r="IK16" s="581"/>
      <c r="IL16" s="581"/>
      <c r="IM16" s="581"/>
      <c r="IN16" s="581"/>
      <c r="IO16" s="581"/>
      <c r="IP16" s="581"/>
      <c r="IQ16" s="581"/>
      <c r="IR16" s="581"/>
      <c r="IS16" s="582"/>
      <c r="IT16" s="581"/>
      <c r="IU16" s="581"/>
      <c r="IV16" s="581"/>
      <c r="IW16" s="581"/>
      <c r="IX16" s="581"/>
      <c r="IY16" s="581"/>
      <c r="IZ16" s="581"/>
      <c r="JA16" s="581"/>
      <c r="JB16" s="582"/>
      <c r="JC16" s="581"/>
      <c r="JD16" s="581"/>
      <c r="JE16" s="581"/>
      <c r="JF16" s="581"/>
      <c r="JG16" s="581"/>
      <c r="JH16" s="581"/>
      <c r="JI16" s="581"/>
      <c r="JJ16" s="581"/>
      <c r="JK16" s="582"/>
      <c r="JL16" s="581"/>
      <c r="JM16" s="581"/>
      <c r="JN16" s="581"/>
      <c r="JO16" s="581"/>
      <c r="JP16" s="581"/>
      <c r="JQ16" s="581"/>
      <c r="JR16" s="581"/>
      <c r="JS16" s="581"/>
      <c r="JT16" s="582"/>
      <c r="JU16" s="581"/>
      <c r="JV16" s="581"/>
      <c r="JW16" s="581"/>
      <c r="JX16" s="581"/>
      <c r="JY16" s="581"/>
      <c r="JZ16" s="581"/>
      <c r="KA16" s="581"/>
      <c r="KB16" s="581"/>
      <c r="KC16" s="582"/>
      <c r="KD16" s="581"/>
      <c r="KE16" s="581"/>
      <c r="KF16" s="581"/>
      <c r="KG16" s="581"/>
      <c r="KH16" s="581"/>
      <c r="KI16" s="581"/>
      <c r="KJ16" s="581"/>
      <c r="KK16" s="581"/>
      <c r="KL16" s="582"/>
      <c r="KM16" s="581"/>
      <c r="KN16" s="581"/>
      <c r="KO16" s="581"/>
      <c r="KP16" s="581"/>
      <c r="KQ16" s="581"/>
      <c r="KR16" s="581"/>
      <c r="KS16" s="581"/>
      <c r="KT16" s="581"/>
      <c r="KU16" s="582"/>
      <c r="KV16" s="581"/>
      <c r="KW16" s="581"/>
      <c r="KX16" s="581"/>
      <c r="KY16" s="581"/>
      <c r="KZ16" s="581"/>
      <c r="LA16" s="581"/>
      <c r="LB16" s="581"/>
      <c r="LC16" s="581"/>
      <c r="LD16" s="582"/>
      <c r="LE16" s="581"/>
      <c r="LF16" s="581"/>
      <c r="LG16" s="581"/>
      <c r="LH16" s="581"/>
      <c r="LI16" s="581"/>
      <c r="LJ16" s="581"/>
      <c r="LK16" s="581"/>
      <c r="LL16" s="581"/>
      <c r="LM16" s="582"/>
      <c r="LN16" s="581"/>
      <c r="LO16" s="581"/>
      <c r="LP16" s="581"/>
      <c r="LQ16" s="581"/>
      <c r="LR16" s="581"/>
      <c r="LS16" s="581"/>
      <c r="LT16" s="581"/>
      <c r="LU16" s="581"/>
      <c r="LV16" s="582"/>
      <c r="LW16" s="581"/>
      <c r="LX16" s="581"/>
      <c r="LY16" s="581"/>
      <c r="LZ16" s="581"/>
      <c r="MA16" s="581"/>
      <c r="MB16" s="581"/>
      <c r="MC16" s="581"/>
      <c r="MD16" s="581"/>
      <c r="ME16" s="591"/>
    </row>
    <row r="17" customFormat="false" ht="9.75" hidden="false" customHeight="false" outlineLevel="0" collapsed="false">
      <c r="A17" s="571"/>
      <c r="B17" s="572"/>
      <c r="C17" s="573"/>
      <c r="D17" s="574"/>
      <c r="E17" s="574"/>
      <c r="F17" s="574"/>
      <c r="G17" s="574"/>
      <c r="H17" s="575"/>
      <c r="I17" s="576"/>
      <c r="J17" s="574"/>
      <c r="K17" s="577"/>
      <c r="L17" s="574"/>
      <c r="M17" s="574"/>
      <c r="N17" s="578" t="n">
        <f aca="false">IFERROR(M17/$M$6,0)</f>
        <v>0</v>
      </c>
      <c r="O17" s="574"/>
      <c r="P17" s="575"/>
      <c r="Q17" s="579"/>
      <c r="R17" s="577"/>
      <c r="S17" s="580"/>
      <c r="T17" s="581"/>
      <c r="U17" s="581"/>
      <c r="V17" s="581"/>
      <c r="W17" s="581"/>
      <c r="X17" s="581"/>
      <c r="Y17" s="581"/>
      <c r="Z17" s="581"/>
      <c r="AA17" s="581"/>
      <c r="AB17" s="582"/>
      <c r="AC17" s="581"/>
      <c r="AD17" s="581"/>
      <c r="AE17" s="581"/>
      <c r="AF17" s="581"/>
      <c r="AG17" s="581"/>
      <c r="AH17" s="581"/>
      <c r="AI17" s="581"/>
      <c r="AJ17" s="581"/>
      <c r="AK17" s="582"/>
      <c r="AL17" s="578"/>
      <c r="AM17" s="578"/>
      <c r="AN17" s="578"/>
      <c r="AO17" s="578"/>
      <c r="AP17" s="578"/>
      <c r="AQ17" s="578"/>
      <c r="AR17" s="578"/>
      <c r="AS17" s="578"/>
      <c r="AT17" s="583"/>
      <c r="AU17" s="584"/>
      <c r="AV17" s="584"/>
      <c r="AW17" s="584"/>
      <c r="AX17" s="584"/>
      <c r="AY17" s="584"/>
      <c r="AZ17" s="584"/>
      <c r="BA17" s="584"/>
      <c r="BB17" s="584"/>
      <c r="BC17" s="585"/>
      <c r="BD17" s="584"/>
      <c r="BE17" s="584"/>
      <c r="BF17" s="584"/>
      <c r="BG17" s="584"/>
      <c r="BH17" s="584"/>
      <c r="BI17" s="584"/>
      <c r="BJ17" s="584"/>
      <c r="BK17" s="584"/>
      <c r="BL17" s="585"/>
      <c r="BM17" s="581"/>
      <c r="BN17" s="581"/>
      <c r="BO17" s="581"/>
      <c r="BP17" s="581"/>
      <c r="BQ17" s="581"/>
      <c r="BR17" s="581"/>
      <c r="BS17" s="581"/>
      <c r="BT17" s="581"/>
      <c r="BU17" s="581"/>
      <c r="BV17" s="590"/>
      <c r="BW17" s="581"/>
      <c r="BX17" s="581"/>
      <c r="BY17" s="581"/>
      <c r="BZ17" s="581"/>
      <c r="CA17" s="581"/>
      <c r="CB17" s="581"/>
      <c r="CC17" s="581"/>
      <c r="CD17" s="582"/>
      <c r="CE17" s="581"/>
      <c r="CF17" s="581"/>
      <c r="CG17" s="581"/>
      <c r="CH17" s="581"/>
      <c r="CI17" s="581"/>
      <c r="CJ17" s="581"/>
      <c r="CK17" s="581"/>
      <c r="CL17" s="581"/>
      <c r="CM17" s="582"/>
      <c r="CN17" s="581"/>
      <c r="CO17" s="581"/>
      <c r="CP17" s="581"/>
      <c r="CQ17" s="581"/>
      <c r="CR17" s="581"/>
      <c r="CS17" s="581"/>
      <c r="CT17" s="581"/>
      <c r="CU17" s="581"/>
      <c r="CV17" s="582"/>
      <c r="CW17" s="581"/>
      <c r="CX17" s="581"/>
      <c r="CY17" s="581"/>
      <c r="CZ17" s="581"/>
      <c r="DA17" s="581"/>
      <c r="DB17" s="581"/>
      <c r="DC17" s="581"/>
      <c r="DD17" s="581"/>
      <c r="DE17" s="582"/>
      <c r="DF17" s="581"/>
      <c r="DG17" s="581"/>
      <c r="DH17" s="581"/>
      <c r="DI17" s="581"/>
      <c r="DJ17" s="581"/>
      <c r="DK17" s="581"/>
      <c r="DL17" s="581"/>
      <c r="DM17" s="581"/>
      <c r="DN17" s="582"/>
      <c r="DO17" s="581"/>
      <c r="DP17" s="581"/>
      <c r="DQ17" s="581"/>
      <c r="DR17" s="581"/>
      <c r="DS17" s="581"/>
      <c r="DT17" s="581"/>
      <c r="DU17" s="581"/>
      <c r="DV17" s="581"/>
      <c r="DW17" s="582"/>
      <c r="DX17" s="581"/>
      <c r="DY17" s="581"/>
      <c r="DZ17" s="581"/>
      <c r="EA17" s="581"/>
      <c r="EB17" s="581"/>
      <c r="EC17" s="581"/>
      <c r="ED17" s="581"/>
      <c r="EE17" s="581"/>
      <c r="EF17" s="582"/>
      <c r="EG17" s="581"/>
      <c r="EH17" s="581"/>
      <c r="EI17" s="581"/>
      <c r="EJ17" s="581"/>
      <c r="EK17" s="581"/>
      <c r="EL17" s="581"/>
      <c r="EM17" s="581"/>
      <c r="EN17" s="581"/>
      <c r="EO17" s="582"/>
      <c r="EP17" s="581"/>
      <c r="EQ17" s="581"/>
      <c r="ER17" s="581"/>
      <c r="ES17" s="581"/>
      <c r="ET17" s="581"/>
      <c r="EU17" s="581"/>
      <c r="EV17" s="581"/>
      <c r="EW17" s="581"/>
      <c r="EX17" s="582"/>
      <c r="EY17" s="581"/>
      <c r="EZ17" s="581"/>
      <c r="FA17" s="581"/>
      <c r="FB17" s="581"/>
      <c r="FC17" s="581"/>
      <c r="FD17" s="581"/>
      <c r="FE17" s="581"/>
      <c r="FF17" s="581"/>
      <c r="FG17" s="582"/>
      <c r="FH17" s="581"/>
      <c r="FI17" s="581"/>
      <c r="FJ17" s="581"/>
      <c r="FK17" s="581"/>
      <c r="FL17" s="581"/>
      <c r="FM17" s="581"/>
      <c r="FN17" s="581"/>
      <c r="FO17" s="581"/>
      <c r="FP17" s="582"/>
      <c r="FQ17" s="581"/>
      <c r="FR17" s="581"/>
      <c r="FS17" s="581"/>
      <c r="FT17" s="581"/>
      <c r="FU17" s="581"/>
      <c r="FV17" s="581"/>
      <c r="FW17" s="581"/>
      <c r="FX17" s="581"/>
      <c r="FY17" s="582"/>
      <c r="FZ17" s="581"/>
      <c r="GA17" s="581"/>
      <c r="GB17" s="581"/>
      <c r="GC17" s="581"/>
      <c r="GD17" s="581"/>
      <c r="GE17" s="581"/>
      <c r="GF17" s="581"/>
      <c r="GG17" s="581"/>
      <c r="GH17" s="582"/>
      <c r="GI17" s="581"/>
      <c r="GJ17" s="581"/>
      <c r="GK17" s="581"/>
      <c r="GL17" s="581"/>
      <c r="GM17" s="581"/>
      <c r="GN17" s="581"/>
      <c r="GO17" s="581"/>
      <c r="GP17" s="581"/>
      <c r="GQ17" s="582"/>
      <c r="GR17" s="581"/>
      <c r="GS17" s="581"/>
      <c r="GT17" s="581"/>
      <c r="GU17" s="581"/>
      <c r="GV17" s="581"/>
      <c r="GW17" s="581"/>
      <c r="GX17" s="581"/>
      <c r="GY17" s="581"/>
      <c r="GZ17" s="582"/>
      <c r="HA17" s="581"/>
      <c r="HB17" s="581"/>
      <c r="HC17" s="581"/>
      <c r="HD17" s="581"/>
      <c r="HE17" s="581"/>
      <c r="HF17" s="581"/>
      <c r="HG17" s="581"/>
      <c r="HH17" s="581"/>
      <c r="HI17" s="582"/>
      <c r="HJ17" s="581"/>
      <c r="HK17" s="581"/>
      <c r="HL17" s="581"/>
      <c r="HM17" s="581"/>
      <c r="HN17" s="581"/>
      <c r="HO17" s="581"/>
      <c r="HP17" s="581"/>
      <c r="HQ17" s="581"/>
      <c r="HR17" s="582"/>
      <c r="HS17" s="581"/>
      <c r="HT17" s="581"/>
      <c r="HU17" s="581"/>
      <c r="HV17" s="581"/>
      <c r="HW17" s="581"/>
      <c r="HX17" s="581"/>
      <c r="HY17" s="581"/>
      <c r="HZ17" s="581"/>
      <c r="IA17" s="582"/>
      <c r="IB17" s="581"/>
      <c r="IC17" s="581"/>
      <c r="ID17" s="581"/>
      <c r="IE17" s="581"/>
      <c r="IF17" s="581"/>
      <c r="IG17" s="581"/>
      <c r="IH17" s="581"/>
      <c r="II17" s="581"/>
      <c r="IJ17" s="582"/>
      <c r="IK17" s="581"/>
      <c r="IL17" s="581"/>
      <c r="IM17" s="581"/>
      <c r="IN17" s="581"/>
      <c r="IO17" s="581"/>
      <c r="IP17" s="581"/>
      <c r="IQ17" s="581"/>
      <c r="IR17" s="581"/>
      <c r="IS17" s="582"/>
      <c r="IT17" s="581"/>
      <c r="IU17" s="581"/>
      <c r="IV17" s="581"/>
      <c r="IW17" s="581"/>
      <c r="IX17" s="581"/>
      <c r="IY17" s="581"/>
      <c r="IZ17" s="581"/>
      <c r="JA17" s="581"/>
      <c r="JB17" s="582"/>
      <c r="JC17" s="581"/>
      <c r="JD17" s="581"/>
      <c r="JE17" s="581"/>
      <c r="JF17" s="581"/>
      <c r="JG17" s="581"/>
      <c r="JH17" s="581"/>
      <c r="JI17" s="581"/>
      <c r="JJ17" s="581"/>
      <c r="JK17" s="582"/>
      <c r="JL17" s="581"/>
      <c r="JM17" s="581"/>
      <c r="JN17" s="581"/>
      <c r="JO17" s="581"/>
      <c r="JP17" s="581"/>
      <c r="JQ17" s="581"/>
      <c r="JR17" s="581"/>
      <c r="JS17" s="581"/>
      <c r="JT17" s="582"/>
      <c r="JU17" s="581"/>
      <c r="JV17" s="581"/>
      <c r="JW17" s="581"/>
      <c r="JX17" s="581"/>
      <c r="JY17" s="581"/>
      <c r="JZ17" s="581"/>
      <c r="KA17" s="581"/>
      <c r="KB17" s="581"/>
      <c r="KC17" s="582"/>
      <c r="KD17" s="581"/>
      <c r="KE17" s="581"/>
      <c r="KF17" s="581"/>
      <c r="KG17" s="581"/>
      <c r="KH17" s="581"/>
      <c r="KI17" s="581"/>
      <c r="KJ17" s="581"/>
      <c r="KK17" s="581"/>
      <c r="KL17" s="582"/>
      <c r="KM17" s="581"/>
      <c r="KN17" s="581"/>
      <c r="KO17" s="581"/>
      <c r="KP17" s="581"/>
      <c r="KQ17" s="581"/>
      <c r="KR17" s="581"/>
      <c r="KS17" s="581"/>
      <c r="KT17" s="581"/>
      <c r="KU17" s="582"/>
      <c r="KV17" s="581"/>
      <c r="KW17" s="581"/>
      <c r="KX17" s="581"/>
      <c r="KY17" s="581"/>
      <c r="KZ17" s="581"/>
      <c r="LA17" s="581"/>
      <c r="LB17" s="581"/>
      <c r="LC17" s="581"/>
      <c r="LD17" s="582"/>
      <c r="LE17" s="581"/>
      <c r="LF17" s="581"/>
      <c r="LG17" s="581"/>
      <c r="LH17" s="581"/>
      <c r="LI17" s="581"/>
      <c r="LJ17" s="581"/>
      <c r="LK17" s="581"/>
      <c r="LL17" s="581"/>
      <c r="LM17" s="582"/>
      <c r="LN17" s="581"/>
      <c r="LO17" s="581"/>
      <c r="LP17" s="581"/>
      <c r="LQ17" s="581"/>
      <c r="LR17" s="581"/>
      <c r="LS17" s="581"/>
      <c r="LT17" s="581"/>
      <c r="LU17" s="581"/>
      <c r="LV17" s="582"/>
      <c r="LW17" s="581"/>
      <c r="LX17" s="581"/>
      <c r="LY17" s="581"/>
      <c r="LZ17" s="581"/>
      <c r="MA17" s="581"/>
      <c r="MB17" s="581"/>
      <c r="MC17" s="581"/>
      <c r="MD17" s="581"/>
      <c r="ME17" s="591"/>
    </row>
    <row r="18" customFormat="false" ht="9.75" hidden="false" customHeight="false" outlineLevel="0" collapsed="false">
      <c r="A18" s="571"/>
      <c r="B18" s="572"/>
      <c r="C18" s="573"/>
      <c r="D18" s="574"/>
      <c r="E18" s="574"/>
      <c r="F18" s="574"/>
      <c r="G18" s="574"/>
      <c r="H18" s="575"/>
      <c r="I18" s="576"/>
      <c r="J18" s="574"/>
      <c r="K18" s="577"/>
      <c r="L18" s="574"/>
      <c r="M18" s="574"/>
      <c r="N18" s="578" t="n">
        <f aca="false">IFERROR(M18/$M$6,0)</f>
        <v>0</v>
      </c>
      <c r="O18" s="574"/>
      <c r="P18" s="575"/>
      <c r="Q18" s="579"/>
      <c r="R18" s="577"/>
      <c r="S18" s="580"/>
      <c r="T18" s="581"/>
      <c r="U18" s="581"/>
      <c r="V18" s="581"/>
      <c r="W18" s="581"/>
      <c r="X18" s="581"/>
      <c r="Y18" s="581"/>
      <c r="Z18" s="581"/>
      <c r="AA18" s="581"/>
      <c r="AB18" s="582"/>
      <c r="AC18" s="581"/>
      <c r="AD18" s="581"/>
      <c r="AE18" s="581"/>
      <c r="AF18" s="581"/>
      <c r="AG18" s="581"/>
      <c r="AH18" s="581"/>
      <c r="AI18" s="581"/>
      <c r="AJ18" s="581"/>
      <c r="AK18" s="582"/>
      <c r="AL18" s="578"/>
      <c r="AM18" s="578"/>
      <c r="AN18" s="578"/>
      <c r="AO18" s="578"/>
      <c r="AP18" s="578"/>
      <c r="AQ18" s="578"/>
      <c r="AR18" s="578"/>
      <c r="AS18" s="578"/>
      <c r="AT18" s="583"/>
      <c r="AU18" s="584"/>
      <c r="AV18" s="584"/>
      <c r="AW18" s="584"/>
      <c r="AX18" s="584"/>
      <c r="AY18" s="584"/>
      <c r="AZ18" s="584"/>
      <c r="BA18" s="584"/>
      <c r="BB18" s="584"/>
      <c r="BC18" s="585"/>
      <c r="BD18" s="584"/>
      <c r="BE18" s="584"/>
      <c r="BF18" s="584"/>
      <c r="BG18" s="584"/>
      <c r="BH18" s="584"/>
      <c r="BI18" s="584"/>
      <c r="BJ18" s="584"/>
      <c r="BK18" s="584"/>
      <c r="BL18" s="585"/>
      <c r="BM18" s="581"/>
      <c r="BN18" s="581"/>
      <c r="BO18" s="581"/>
      <c r="BP18" s="581"/>
      <c r="BQ18" s="581"/>
      <c r="BR18" s="581"/>
      <c r="BS18" s="581"/>
      <c r="BT18" s="581"/>
      <c r="BU18" s="581"/>
      <c r="BV18" s="590"/>
      <c r="BW18" s="581"/>
      <c r="BX18" s="581"/>
      <c r="BY18" s="581"/>
      <c r="BZ18" s="581"/>
      <c r="CA18" s="581"/>
      <c r="CB18" s="581"/>
      <c r="CC18" s="581"/>
      <c r="CD18" s="582"/>
      <c r="CE18" s="581"/>
      <c r="CF18" s="581"/>
      <c r="CG18" s="581"/>
      <c r="CH18" s="581"/>
      <c r="CI18" s="581"/>
      <c r="CJ18" s="581"/>
      <c r="CK18" s="581"/>
      <c r="CL18" s="581"/>
      <c r="CM18" s="582"/>
      <c r="CN18" s="581"/>
      <c r="CO18" s="581"/>
      <c r="CP18" s="581"/>
      <c r="CQ18" s="581"/>
      <c r="CR18" s="581"/>
      <c r="CS18" s="581"/>
      <c r="CT18" s="581"/>
      <c r="CU18" s="581"/>
      <c r="CV18" s="582"/>
      <c r="CW18" s="581"/>
      <c r="CX18" s="581"/>
      <c r="CY18" s="581"/>
      <c r="CZ18" s="581"/>
      <c r="DA18" s="581"/>
      <c r="DB18" s="581"/>
      <c r="DC18" s="581"/>
      <c r="DD18" s="581"/>
      <c r="DE18" s="582"/>
      <c r="DF18" s="581"/>
      <c r="DG18" s="581"/>
      <c r="DH18" s="581"/>
      <c r="DI18" s="581"/>
      <c r="DJ18" s="581"/>
      <c r="DK18" s="581"/>
      <c r="DL18" s="581"/>
      <c r="DM18" s="581"/>
      <c r="DN18" s="582"/>
      <c r="DO18" s="581"/>
      <c r="DP18" s="581"/>
      <c r="DQ18" s="581"/>
      <c r="DR18" s="581"/>
      <c r="DS18" s="581"/>
      <c r="DT18" s="581"/>
      <c r="DU18" s="581"/>
      <c r="DV18" s="581"/>
      <c r="DW18" s="582"/>
      <c r="DX18" s="581"/>
      <c r="DY18" s="581"/>
      <c r="DZ18" s="581"/>
      <c r="EA18" s="581"/>
      <c r="EB18" s="581"/>
      <c r="EC18" s="581"/>
      <c r="ED18" s="581"/>
      <c r="EE18" s="581"/>
      <c r="EF18" s="582"/>
      <c r="EG18" s="581"/>
      <c r="EH18" s="581"/>
      <c r="EI18" s="581"/>
      <c r="EJ18" s="581"/>
      <c r="EK18" s="581"/>
      <c r="EL18" s="581"/>
      <c r="EM18" s="581"/>
      <c r="EN18" s="581"/>
      <c r="EO18" s="582"/>
      <c r="EP18" s="581"/>
      <c r="EQ18" s="581"/>
      <c r="ER18" s="581"/>
      <c r="ES18" s="581"/>
      <c r="ET18" s="581"/>
      <c r="EU18" s="581"/>
      <c r="EV18" s="581"/>
      <c r="EW18" s="581"/>
      <c r="EX18" s="582"/>
      <c r="EY18" s="581"/>
      <c r="EZ18" s="581"/>
      <c r="FA18" s="581"/>
      <c r="FB18" s="581"/>
      <c r="FC18" s="581"/>
      <c r="FD18" s="581"/>
      <c r="FE18" s="581"/>
      <c r="FF18" s="581"/>
      <c r="FG18" s="582"/>
      <c r="FH18" s="581"/>
      <c r="FI18" s="581"/>
      <c r="FJ18" s="581"/>
      <c r="FK18" s="581"/>
      <c r="FL18" s="581"/>
      <c r="FM18" s="581"/>
      <c r="FN18" s="581"/>
      <c r="FO18" s="581"/>
      <c r="FP18" s="582"/>
      <c r="FQ18" s="581"/>
      <c r="FR18" s="581"/>
      <c r="FS18" s="581"/>
      <c r="FT18" s="581"/>
      <c r="FU18" s="581"/>
      <c r="FV18" s="581"/>
      <c r="FW18" s="581"/>
      <c r="FX18" s="581"/>
      <c r="FY18" s="582"/>
      <c r="FZ18" s="581"/>
      <c r="GA18" s="581"/>
      <c r="GB18" s="581"/>
      <c r="GC18" s="581"/>
      <c r="GD18" s="581"/>
      <c r="GE18" s="581"/>
      <c r="GF18" s="581"/>
      <c r="GG18" s="581"/>
      <c r="GH18" s="582"/>
      <c r="GI18" s="581"/>
      <c r="GJ18" s="581"/>
      <c r="GK18" s="581"/>
      <c r="GL18" s="581"/>
      <c r="GM18" s="581"/>
      <c r="GN18" s="581"/>
      <c r="GO18" s="581"/>
      <c r="GP18" s="581"/>
      <c r="GQ18" s="582"/>
      <c r="GR18" s="581"/>
      <c r="GS18" s="581"/>
      <c r="GT18" s="581"/>
      <c r="GU18" s="581"/>
      <c r="GV18" s="581"/>
      <c r="GW18" s="581"/>
      <c r="GX18" s="581"/>
      <c r="GY18" s="581"/>
      <c r="GZ18" s="582"/>
      <c r="HA18" s="581"/>
      <c r="HB18" s="581"/>
      <c r="HC18" s="581"/>
      <c r="HD18" s="581"/>
      <c r="HE18" s="581"/>
      <c r="HF18" s="581"/>
      <c r="HG18" s="581"/>
      <c r="HH18" s="581"/>
      <c r="HI18" s="582"/>
      <c r="HJ18" s="581"/>
      <c r="HK18" s="581"/>
      <c r="HL18" s="581"/>
      <c r="HM18" s="581"/>
      <c r="HN18" s="581"/>
      <c r="HO18" s="581"/>
      <c r="HP18" s="581"/>
      <c r="HQ18" s="581"/>
      <c r="HR18" s="582"/>
      <c r="HS18" s="581"/>
      <c r="HT18" s="581"/>
      <c r="HU18" s="581"/>
      <c r="HV18" s="581"/>
      <c r="HW18" s="581"/>
      <c r="HX18" s="581"/>
      <c r="HY18" s="581"/>
      <c r="HZ18" s="581"/>
      <c r="IA18" s="582"/>
      <c r="IB18" s="581"/>
      <c r="IC18" s="581"/>
      <c r="ID18" s="581"/>
      <c r="IE18" s="581"/>
      <c r="IF18" s="581"/>
      <c r="IG18" s="581"/>
      <c r="IH18" s="581"/>
      <c r="II18" s="581"/>
      <c r="IJ18" s="582"/>
      <c r="IK18" s="581"/>
      <c r="IL18" s="581"/>
      <c r="IM18" s="581"/>
      <c r="IN18" s="581"/>
      <c r="IO18" s="581"/>
      <c r="IP18" s="581"/>
      <c r="IQ18" s="581"/>
      <c r="IR18" s="581"/>
      <c r="IS18" s="582"/>
      <c r="IT18" s="581"/>
      <c r="IU18" s="581"/>
      <c r="IV18" s="581"/>
      <c r="IW18" s="581"/>
      <c r="IX18" s="581"/>
      <c r="IY18" s="581"/>
      <c r="IZ18" s="581"/>
      <c r="JA18" s="581"/>
      <c r="JB18" s="582"/>
      <c r="JC18" s="581"/>
      <c r="JD18" s="581"/>
      <c r="JE18" s="581"/>
      <c r="JF18" s="581"/>
      <c r="JG18" s="581"/>
      <c r="JH18" s="581"/>
      <c r="JI18" s="581"/>
      <c r="JJ18" s="581"/>
      <c r="JK18" s="582"/>
      <c r="JL18" s="581"/>
      <c r="JM18" s="581"/>
      <c r="JN18" s="581"/>
      <c r="JO18" s="581"/>
      <c r="JP18" s="581"/>
      <c r="JQ18" s="581"/>
      <c r="JR18" s="581"/>
      <c r="JS18" s="581"/>
      <c r="JT18" s="582"/>
      <c r="JU18" s="581"/>
      <c r="JV18" s="581"/>
      <c r="JW18" s="581"/>
      <c r="JX18" s="581"/>
      <c r="JY18" s="581"/>
      <c r="JZ18" s="581"/>
      <c r="KA18" s="581"/>
      <c r="KB18" s="581"/>
      <c r="KC18" s="582"/>
      <c r="KD18" s="581"/>
      <c r="KE18" s="581"/>
      <c r="KF18" s="581"/>
      <c r="KG18" s="581"/>
      <c r="KH18" s="581"/>
      <c r="KI18" s="581"/>
      <c r="KJ18" s="581"/>
      <c r="KK18" s="581"/>
      <c r="KL18" s="582"/>
      <c r="KM18" s="581"/>
      <c r="KN18" s="581"/>
      <c r="KO18" s="581"/>
      <c r="KP18" s="581"/>
      <c r="KQ18" s="581"/>
      <c r="KR18" s="581"/>
      <c r="KS18" s="581"/>
      <c r="KT18" s="581"/>
      <c r="KU18" s="582"/>
      <c r="KV18" s="581"/>
      <c r="KW18" s="581"/>
      <c r="KX18" s="581"/>
      <c r="KY18" s="581"/>
      <c r="KZ18" s="581"/>
      <c r="LA18" s="581"/>
      <c r="LB18" s="581"/>
      <c r="LC18" s="581"/>
      <c r="LD18" s="582"/>
      <c r="LE18" s="581"/>
      <c r="LF18" s="581"/>
      <c r="LG18" s="581"/>
      <c r="LH18" s="581"/>
      <c r="LI18" s="581"/>
      <c r="LJ18" s="581"/>
      <c r="LK18" s="581"/>
      <c r="LL18" s="581"/>
      <c r="LM18" s="582"/>
      <c r="LN18" s="581"/>
      <c r="LO18" s="581"/>
      <c r="LP18" s="581"/>
      <c r="LQ18" s="581"/>
      <c r="LR18" s="581"/>
      <c r="LS18" s="581"/>
      <c r="LT18" s="581"/>
      <c r="LU18" s="581"/>
      <c r="LV18" s="582"/>
      <c r="LW18" s="581"/>
      <c r="LX18" s="581"/>
      <c r="LY18" s="581"/>
      <c r="LZ18" s="581"/>
      <c r="MA18" s="581"/>
      <c r="MB18" s="581"/>
      <c r="MC18" s="581"/>
      <c r="MD18" s="581"/>
      <c r="ME18" s="591"/>
    </row>
    <row r="19" customFormat="false" ht="9.75" hidden="false" customHeight="false" outlineLevel="0" collapsed="false">
      <c r="A19" s="571"/>
      <c r="B19" s="572"/>
      <c r="C19" s="573"/>
      <c r="D19" s="574"/>
      <c r="E19" s="574"/>
      <c r="F19" s="574"/>
      <c r="G19" s="574"/>
      <c r="H19" s="575"/>
      <c r="I19" s="576"/>
      <c r="J19" s="574"/>
      <c r="K19" s="577"/>
      <c r="L19" s="574"/>
      <c r="M19" s="574"/>
      <c r="N19" s="578" t="n">
        <f aca="false">IFERROR(M19/$M$6,0)</f>
        <v>0</v>
      </c>
      <c r="O19" s="574"/>
      <c r="P19" s="575"/>
      <c r="Q19" s="579"/>
      <c r="R19" s="577"/>
      <c r="S19" s="580"/>
      <c r="T19" s="581"/>
      <c r="U19" s="581"/>
      <c r="V19" s="581"/>
      <c r="W19" s="581"/>
      <c r="X19" s="581"/>
      <c r="Y19" s="581"/>
      <c r="Z19" s="581"/>
      <c r="AA19" s="581"/>
      <c r="AB19" s="582"/>
      <c r="AC19" s="581"/>
      <c r="AD19" s="581"/>
      <c r="AE19" s="581"/>
      <c r="AF19" s="581"/>
      <c r="AG19" s="581"/>
      <c r="AH19" s="581"/>
      <c r="AI19" s="581"/>
      <c r="AJ19" s="581"/>
      <c r="AK19" s="582"/>
      <c r="AL19" s="578"/>
      <c r="AM19" s="578"/>
      <c r="AN19" s="578"/>
      <c r="AO19" s="578"/>
      <c r="AP19" s="578"/>
      <c r="AQ19" s="578"/>
      <c r="AR19" s="578"/>
      <c r="AS19" s="578"/>
      <c r="AT19" s="583"/>
      <c r="AU19" s="584"/>
      <c r="AV19" s="584"/>
      <c r="AW19" s="584"/>
      <c r="AX19" s="584"/>
      <c r="AY19" s="584"/>
      <c r="AZ19" s="584"/>
      <c r="BA19" s="584"/>
      <c r="BB19" s="584"/>
      <c r="BC19" s="585"/>
      <c r="BD19" s="584"/>
      <c r="BE19" s="584"/>
      <c r="BF19" s="584"/>
      <c r="BG19" s="584"/>
      <c r="BH19" s="584"/>
      <c r="BI19" s="584"/>
      <c r="BJ19" s="584"/>
      <c r="BK19" s="584"/>
      <c r="BL19" s="585"/>
      <c r="BM19" s="581"/>
      <c r="BN19" s="581"/>
      <c r="BO19" s="581"/>
      <c r="BP19" s="581"/>
      <c r="BQ19" s="581"/>
      <c r="BR19" s="581"/>
      <c r="BS19" s="581"/>
      <c r="BT19" s="581"/>
      <c r="BU19" s="581"/>
      <c r="BV19" s="590"/>
      <c r="BW19" s="581"/>
      <c r="BX19" s="581"/>
      <c r="BY19" s="581"/>
      <c r="BZ19" s="581"/>
      <c r="CA19" s="581"/>
      <c r="CB19" s="581"/>
      <c r="CC19" s="581"/>
      <c r="CD19" s="582"/>
      <c r="CE19" s="581"/>
      <c r="CF19" s="581"/>
      <c r="CG19" s="581"/>
      <c r="CH19" s="581"/>
      <c r="CI19" s="581"/>
      <c r="CJ19" s="581"/>
      <c r="CK19" s="581"/>
      <c r="CL19" s="581"/>
      <c r="CM19" s="582"/>
      <c r="CN19" s="581"/>
      <c r="CO19" s="581"/>
      <c r="CP19" s="581"/>
      <c r="CQ19" s="581"/>
      <c r="CR19" s="581"/>
      <c r="CS19" s="581"/>
      <c r="CT19" s="581"/>
      <c r="CU19" s="581"/>
      <c r="CV19" s="582"/>
      <c r="CW19" s="581"/>
      <c r="CX19" s="581"/>
      <c r="CY19" s="581"/>
      <c r="CZ19" s="581"/>
      <c r="DA19" s="581"/>
      <c r="DB19" s="581"/>
      <c r="DC19" s="581"/>
      <c r="DD19" s="581"/>
      <c r="DE19" s="582"/>
      <c r="DF19" s="581"/>
      <c r="DG19" s="581"/>
      <c r="DH19" s="581"/>
      <c r="DI19" s="581"/>
      <c r="DJ19" s="581"/>
      <c r="DK19" s="581"/>
      <c r="DL19" s="581"/>
      <c r="DM19" s="581"/>
      <c r="DN19" s="582"/>
      <c r="DO19" s="581"/>
      <c r="DP19" s="581"/>
      <c r="DQ19" s="581"/>
      <c r="DR19" s="581"/>
      <c r="DS19" s="581"/>
      <c r="DT19" s="581"/>
      <c r="DU19" s="581"/>
      <c r="DV19" s="581"/>
      <c r="DW19" s="582"/>
      <c r="DX19" s="581"/>
      <c r="DY19" s="581"/>
      <c r="DZ19" s="581"/>
      <c r="EA19" s="581"/>
      <c r="EB19" s="581"/>
      <c r="EC19" s="581"/>
      <c r="ED19" s="581"/>
      <c r="EE19" s="581"/>
      <c r="EF19" s="582"/>
      <c r="EG19" s="581"/>
      <c r="EH19" s="581"/>
      <c r="EI19" s="581"/>
      <c r="EJ19" s="581"/>
      <c r="EK19" s="581"/>
      <c r="EL19" s="581"/>
      <c r="EM19" s="581"/>
      <c r="EN19" s="581"/>
      <c r="EO19" s="582"/>
      <c r="EP19" s="581"/>
      <c r="EQ19" s="581"/>
      <c r="ER19" s="581"/>
      <c r="ES19" s="581"/>
      <c r="ET19" s="581"/>
      <c r="EU19" s="581"/>
      <c r="EV19" s="581"/>
      <c r="EW19" s="581"/>
      <c r="EX19" s="582"/>
      <c r="EY19" s="581"/>
      <c r="EZ19" s="581"/>
      <c r="FA19" s="581"/>
      <c r="FB19" s="581"/>
      <c r="FC19" s="581"/>
      <c r="FD19" s="581"/>
      <c r="FE19" s="581"/>
      <c r="FF19" s="581"/>
      <c r="FG19" s="582"/>
      <c r="FH19" s="581"/>
      <c r="FI19" s="581"/>
      <c r="FJ19" s="581"/>
      <c r="FK19" s="581"/>
      <c r="FL19" s="581"/>
      <c r="FM19" s="581"/>
      <c r="FN19" s="581"/>
      <c r="FO19" s="581"/>
      <c r="FP19" s="582"/>
      <c r="FQ19" s="581"/>
      <c r="FR19" s="581"/>
      <c r="FS19" s="581"/>
      <c r="FT19" s="581"/>
      <c r="FU19" s="581"/>
      <c r="FV19" s="581"/>
      <c r="FW19" s="581"/>
      <c r="FX19" s="581"/>
      <c r="FY19" s="582"/>
      <c r="FZ19" s="581"/>
      <c r="GA19" s="581"/>
      <c r="GB19" s="581"/>
      <c r="GC19" s="581"/>
      <c r="GD19" s="581"/>
      <c r="GE19" s="581"/>
      <c r="GF19" s="581"/>
      <c r="GG19" s="581"/>
      <c r="GH19" s="582"/>
      <c r="GI19" s="581"/>
      <c r="GJ19" s="581"/>
      <c r="GK19" s="581"/>
      <c r="GL19" s="581"/>
      <c r="GM19" s="581"/>
      <c r="GN19" s="581"/>
      <c r="GO19" s="581"/>
      <c r="GP19" s="581"/>
      <c r="GQ19" s="582"/>
      <c r="GR19" s="581"/>
      <c r="GS19" s="581"/>
      <c r="GT19" s="581"/>
      <c r="GU19" s="581"/>
      <c r="GV19" s="581"/>
      <c r="GW19" s="581"/>
      <c r="GX19" s="581"/>
      <c r="GY19" s="581"/>
      <c r="GZ19" s="582"/>
      <c r="HA19" s="581"/>
      <c r="HB19" s="581"/>
      <c r="HC19" s="581"/>
      <c r="HD19" s="581"/>
      <c r="HE19" s="581"/>
      <c r="HF19" s="581"/>
      <c r="HG19" s="581"/>
      <c r="HH19" s="581"/>
      <c r="HI19" s="582"/>
      <c r="HJ19" s="581"/>
      <c r="HK19" s="581"/>
      <c r="HL19" s="581"/>
      <c r="HM19" s="581"/>
      <c r="HN19" s="581"/>
      <c r="HO19" s="581"/>
      <c r="HP19" s="581"/>
      <c r="HQ19" s="581"/>
      <c r="HR19" s="582"/>
      <c r="HS19" s="581"/>
      <c r="HT19" s="581"/>
      <c r="HU19" s="581"/>
      <c r="HV19" s="581"/>
      <c r="HW19" s="581"/>
      <c r="HX19" s="581"/>
      <c r="HY19" s="581"/>
      <c r="HZ19" s="581"/>
      <c r="IA19" s="582"/>
      <c r="IB19" s="581"/>
      <c r="IC19" s="581"/>
      <c r="ID19" s="581"/>
      <c r="IE19" s="581"/>
      <c r="IF19" s="581"/>
      <c r="IG19" s="581"/>
      <c r="IH19" s="581"/>
      <c r="II19" s="581"/>
      <c r="IJ19" s="582"/>
      <c r="IK19" s="581"/>
      <c r="IL19" s="581"/>
      <c r="IM19" s="581"/>
      <c r="IN19" s="581"/>
      <c r="IO19" s="581"/>
      <c r="IP19" s="581"/>
      <c r="IQ19" s="581"/>
      <c r="IR19" s="581"/>
      <c r="IS19" s="582"/>
      <c r="IT19" s="581"/>
      <c r="IU19" s="581"/>
      <c r="IV19" s="581"/>
      <c r="IW19" s="581"/>
      <c r="IX19" s="581"/>
      <c r="IY19" s="581"/>
      <c r="IZ19" s="581"/>
      <c r="JA19" s="581"/>
      <c r="JB19" s="582"/>
      <c r="JC19" s="581"/>
      <c r="JD19" s="581"/>
      <c r="JE19" s="581"/>
      <c r="JF19" s="581"/>
      <c r="JG19" s="581"/>
      <c r="JH19" s="581"/>
      <c r="JI19" s="581"/>
      <c r="JJ19" s="581"/>
      <c r="JK19" s="582"/>
      <c r="JL19" s="581"/>
      <c r="JM19" s="581"/>
      <c r="JN19" s="581"/>
      <c r="JO19" s="581"/>
      <c r="JP19" s="581"/>
      <c r="JQ19" s="581"/>
      <c r="JR19" s="581"/>
      <c r="JS19" s="581"/>
      <c r="JT19" s="582"/>
      <c r="JU19" s="581"/>
      <c r="JV19" s="581"/>
      <c r="JW19" s="581"/>
      <c r="JX19" s="581"/>
      <c r="JY19" s="581"/>
      <c r="JZ19" s="581"/>
      <c r="KA19" s="581"/>
      <c r="KB19" s="581"/>
      <c r="KC19" s="582"/>
      <c r="KD19" s="581"/>
      <c r="KE19" s="581"/>
      <c r="KF19" s="581"/>
      <c r="KG19" s="581"/>
      <c r="KH19" s="581"/>
      <c r="KI19" s="581"/>
      <c r="KJ19" s="581"/>
      <c r="KK19" s="581"/>
      <c r="KL19" s="582"/>
      <c r="KM19" s="581"/>
      <c r="KN19" s="581"/>
      <c r="KO19" s="581"/>
      <c r="KP19" s="581"/>
      <c r="KQ19" s="581"/>
      <c r="KR19" s="581"/>
      <c r="KS19" s="581"/>
      <c r="KT19" s="581"/>
      <c r="KU19" s="582"/>
      <c r="KV19" s="581"/>
      <c r="KW19" s="581"/>
      <c r="KX19" s="581"/>
      <c r="KY19" s="581"/>
      <c r="KZ19" s="581"/>
      <c r="LA19" s="581"/>
      <c r="LB19" s="581"/>
      <c r="LC19" s="581"/>
      <c r="LD19" s="582"/>
      <c r="LE19" s="581"/>
      <c r="LF19" s="581"/>
      <c r="LG19" s="581"/>
      <c r="LH19" s="581"/>
      <c r="LI19" s="581"/>
      <c r="LJ19" s="581"/>
      <c r="LK19" s="581"/>
      <c r="LL19" s="581"/>
      <c r="LM19" s="582"/>
      <c r="LN19" s="581"/>
      <c r="LO19" s="581"/>
      <c r="LP19" s="581"/>
      <c r="LQ19" s="581"/>
      <c r="LR19" s="581"/>
      <c r="LS19" s="581"/>
      <c r="LT19" s="581"/>
      <c r="LU19" s="581"/>
      <c r="LV19" s="582"/>
      <c r="LW19" s="581"/>
      <c r="LX19" s="581"/>
      <c r="LY19" s="581"/>
      <c r="LZ19" s="581"/>
      <c r="MA19" s="581"/>
      <c r="MB19" s="581"/>
      <c r="MC19" s="581"/>
      <c r="MD19" s="581"/>
      <c r="ME19" s="591"/>
    </row>
    <row r="20" customFormat="false" ht="9.75" hidden="false" customHeight="false" outlineLevel="0" collapsed="false">
      <c r="A20" s="571"/>
      <c r="B20" s="572"/>
      <c r="C20" s="573"/>
      <c r="D20" s="574"/>
      <c r="E20" s="574"/>
      <c r="F20" s="574"/>
      <c r="G20" s="574"/>
      <c r="H20" s="575"/>
      <c r="I20" s="576"/>
      <c r="J20" s="574"/>
      <c r="K20" s="577"/>
      <c r="L20" s="574"/>
      <c r="M20" s="574"/>
      <c r="N20" s="578" t="n">
        <f aca="false">IFERROR(M20/$M$6,0)</f>
        <v>0</v>
      </c>
      <c r="O20" s="574"/>
      <c r="P20" s="575"/>
      <c r="Q20" s="579"/>
      <c r="R20" s="577"/>
      <c r="S20" s="580"/>
      <c r="T20" s="581"/>
      <c r="U20" s="581"/>
      <c r="V20" s="581"/>
      <c r="W20" s="581"/>
      <c r="X20" s="581"/>
      <c r="Y20" s="581"/>
      <c r="Z20" s="581"/>
      <c r="AA20" s="581"/>
      <c r="AB20" s="582"/>
      <c r="AC20" s="581"/>
      <c r="AD20" s="581"/>
      <c r="AE20" s="581"/>
      <c r="AF20" s="581"/>
      <c r="AG20" s="581"/>
      <c r="AH20" s="581"/>
      <c r="AI20" s="581"/>
      <c r="AJ20" s="581"/>
      <c r="AK20" s="582"/>
      <c r="AL20" s="578"/>
      <c r="AM20" s="578"/>
      <c r="AN20" s="578"/>
      <c r="AO20" s="578"/>
      <c r="AP20" s="578"/>
      <c r="AQ20" s="578"/>
      <c r="AR20" s="578"/>
      <c r="AS20" s="578"/>
      <c r="AT20" s="583"/>
      <c r="AU20" s="584"/>
      <c r="AV20" s="584"/>
      <c r="AW20" s="584"/>
      <c r="AX20" s="584"/>
      <c r="AY20" s="584"/>
      <c r="AZ20" s="584"/>
      <c r="BA20" s="584"/>
      <c r="BB20" s="584"/>
      <c r="BC20" s="585"/>
      <c r="BD20" s="584"/>
      <c r="BE20" s="584"/>
      <c r="BF20" s="584"/>
      <c r="BG20" s="584"/>
      <c r="BH20" s="584"/>
      <c r="BI20" s="584"/>
      <c r="BJ20" s="584"/>
      <c r="BK20" s="584"/>
      <c r="BL20" s="585"/>
      <c r="BM20" s="581"/>
      <c r="BN20" s="581"/>
      <c r="BO20" s="581"/>
      <c r="BP20" s="581"/>
      <c r="BQ20" s="581"/>
      <c r="BR20" s="581"/>
      <c r="BS20" s="581"/>
      <c r="BT20" s="581"/>
      <c r="BU20" s="581"/>
      <c r="BV20" s="590"/>
      <c r="BW20" s="581"/>
      <c r="BX20" s="581"/>
      <c r="BY20" s="581"/>
      <c r="BZ20" s="581"/>
      <c r="CA20" s="581"/>
      <c r="CB20" s="581"/>
      <c r="CC20" s="581"/>
      <c r="CD20" s="582"/>
      <c r="CE20" s="581"/>
      <c r="CF20" s="581"/>
      <c r="CG20" s="581"/>
      <c r="CH20" s="581"/>
      <c r="CI20" s="581"/>
      <c r="CJ20" s="581"/>
      <c r="CK20" s="581"/>
      <c r="CL20" s="581"/>
      <c r="CM20" s="582"/>
      <c r="CN20" s="581"/>
      <c r="CO20" s="581"/>
      <c r="CP20" s="581"/>
      <c r="CQ20" s="581"/>
      <c r="CR20" s="581"/>
      <c r="CS20" s="581"/>
      <c r="CT20" s="581"/>
      <c r="CU20" s="581"/>
      <c r="CV20" s="582"/>
      <c r="CW20" s="581"/>
      <c r="CX20" s="581"/>
      <c r="CY20" s="581"/>
      <c r="CZ20" s="581"/>
      <c r="DA20" s="581"/>
      <c r="DB20" s="581"/>
      <c r="DC20" s="581"/>
      <c r="DD20" s="581"/>
      <c r="DE20" s="582"/>
      <c r="DF20" s="581"/>
      <c r="DG20" s="581"/>
      <c r="DH20" s="581"/>
      <c r="DI20" s="581"/>
      <c r="DJ20" s="581"/>
      <c r="DK20" s="581"/>
      <c r="DL20" s="581"/>
      <c r="DM20" s="581"/>
      <c r="DN20" s="582"/>
      <c r="DO20" s="581"/>
      <c r="DP20" s="581"/>
      <c r="DQ20" s="581"/>
      <c r="DR20" s="581"/>
      <c r="DS20" s="581"/>
      <c r="DT20" s="581"/>
      <c r="DU20" s="581"/>
      <c r="DV20" s="581"/>
      <c r="DW20" s="582"/>
      <c r="DX20" s="581"/>
      <c r="DY20" s="581"/>
      <c r="DZ20" s="581"/>
      <c r="EA20" s="581"/>
      <c r="EB20" s="581"/>
      <c r="EC20" s="581"/>
      <c r="ED20" s="581"/>
      <c r="EE20" s="581"/>
      <c r="EF20" s="582"/>
      <c r="EG20" s="581"/>
      <c r="EH20" s="581"/>
      <c r="EI20" s="581"/>
      <c r="EJ20" s="581"/>
      <c r="EK20" s="581"/>
      <c r="EL20" s="581"/>
      <c r="EM20" s="581"/>
      <c r="EN20" s="581"/>
      <c r="EO20" s="582"/>
      <c r="EP20" s="581"/>
      <c r="EQ20" s="581"/>
      <c r="ER20" s="581"/>
      <c r="ES20" s="581"/>
      <c r="ET20" s="581"/>
      <c r="EU20" s="581"/>
      <c r="EV20" s="581"/>
      <c r="EW20" s="581"/>
      <c r="EX20" s="582"/>
      <c r="EY20" s="581"/>
      <c r="EZ20" s="581"/>
      <c r="FA20" s="581"/>
      <c r="FB20" s="581"/>
      <c r="FC20" s="581"/>
      <c r="FD20" s="581"/>
      <c r="FE20" s="581"/>
      <c r="FF20" s="581"/>
      <c r="FG20" s="582"/>
      <c r="FH20" s="581"/>
      <c r="FI20" s="581"/>
      <c r="FJ20" s="581"/>
      <c r="FK20" s="581"/>
      <c r="FL20" s="581"/>
      <c r="FM20" s="581"/>
      <c r="FN20" s="581"/>
      <c r="FO20" s="581"/>
      <c r="FP20" s="582"/>
      <c r="FQ20" s="581"/>
      <c r="FR20" s="581"/>
      <c r="FS20" s="581"/>
      <c r="FT20" s="581"/>
      <c r="FU20" s="581"/>
      <c r="FV20" s="581"/>
      <c r="FW20" s="581"/>
      <c r="FX20" s="581"/>
      <c r="FY20" s="582"/>
      <c r="FZ20" s="581"/>
      <c r="GA20" s="581"/>
      <c r="GB20" s="581"/>
      <c r="GC20" s="581"/>
      <c r="GD20" s="581"/>
      <c r="GE20" s="581"/>
      <c r="GF20" s="581"/>
      <c r="GG20" s="581"/>
      <c r="GH20" s="582"/>
      <c r="GI20" s="581"/>
      <c r="GJ20" s="581"/>
      <c r="GK20" s="581"/>
      <c r="GL20" s="581"/>
      <c r="GM20" s="581"/>
      <c r="GN20" s="581"/>
      <c r="GO20" s="581"/>
      <c r="GP20" s="581"/>
      <c r="GQ20" s="582"/>
      <c r="GR20" s="581"/>
      <c r="GS20" s="581"/>
      <c r="GT20" s="581"/>
      <c r="GU20" s="581"/>
      <c r="GV20" s="581"/>
      <c r="GW20" s="581"/>
      <c r="GX20" s="581"/>
      <c r="GY20" s="581"/>
      <c r="GZ20" s="582"/>
      <c r="HA20" s="581"/>
      <c r="HB20" s="581"/>
      <c r="HC20" s="581"/>
      <c r="HD20" s="581"/>
      <c r="HE20" s="581"/>
      <c r="HF20" s="581"/>
      <c r="HG20" s="581"/>
      <c r="HH20" s="581"/>
      <c r="HI20" s="582"/>
      <c r="HJ20" s="581"/>
      <c r="HK20" s="581"/>
      <c r="HL20" s="581"/>
      <c r="HM20" s="581"/>
      <c r="HN20" s="581"/>
      <c r="HO20" s="581"/>
      <c r="HP20" s="581"/>
      <c r="HQ20" s="581"/>
      <c r="HR20" s="582"/>
      <c r="HS20" s="581"/>
      <c r="HT20" s="581"/>
      <c r="HU20" s="581"/>
      <c r="HV20" s="581"/>
      <c r="HW20" s="581"/>
      <c r="HX20" s="581"/>
      <c r="HY20" s="581"/>
      <c r="HZ20" s="581"/>
      <c r="IA20" s="582"/>
      <c r="IB20" s="581"/>
      <c r="IC20" s="581"/>
      <c r="ID20" s="581"/>
      <c r="IE20" s="581"/>
      <c r="IF20" s="581"/>
      <c r="IG20" s="581"/>
      <c r="IH20" s="581"/>
      <c r="II20" s="581"/>
      <c r="IJ20" s="582"/>
      <c r="IK20" s="581"/>
      <c r="IL20" s="581"/>
      <c r="IM20" s="581"/>
      <c r="IN20" s="581"/>
      <c r="IO20" s="581"/>
      <c r="IP20" s="581"/>
      <c r="IQ20" s="581"/>
      <c r="IR20" s="581"/>
      <c r="IS20" s="582"/>
      <c r="IT20" s="581"/>
      <c r="IU20" s="581"/>
      <c r="IV20" s="581"/>
      <c r="IW20" s="581"/>
      <c r="IX20" s="581"/>
      <c r="IY20" s="581"/>
      <c r="IZ20" s="581"/>
      <c r="JA20" s="581"/>
      <c r="JB20" s="582"/>
      <c r="JC20" s="581"/>
      <c r="JD20" s="581"/>
      <c r="JE20" s="581"/>
      <c r="JF20" s="581"/>
      <c r="JG20" s="581"/>
      <c r="JH20" s="581"/>
      <c r="JI20" s="581"/>
      <c r="JJ20" s="581"/>
      <c r="JK20" s="582"/>
      <c r="JL20" s="581"/>
      <c r="JM20" s="581"/>
      <c r="JN20" s="581"/>
      <c r="JO20" s="581"/>
      <c r="JP20" s="581"/>
      <c r="JQ20" s="581"/>
      <c r="JR20" s="581"/>
      <c r="JS20" s="581"/>
      <c r="JT20" s="582"/>
      <c r="JU20" s="581"/>
      <c r="JV20" s="581"/>
      <c r="JW20" s="581"/>
      <c r="JX20" s="581"/>
      <c r="JY20" s="581"/>
      <c r="JZ20" s="581"/>
      <c r="KA20" s="581"/>
      <c r="KB20" s="581"/>
      <c r="KC20" s="582"/>
      <c r="KD20" s="581"/>
      <c r="KE20" s="581"/>
      <c r="KF20" s="581"/>
      <c r="KG20" s="581"/>
      <c r="KH20" s="581"/>
      <c r="KI20" s="581"/>
      <c r="KJ20" s="581"/>
      <c r="KK20" s="581"/>
      <c r="KL20" s="582"/>
      <c r="KM20" s="581"/>
      <c r="KN20" s="581"/>
      <c r="KO20" s="581"/>
      <c r="KP20" s="581"/>
      <c r="KQ20" s="581"/>
      <c r="KR20" s="581"/>
      <c r="KS20" s="581"/>
      <c r="KT20" s="581"/>
      <c r="KU20" s="582"/>
      <c r="KV20" s="581"/>
      <c r="KW20" s="581"/>
      <c r="KX20" s="581"/>
      <c r="KY20" s="581"/>
      <c r="KZ20" s="581"/>
      <c r="LA20" s="581"/>
      <c r="LB20" s="581"/>
      <c r="LC20" s="581"/>
      <c r="LD20" s="582"/>
      <c r="LE20" s="581"/>
      <c r="LF20" s="581"/>
      <c r="LG20" s="581"/>
      <c r="LH20" s="581"/>
      <c r="LI20" s="581"/>
      <c r="LJ20" s="581"/>
      <c r="LK20" s="581"/>
      <c r="LL20" s="581"/>
      <c r="LM20" s="582"/>
      <c r="LN20" s="581"/>
      <c r="LO20" s="581"/>
      <c r="LP20" s="581"/>
      <c r="LQ20" s="581"/>
      <c r="LR20" s="581"/>
      <c r="LS20" s="581"/>
      <c r="LT20" s="581"/>
      <c r="LU20" s="581"/>
      <c r="LV20" s="582"/>
      <c r="LW20" s="581"/>
      <c r="LX20" s="581"/>
      <c r="LY20" s="581"/>
      <c r="LZ20" s="581"/>
      <c r="MA20" s="581"/>
      <c r="MB20" s="581"/>
      <c r="MC20" s="581"/>
      <c r="MD20" s="581"/>
      <c r="ME20" s="591"/>
    </row>
    <row r="21" customFormat="false" ht="9.75" hidden="false" customHeight="false" outlineLevel="0" collapsed="false">
      <c r="A21" s="571"/>
      <c r="B21" s="572"/>
      <c r="C21" s="573"/>
      <c r="D21" s="574"/>
      <c r="E21" s="574"/>
      <c r="F21" s="574"/>
      <c r="G21" s="574"/>
      <c r="H21" s="575"/>
      <c r="I21" s="576"/>
      <c r="J21" s="574"/>
      <c r="K21" s="577"/>
      <c r="L21" s="574"/>
      <c r="M21" s="574"/>
      <c r="N21" s="578" t="n">
        <f aca="false">IFERROR(M21/$M$6,0)</f>
        <v>0</v>
      </c>
      <c r="O21" s="574"/>
      <c r="P21" s="575"/>
      <c r="Q21" s="579"/>
      <c r="R21" s="577"/>
      <c r="S21" s="580"/>
      <c r="T21" s="581"/>
      <c r="U21" s="581"/>
      <c r="V21" s="581"/>
      <c r="W21" s="581"/>
      <c r="X21" s="581"/>
      <c r="Y21" s="581"/>
      <c r="Z21" s="581"/>
      <c r="AA21" s="581"/>
      <c r="AB21" s="582"/>
      <c r="AC21" s="581"/>
      <c r="AD21" s="581"/>
      <c r="AE21" s="581"/>
      <c r="AF21" s="581"/>
      <c r="AG21" s="581"/>
      <c r="AH21" s="581"/>
      <c r="AI21" s="581"/>
      <c r="AJ21" s="581"/>
      <c r="AK21" s="582"/>
      <c r="AL21" s="578"/>
      <c r="AM21" s="578"/>
      <c r="AN21" s="578"/>
      <c r="AO21" s="578"/>
      <c r="AP21" s="578"/>
      <c r="AQ21" s="578"/>
      <c r="AR21" s="578"/>
      <c r="AS21" s="578"/>
      <c r="AT21" s="583"/>
      <c r="AU21" s="584"/>
      <c r="AV21" s="584"/>
      <c r="AW21" s="584"/>
      <c r="AX21" s="584"/>
      <c r="AY21" s="584"/>
      <c r="AZ21" s="584"/>
      <c r="BA21" s="584"/>
      <c r="BB21" s="584"/>
      <c r="BC21" s="585"/>
      <c r="BD21" s="584"/>
      <c r="BE21" s="584"/>
      <c r="BF21" s="584"/>
      <c r="BG21" s="584"/>
      <c r="BH21" s="584"/>
      <c r="BI21" s="584"/>
      <c r="BJ21" s="584"/>
      <c r="BK21" s="584"/>
      <c r="BL21" s="585"/>
      <c r="BM21" s="581"/>
      <c r="BN21" s="581"/>
      <c r="BO21" s="581"/>
      <c r="BP21" s="581"/>
      <c r="BQ21" s="581"/>
      <c r="BR21" s="581"/>
      <c r="BS21" s="581"/>
      <c r="BT21" s="581"/>
      <c r="BU21" s="581"/>
      <c r="BV21" s="590"/>
      <c r="BW21" s="581"/>
      <c r="BX21" s="581"/>
      <c r="BY21" s="581"/>
      <c r="BZ21" s="581"/>
      <c r="CA21" s="581"/>
      <c r="CB21" s="581"/>
      <c r="CC21" s="581"/>
      <c r="CD21" s="582"/>
      <c r="CE21" s="581"/>
      <c r="CF21" s="581"/>
      <c r="CG21" s="581"/>
      <c r="CH21" s="581"/>
      <c r="CI21" s="581"/>
      <c r="CJ21" s="581"/>
      <c r="CK21" s="581"/>
      <c r="CL21" s="581"/>
      <c r="CM21" s="582"/>
      <c r="CN21" s="581"/>
      <c r="CO21" s="581"/>
      <c r="CP21" s="581"/>
      <c r="CQ21" s="581"/>
      <c r="CR21" s="581"/>
      <c r="CS21" s="581"/>
      <c r="CT21" s="581"/>
      <c r="CU21" s="581"/>
      <c r="CV21" s="582"/>
      <c r="CW21" s="581"/>
      <c r="CX21" s="581"/>
      <c r="CY21" s="581"/>
      <c r="CZ21" s="581"/>
      <c r="DA21" s="581"/>
      <c r="DB21" s="581"/>
      <c r="DC21" s="581"/>
      <c r="DD21" s="581"/>
      <c r="DE21" s="582"/>
      <c r="DF21" s="581"/>
      <c r="DG21" s="581"/>
      <c r="DH21" s="581"/>
      <c r="DI21" s="581"/>
      <c r="DJ21" s="581"/>
      <c r="DK21" s="581"/>
      <c r="DL21" s="581"/>
      <c r="DM21" s="581"/>
      <c r="DN21" s="582"/>
      <c r="DO21" s="581"/>
      <c r="DP21" s="581"/>
      <c r="DQ21" s="581"/>
      <c r="DR21" s="581"/>
      <c r="DS21" s="581"/>
      <c r="DT21" s="581"/>
      <c r="DU21" s="581"/>
      <c r="DV21" s="581"/>
      <c r="DW21" s="582"/>
      <c r="DX21" s="581"/>
      <c r="DY21" s="581"/>
      <c r="DZ21" s="581"/>
      <c r="EA21" s="581"/>
      <c r="EB21" s="581"/>
      <c r="EC21" s="581"/>
      <c r="ED21" s="581"/>
      <c r="EE21" s="581"/>
      <c r="EF21" s="582"/>
      <c r="EG21" s="581"/>
      <c r="EH21" s="581"/>
      <c r="EI21" s="581"/>
      <c r="EJ21" s="581"/>
      <c r="EK21" s="581"/>
      <c r="EL21" s="581"/>
      <c r="EM21" s="581"/>
      <c r="EN21" s="581"/>
      <c r="EO21" s="582"/>
      <c r="EP21" s="581"/>
      <c r="EQ21" s="581"/>
      <c r="ER21" s="581"/>
      <c r="ES21" s="581"/>
      <c r="ET21" s="581"/>
      <c r="EU21" s="581"/>
      <c r="EV21" s="581"/>
      <c r="EW21" s="581"/>
      <c r="EX21" s="582"/>
      <c r="EY21" s="581"/>
      <c r="EZ21" s="581"/>
      <c r="FA21" s="581"/>
      <c r="FB21" s="581"/>
      <c r="FC21" s="581"/>
      <c r="FD21" s="581"/>
      <c r="FE21" s="581"/>
      <c r="FF21" s="581"/>
      <c r="FG21" s="582"/>
      <c r="FH21" s="581"/>
      <c r="FI21" s="581"/>
      <c r="FJ21" s="581"/>
      <c r="FK21" s="581"/>
      <c r="FL21" s="581"/>
      <c r="FM21" s="581"/>
      <c r="FN21" s="581"/>
      <c r="FO21" s="581"/>
      <c r="FP21" s="582"/>
      <c r="FQ21" s="581"/>
      <c r="FR21" s="581"/>
      <c r="FS21" s="581"/>
      <c r="FT21" s="581"/>
      <c r="FU21" s="581"/>
      <c r="FV21" s="581"/>
      <c r="FW21" s="581"/>
      <c r="FX21" s="581"/>
      <c r="FY21" s="582"/>
      <c r="FZ21" s="581"/>
      <c r="GA21" s="581"/>
      <c r="GB21" s="581"/>
      <c r="GC21" s="581"/>
      <c r="GD21" s="581"/>
      <c r="GE21" s="581"/>
      <c r="GF21" s="581"/>
      <c r="GG21" s="581"/>
      <c r="GH21" s="582"/>
      <c r="GI21" s="581"/>
      <c r="GJ21" s="581"/>
      <c r="GK21" s="581"/>
      <c r="GL21" s="581"/>
      <c r="GM21" s="581"/>
      <c r="GN21" s="581"/>
      <c r="GO21" s="581"/>
      <c r="GP21" s="581"/>
      <c r="GQ21" s="582"/>
      <c r="GR21" s="581"/>
      <c r="GS21" s="581"/>
      <c r="GT21" s="581"/>
      <c r="GU21" s="581"/>
      <c r="GV21" s="581"/>
      <c r="GW21" s="581"/>
      <c r="GX21" s="581"/>
      <c r="GY21" s="581"/>
      <c r="GZ21" s="582"/>
      <c r="HA21" s="581"/>
      <c r="HB21" s="581"/>
      <c r="HC21" s="581"/>
      <c r="HD21" s="581"/>
      <c r="HE21" s="581"/>
      <c r="HF21" s="581"/>
      <c r="HG21" s="581"/>
      <c r="HH21" s="581"/>
      <c r="HI21" s="582"/>
      <c r="HJ21" s="581"/>
      <c r="HK21" s="581"/>
      <c r="HL21" s="581"/>
      <c r="HM21" s="581"/>
      <c r="HN21" s="581"/>
      <c r="HO21" s="581"/>
      <c r="HP21" s="581"/>
      <c r="HQ21" s="581"/>
      <c r="HR21" s="582"/>
      <c r="HS21" s="581"/>
      <c r="HT21" s="581"/>
      <c r="HU21" s="581"/>
      <c r="HV21" s="581"/>
      <c r="HW21" s="581"/>
      <c r="HX21" s="581"/>
      <c r="HY21" s="581"/>
      <c r="HZ21" s="581"/>
      <c r="IA21" s="582"/>
      <c r="IB21" s="581"/>
      <c r="IC21" s="581"/>
      <c r="ID21" s="581"/>
      <c r="IE21" s="581"/>
      <c r="IF21" s="581"/>
      <c r="IG21" s="581"/>
      <c r="IH21" s="581"/>
      <c r="II21" s="581"/>
      <c r="IJ21" s="582"/>
      <c r="IK21" s="581"/>
      <c r="IL21" s="581"/>
      <c r="IM21" s="581"/>
      <c r="IN21" s="581"/>
      <c r="IO21" s="581"/>
      <c r="IP21" s="581"/>
      <c r="IQ21" s="581"/>
      <c r="IR21" s="581"/>
      <c r="IS21" s="582"/>
      <c r="IT21" s="581"/>
      <c r="IU21" s="581"/>
      <c r="IV21" s="581"/>
      <c r="IW21" s="581"/>
      <c r="IX21" s="581"/>
      <c r="IY21" s="581"/>
      <c r="IZ21" s="581"/>
      <c r="JA21" s="581"/>
      <c r="JB21" s="582"/>
      <c r="JC21" s="581"/>
      <c r="JD21" s="581"/>
      <c r="JE21" s="581"/>
      <c r="JF21" s="581"/>
      <c r="JG21" s="581"/>
      <c r="JH21" s="581"/>
      <c r="JI21" s="581"/>
      <c r="JJ21" s="581"/>
      <c r="JK21" s="582"/>
      <c r="JL21" s="581"/>
      <c r="JM21" s="581"/>
      <c r="JN21" s="581"/>
      <c r="JO21" s="581"/>
      <c r="JP21" s="581"/>
      <c r="JQ21" s="581"/>
      <c r="JR21" s="581"/>
      <c r="JS21" s="581"/>
      <c r="JT21" s="582"/>
      <c r="JU21" s="581"/>
      <c r="JV21" s="581"/>
      <c r="JW21" s="581"/>
      <c r="JX21" s="581"/>
      <c r="JY21" s="581"/>
      <c r="JZ21" s="581"/>
      <c r="KA21" s="581"/>
      <c r="KB21" s="581"/>
      <c r="KC21" s="582"/>
      <c r="KD21" s="581"/>
      <c r="KE21" s="581"/>
      <c r="KF21" s="581"/>
      <c r="KG21" s="581"/>
      <c r="KH21" s="581"/>
      <c r="KI21" s="581"/>
      <c r="KJ21" s="581"/>
      <c r="KK21" s="581"/>
      <c r="KL21" s="582"/>
      <c r="KM21" s="581"/>
      <c r="KN21" s="581"/>
      <c r="KO21" s="581"/>
      <c r="KP21" s="581"/>
      <c r="KQ21" s="581"/>
      <c r="KR21" s="581"/>
      <c r="KS21" s="581"/>
      <c r="KT21" s="581"/>
      <c r="KU21" s="582"/>
      <c r="KV21" s="581"/>
      <c r="KW21" s="581"/>
      <c r="KX21" s="581"/>
      <c r="KY21" s="581"/>
      <c r="KZ21" s="581"/>
      <c r="LA21" s="581"/>
      <c r="LB21" s="581"/>
      <c r="LC21" s="581"/>
      <c r="LD21" s="582"/>
      <c r="LE21" s="581"/>
      <c r="LF21" s="581"/>
      <c r="LG21" s="581"/>
      <c r="LH21" s="581"/>
      <c r="LI21" s="581"/>
      <c r="LJ21" s="581"/>
      <c r="LK21" s="581"/>
      <c r="LL21" s="581"/>
      <c r="LM21" s="582"/>
      <c r="LN21" s="581"/>
      <c r="LO21" s="581"/>
      <c r="LP21" s="581"/>
      <c r="LQ21" s="581"/>
      <c r="LR21" s="581"/>
      <c r="LS21" s="581"/>
      <c r="LT21" s="581"/>
      <c r="LU21" s="581"/>
      <c r="LV21" s="582"/>
      <c r="LW21" s="581"/>
      <c r="LX21" s="581"/>
      <c r="LY21" s="581"/>
      <c r="LZ21" s="581"/>
      <c r="MA21" s="581"/>
      <c r="MB21" s="581"/>
      <c r="MC21" s="581"/>
      <c r="MD21" s="581"/>
      <c r="ME21" s="591"/>
    </row>
    <row r="22" customFormat="false" ht="9.75" hidden="false" customHeight="false" outlineLevel="0" collapsed="false">
      <c r="A22" s="571"/>
      <c r="B22" s="572"/>
      <c r="C22" s="573"/>
      <c r="D22" s="574"/>
      <c r="E22" s="574"/>
      <c r="F22" s="574"/>
      <c r="G22" s="574"/>
      <c r="H22" s="575"/>
      <c r="I22" s="576"/>
      <c r="J22" s="574"/>
      <c r="K22" s="577"/>
      <c r="L22" s="574"/>
      <c r="M22" s="574"/>
      <c r="N22" s="578" t="n">
        <f aca="false">IFERROR(M22/$M$6,0)</f>
        <v>0</v>
      </c>
      <c r="O22" s="574"/>
      <c r="P22" s="575"/>
      <c r="Q22" s="579"/>
      <c r="R22" s="577"/>
      <c r="S22" s="580"/>
      <c r="T22" s="581"/>
      <c r="U22" s="581"/>
      <c r="V22" s="581"/>
      <c r="W22" s="581"/>
      <c r="X22" s="581"/>
      <c r="Y22" s="581"/>
      <c r="Z22" s="581"/>
      <c r="AA22" s="581"/>
      <c r="AB22" s="582"/>
      <c r="AC22" s="581"/>
      <c r="AD22" s="581"/>
      <c r="AE22" s="581"/>
      <c r="AF22" s="581"/>
      <c r="AG22" s="581"/>
      <c r="AH22" s="581"/>
      <c r="AI22" s="581"/>
      <c r="AJ22" s="581"/>
      <c r="AK22" s="582"/>
      <c r="AL22" s="578"/>
      <c r="AM22" s="578"/>
      <c r="AN22" s="578"/>
      <c r="AO22" s="578"/>
      <c r="AP22" s="578"/>
      <c r="AQ22" s="578"/>
      <c r="AR22" s="578"/>
      <c r="AS22" s="578"/>
      <c r="AT22" s="583"/>
      <c r="AU22" s="584"/>
      <c r="AV22" s="584"/>
      <c r="AW22" s="584"/>
      <c r="AX22" s="584"/>
      <c r="AY22" s="584"/>
      <c r="AZ22" s="584"/>
      <c r="BA22" s="584"/>
      <c r="BB22" s="584"/>
      <c r="BC22" s="585"/>
      <c r="BD22" s="584"/>
      <c r="BE22" s="584"/>
      <c r="BF22" s="584"/>
      <c r="BG22" s="584"/>
      <c r="BH22" s="584"/>
      <c r="BI22" s="584"/>
      <c r="BJ22" s="584"/>
      <c r="BK22" s="584"/>
      <c r="BL22" s="585"/>
      <c r="BM22" s="581"/>
      <c r="BN22" s="581"/>
      <c r="BO22" s="581"/>
      <c r="BP22" s="581"/>
      <c r="BQ22" s="581"/>
      <c r="BR22" s="581"/>
      <c r="BS22" s="581"/>
      <c r="BT22" s="581"/>
      <c r="BU22" s="581"/>
      <c r="BV22" s="590"/>
      <c r="BW22" s="581"/>
      <c r="BX22" s="581"/>
      <c r="BY22" s="581"/>
      <c r="BZ22" s="581"/>
      <c r="CA22" s="581"/>
      <c r="CB22" s="581"/>
      <c r="CC22" s="581"/>
      <c r="CD22" s="582"/>
      <c r="CE22" s="581"/>
      <c r="CF22" s="581"/>
      <c r="CG22" s="581"/>
      <c r="CH22" s="581"/>
      <c r="CI22" s="581"/>
      <c r="CJ22" s="581"/>
      <c r="CK22" s="581"/>
      <c r="CL22" s="581"/>
      <c r="CM22" s="582"/>
      <c r="CN22" s="581"/>
      <c r="CO22" s="581"/>
      <c r="CP22" s="581"/>
      <c r="CQ22" s="581"/>
      <c r="CR22" s="581"/>
      <c r="CS22" s="581"/>
      <c r="CT22" s="581"/>
      <c r="CU22" s="581"/>
      <c r="CV22" s="582"/>
      <c r="CW22" s="581"/>
      <c r="CX22" s="581"/>
      <c r="CY22" s="581"/>
      <c r="CZ22" s="581"/>
      <c r="DA22" s="581"/>
      <c r="DB22" s="581"/>
      <c r="DC22" s="581"/>
      <c r="DD22" s="581"/>
      <c r="DE22" s="582"/>
      <c r="DF22" s="581"/>
      <c r="DG22" s="581"/>
      <c r="DH22" s="581"/>
      <c r="DI22" s="581"/>
      <c r="DJ22" s="581"/>
      <c r="DK22" s="581"/>
      <c r="DL22" s="581"/>
      <c r="DM22" s="581"/>
      <c r="DN22" s="582"/>
      <c r="DO22" s="581"/>
      <c r="DP22" s="581"/>
      <c r="DQ22" s="581"/>
      <c r="DR22" s="581"/>
      <c r="DS22" s="581"/>
      <c r="DT22" s="581"/>
      <c r="DU22" s="581"/>
      <c r="DV22" s="581"/>
      <c r="DW22" s="582"/>
      <c r="DX22" s="581"/>
      <c r="DY22" s="581"/>
      <c r="DZ22" s="581"/>
      <c r="EA22" s="581"/>
      <c r="EB22" s="581"/>
      <c r="EC22" s="581"/>
      <c r="ED22" s="581"/>
      <c r="EE22" s="581"/>
      <c r="EF22" s="582"/>
      <c r="EG22" s="581"/>
      <c r="EH22" s="581"/>
      <c r="EI22" s="581"/>
      <c r="EJ22" s="581"/>
      <c r="EK22" s="581"/>
      <c r="EL22" s="581"/>
      <c r="EM22" s="581"/>
      <c r="EN22" s="581"/>
      <c r="EO22" s="582"/>
      <c r="EP22" s="581"/>
      <c r="EQ22" s="581"/>
      <c r="ER22" s="581"/>
      <c r="ES22" s="581"/>
      <c r="ET22" s="581"/>
      <c r="EU22" s="581"/>
      <c r="EV22" s="581"/>
      <c r="EW22" s="581"/>
      <c r="EX22" s="582"/>
      <c r="EY22" s="581"/>
      <c r="EZ22" s="581"/>
      <c r="FA22" s="581"/>
      <c r="FB22" s="581"/>
      <c r="FC22" s="581"/>
      <c r="FD22" s="581"/>
      <c r="FE22" s="581"/>
      <c r="FF22" s="581"/>
      <c r="FG22" s="582"/>
      <c r="FH22" s="581"/>
      <c r="FI22" s="581"/>
      <c r="FJ22" s="581"/>
      <c r="FK22" s="581"/>
      <c r="FL22" s="581"/>
      <c r="FM22" s="581"/>
      <c r="FN22" s="581"/>
      <c r="FO22" s="581"/>
      <c r="FP22" s="582"/>
      <c r="FQ22" s="581"/>
      <c r="FR22" s="581"/>
      <c r="FS22" s="581"/>
      <c r="FT22" s="581"/>
      <c r="FU22" s="581"/>
      <c r="FV22" s="581"/>
      <c r="FW22" s="581"/>
      <c r="FX22" s="581"/>
      <c r="FY22" s="582"/>
      <c r="FZ22" s="581"/>
      <c r="GA22" s="581"/>
      <c r="GB22" s="581"/>
      <c r="GC22" s="581"/>
      <c r="GD22" s="581"/>
      <c r="GE22" s="581"/>
      <c r="GF22" s="581"/>
      <c r="GG22" s="581"/>
      <c r="GH22" s="582"/>
      <c r="GI22" s="581"/>
      <c r="GJ22" s="581"/>
      <c r="GK22" s="581"/>
      <c r="GL22" s="581"/>
      <c r="GM22" s="581"/>
      <c r="GN22" s="581"/>
      <c r="GO22" s="581"/>
      <c r="GP22" s="581"/>
      <c r="GQ22" s="582"/>
      <c r="GR22" s="581"/>
      <c r="GS22" s="581"/>
      <c r="GT22" s="581"/>
      <c r="GU22" s="581"/>
      <c r="GV22" s="581"/>
      <c r="GW22" s="581"/>
      <c r="GX22" s="581"/>
      <c r="GY22" s="581"/>
      <c r="GZ22" s="582"/>
      <c r="HA22" s="581"/>
      <c r="HB22" s="581"/>
      <c r="HC22" s="581"/>
      <c r="HD22" s="581"/>
      <c r="HE22" s="581"/>
      <c r="HF22" s="581"/>
      <c r="HG22" s="581"/>
      <c r="HH22" s="581"/>
      <c r="HI22" s="582"/>
      <c r="HJ22" s="581"/>
      <c r="HK22" s="581"/>
      <c r="HL22" s="581"/>
      <c r="HM22" s="581"/>
      <c r="HN22" s="581"/>
      <c r="HO22" s="581"/>
      <c r="HP22" s="581"/>
      <c r="HQ22" s="581"/>
      <c r="HR22" s="582"/>
      <c r="HS22" s="581"/>
      <c r="HT22" s="581"/>
      <c r="HU22" s="581"/>
      <c r="HV22" s="581"/>
      <c r="HW22" s="581"/>
      <c r="HX22" s="581"/>
      <c r="HY22" s="581"/>
      <c r="HZ22" s="581"/>
      <c r="IA22" s="582"/>
      <c r="IB22" s="581"/>
      <c r="IC22" s="581"/>
      <c r="ID22" s="581"/>
      <c r="IE22" s="581"/>
      <c r="IF22" s="581"/>
      <c r="IG22" s="581"/>
      <c r="IH22" s="581"/>
      <c r="II22" s="581"/>
      <c r="IJ22" s="582"/>
      <c r="IK22" s="581"/>
      <c r="IL22" s="581"/>
      <c r="IM22" s="581"/>
      <c r="IN22" s="581"/>
      <c r="IO22" s="581"/>
      <c r="IP22" s="581"/>
      <c r="IQ22" s="581"/>
      <c r="IR22" s="581"/>
      <c r="IS22" s="582"/>
      <c r="IT22" s="581"/>
      <c r="IU22" s="581"/>
      <c r="IV22" s="581"/>
      <c r="IW22" s="581"/>
      <c r="IX22" s="581"/>
      <c r="IY22" s="581"/>
      <c r="IZ22" s="581"/>
      <c r="JA22" s="581"/>
      <c r="JB22" s="582"/>
      <c r="JC22" s="581"/>
      <c r="JD22" s="581"/>
      <c r="JE22" s="581"/>
      <c r="JF22" s="581"/>
      <c r="JG22" s="581"/>
      <c r="JH22" s="581"/>
      <c r="JI22" s="581"/>
      <c r="JJ22" s="581"/>
      <c r="JK22" s="582"/>
      <c r="JL22" s="581"/>
      <c r="JM22" s="581"/>
      <c r="JN22" s="581"/>
      <c r="JO22" s="581"/>
      <c r="JP22" s="581"/>
      <c r="JQ22" s="581"/>
      <c r="JR22" s="581"/>
      <c r="JS22" s="581"/>
      <c r="JT22" s="582"/>
      <c r="JU22" s="581"/>
      <c r="JV22" s="581"/>
      <c r="JW22" s="581"/>
      <c r="JX22" s="581"/>
      <c r="JY22" s="581"/>
      <c r="JZ22" s="581"/>
      <c r="KA22" s="581"/>
      <c r="KB22" s="581"/>
      <c r="KC22" s="582"/>
      <c r="KD22" s="581"/>
      <c r="KE22" s="581"/>
      <c r="KF22" s="581"/>
      <c r="KG22" s="581"/>
      <c r="KH22" s="581"/>
      <c r="KI22" s="581"/>
      <c r="KJ22" s="581"/>
      <c r="KK22" s="581"/>
      <c r="KL22" s="582"/>
      <c r="KM22" s="581"/>
      <c r="KN22" s="581"/>
      <c r="KO22" s="581"/>
      <c r="KP22" s="581"/>
      <c r="KQ22" s="581"/>
      <c r="KR22" s="581"/>
      <c r="KS22" s="581"/>
      <c r="KT22" s="581"/>
      <c r="KU22" s="582"/>
      <c r="KV22" s="581"/>
      <c r="KW22" s="581"/>
      <c r="KX22" s="581"/>
      <c r="KY22" s="581"/>
      <c r="KZ22" s="581"/>
      <c r="LA22" s="581"/>
      <c r="LB22" s="581"/>
      <c r="LC22" s="581"/>
      <c r="LD22" s="582"/>
      <c r="LE22" s="581"/>
      <c r="LF22" s="581"/>
      <c r="LG22" s="581"/>
      <c r="LH22" s="581"/>
      <c r="LI22" s="581"/>
      <c r="LJ22" s="581"/>
      <c r="LK22" s="581"/>
      <c r="LL22" s="581"/>
      <c r="LM22" s="582"/>
      <c r="LN22" s="581"/>
      <c r="LO22" s="581"/>
      <c r="LP22" s="581"/>
      <c r="LQ22" s="581"/>
      <c r="LR22" s="581"/>
      <c r="LS22" s="581"/>
      <c r="LT22" s="581"/>
      <c r="LU22" s="581"/>
      <c r="LV22" s="582"/>
      <c r="LW22" s="581"/>
      <c r="LX22" s="581"/>
      <c r="LY22" s="581"/>
      <c r="LZ22" s="581"/>
      <c r="MA22" s="581"/>
      <c r="MB22" s="581"/>
      <c r="MC22" s="581"/>
      <c r="MD22" s="581"/>
      <c r="ME22" s="591"/>
    </row>
    <row r="23" customFormat="false" ht="9.75" hidden="false" customHeight="false" outlineLevel="0" collapsed="false">
      <c r="A23" s="571"/>
      <c r="B23" s="572"/>
      <c r="C23" s="573"/>
      <c r="D23" s="574"/>
      <c r="E23" s="574"/>
      <c r="F23" s="574"/>
      <c r="G23" s="574"/>
      <c r="H23" s="575"/>
      <c r="I23" s="576"/>
      <c r="J23" s="574"/>
      <c r="K23" s="577"/>
      <c r="L23" s="574"/>
      <c r="M23" s="574"/>
      <c r="N23" s="578" t="n">
        <f aca="false">IFERROR(M23/$M$6,0)</f>
        <v>0</v>
      </c>
      <c r="O23" s="574"/>
      <c r="P23" s="575"/>
      <c r="Q23" s="579"/>
      <c r="R23" s="577"/>
      <c r="S23" s="580"/>
      <c r="T23" s="581"/>
      <c r="U23" s="581"/>
      <c r="V23" s="581"/>
      <c r="W23" s="581"/>
      <c r="X23" s="581"/>
      <c r="Y23" s="581"/>
      <c r="Z23" s="581"/>
      <c r="AA23" s="581"/>
      <c r="AB23" s="582"/>
      <c r="AC23" s="581"/>
      <c r="AD23" s="581"/>
      <c r="AE23" s="581"/>
      <c r="AF23" s="581"/>
      <c r="AG23" s="581"/>
      <c r="AH23" s="581"/>
      <c r="AI23" s="581"/>
      <c r="AJ23" s="581"/>
      <c r="AK23" s="582"/>
      <c r="AL23" s="578"/>
      <c r="AM23" s="578"/>
      <c r="AN23" s="578"/>
      <c r="AO23" s="578"/>
      <c r="AP23" s="578"/>
      <c r="AQ23" s="578"/>
      <c r="AR23" s="578"/>
      <c r="AS23" s="578"/>
      <c r="AT23" s="583"/>
      <c r="AU23" s="584"/>
      <c r="AV23" s="584"/>
      <c r="AW23" s="584"/>
      <c r="AX23" s="584"/>
      <c r="AY23" s="584"/>
      <c r="AZ23" s="584"/>
      <c r="BA23" s="584"/>
      <c r="BB23" s="584"/>
      <c r="BC23" s="585"/>
      <c r="BD23" s="584"/>
      <c r="BE23" s="584"/>
      <c r="BF23" s="584"/>
      <c r="BG23" s="584"/>
      <c r="BH23" s="584"/>
      <c r="BI23" s="584"/>
      <c r="BJ23" s="584"/>
      <c r="BK23" s="584"/>
      <c r="BL23" s="585"/>
      <c r="BM23" s="581"/>
      <c r="BN23" s="581"/>
      <c r="BO23" s="581"/>
      <c r="BP23" s="581"/>
      <c r="BQ23" s="581"/>
      <c r="BR23" s="581"/>
      <c r="BS23" s="581"/>
      <c r="BT23" s="581"/>
      <c r="BU23" s="581"/>
      <c r="BV23" s="590"/>
      <c r="BW23" s="581"/>
      <c r="BX23" s="581"/>
      <c r="BY23" s="581"/>
      <c r="BZ23" s="581"/>
      <c r="CA23" s="581"/>
      <c r="CB23" s="581"/>
      <c r="CC23" s="581"/>
      <c r="CD23" s="582"/>
      <c r="CE23" s="581"/>
      <c r="CF23" s="581"/>
      <c r="CG23" s="581"/>
      <c r="CH23" s="581"/>
      <c r="CI23" s="581"/>
      <c r="CJ23" s="581"/>
      <c r="CK23" s="581"/>
      <c r="CL23" s="581"/>
      <c r="CM23" s="582"/>
      <c r="CN23" s="581"/>
      <c r="CO23" s="581"/>
      <c r="CP23" s="581"/>
      <c r="CQ23" s="581"/>
      <c r="CR23" s="581"/>
      <c r="CS23" s="581"/>
      <c r="CT23" s="581"/>
      <c r="CU23" s="581"/>
      <c r="CV23" s="582"/>
      <c r="CW23" s="581"/>
      <c r="CX23" s="581"/>
      <c r="CY23" s="581"/>
      <c r="CZ23" s="581"/>
      <c r="DA23" s="581"/>
      <c r="DB23" s="581"/>
      <c r="DC23" s="581"/>
      <c r="DD23" s="581"/>
      <c r="DE23" s="582"/>
      <c r="DF23" s="581"/>
      <c r="DG23" s="581"/>
      <c r="DH23" s="581"/>
      <c r="DI23" s="581"/>
      <c r="DJ23" s="581"/>
      <c r="DK23" s="581"/>
      <c r="DL23" s="581"/>
      <c r="DM23" s="581"/>
      <c r="DN23" s="582"/>
      <c r="DO23" s="581"/>
      <c r="DP23" s="581"/>
      <c r="DQ23" s="581"/>
      <c r="DR23" s="581"/>
      <c r="DS23" s="581"/>
      <c r="DT23" s="581"/>
      <c r="DU23" s="581"/>
      <c r="DV23" s="581"/>
      <c r="DW23" s="582"/>
      <c r="DX23" s="581"/>
      <c r="DY23" s="581"/>
      <c r="DZ23" s="581"/>
      <c r="EA23" s="581"/>
      <c r="EB23" s="581"/>
      <c r="EC23" s="581"/>
      <c r="ED23" s="581"/>
      <c r="EE23" s="581"/>
      <c r="EF23" s="582"/>
      <c r="EG23" s="581"/>
      <c r="EH23" s="581"/>
      <c r="EI23" s="581"/>
      <c r="EJ23" s="581"/>
      <c r="EK23" s="581"/>
      <c r="EL23" s="581"/>
      <c r="EM23" s="581"/>
      <c r="EN23" s="581"/>
      <c r="EO23" s="582"/>
      <c r="EP23" s="581"/>
      <c r="EQ23" s="581"/>
      <c r="ER23" s="581"/>
      <c r="ES23" s="581"/>
      <c r="ET23" s="581"/>
      <c r="EU23" s="581"/>
      <c r="EV23" s="581"/>
      <c r="EW23" s="581"/>
      <c r="EX23" s="582"/>
      <c r="EY23" s="581"/>
      <c r="EZ23" s="581"/>
      <c r="FA23" s="581"/>
      <c r="FB23" s="581"/>
      <c r="FC23" s="581"/>
      <c r="FD23" s="581"/>
      <c r="FE23" s="581"/>
      <c r="FF23" s="581"/>
      <c r="FG23" s="582"/>
      <c r="FH23" s="581"/>
      <c r="FI23" s="581"/>
      <c r="FJ23" s="581"/>
      <c r="FK23" s="581"/>
      <c r="FL23" s="581"/>
      <c r="FM23" s="581"/>
      <c r="FN23" s="581"/>
      <c r="FO23" s="581"/>
      <c r="FP23" s="582"/>
      <c r="FQ23" s="581"/>
      <c r="FR23" s="581"/>
      <c r="FS23" s="581"/>
      <c r="FT23" s="581"/>
      <c r="FU23" s="581"/>
      <c r="FV23" s="581"/>
      <c r="FW23" s="581"/>
      <c r="FX23" s="581"/>
      <c r="FY23" s="582"/>
      <c r="FZ23" s="581"/>
      <c r="GA23" s="581"/>
      <c r="GB23" s="581"/>
      <c r="GC23" s="581"/>
      <c r="GD23" s="581"/>
      <c r="GE23" s="581"/>
      <c r="GF23" s="581"/>
      <c r="GG23" s="581"/>
      <c r="GH23" s="582"/>
      <c r="GI23" s="581"/>
      <c r="GJ23" s="581"/>
      <c r="GK23" s="581"/>
      <c r="GL23" s="581"/>
      <c r="GM23" s="581"/>
      <c r="GN23" s="581"/>
      <c r="GO23" s="581"/>
      <c r="GP23" s="581"/>
      <c r="GQ23" s="582"/>
      <c r="GR23" s="581"/>
      <c r="GS23" s="581"/>
      <c r="GT23" s="581"/>
      <c r="GU23" s="581"/>
      <c r="GV23" s="581"/>
      <c r="GW23" s="581"/>
      <c r="GX23" s="581"/>
      <c r="GY23" s="581"/>
      <c r="GZ23" s="582"/>
      <c r="HA23" s="581"/>
      <c r="HB23" s="581"/>
      <c r="HC23" s="581"/>
      <c r="HD23" s="581"/>
      <c r="HE23" s="581"/>
      <c r="HF23" s="581"/>
      <c r="HG23" s="581"/>
      <c r="HH23" s="581"/>
      <c r="HI23" s="582"/>
      <c r="HJ23" s="581"/>
      <c r="HK23" s="581"/>
      <c r="HL23" s="581"/>
      <c r="HM23" s="581"/>
      <c r="HN23" s="581"/>
      <c r="HO23" s="581"/>
      <c r="HP23" s="581"/>
      <c r="HQ23" s="581"/>
      <c r="HR23" s="582"/>
      <c r="HS23" s="581"/>
      <c r="HT23" s="581"/>
      <c r="HU23" s="581"/>
      <c r="HV23" s="581"/>
      <c r="HW23" s="581"/>
      <c r="HX23" s="581"/>
      <c r="HY23" s="581"/>
      <c r="HZ23" s="581"/>
      <c r="IA23" s="582"/>
      <c r="IB23" s="581"/>
      <c r="IC23" s="581"/>
      <c r="ID23" s="581"/>
      <c r="IE23" s="581"/>
      <c r="IF23" s="581"/>
      <c r="IG23" s="581"/>
      <c r="IH23" s="581"/>
      <c r="II23" s="581"/>
      <c r="IJ23" s="582"/>
      <c r="IK23" s="581"/>
      <c r="IL23" s="581"/>
      <c r="IM23" s="581"/>
      <c r="IN23" s="581"/>
      <c r="IO23" s="581"/>
      <c r="IP23" s="581"/>
      <c r="IQ23" s="581"/>
      <c r="IR23" s="581"/>
      <c r="IS23" s="582"/>
      <c r="IT23" s="581"/>
      <c r="IU23" s="581"/>
      <c r="IV23" s="581"/>
      <c r="IW23" s="581"/>
      <c r="IX23" s="581"/>
      <c r="IY23" s="581"/>
      <c r="IZ23" s="581"/>
      <c r="JA23" s="581"/>
      <c r="JB23" s="582"/>
      <c r="JC23" s="581"/>
      <c r="JD23" s="581"/>
      <c r="JE23" s="581"/>
      <c r="JF23" s="581"/>
      <c r="JG23" s="581"/>
      <c r="JH23" s="581"/>
      <c r="JI23" s="581"/>
      <c r="JJ23" s="581"/>
      <c r="JK23" s="582"/>
      <c r="JL23" s="581"/>
      <c r="JM23" s="581"/>
      <c r="JN23" s="581"/>
      <c r="JO23" s="581"/>
      <c r="JP23" s="581"/>
      <c r="JQ23" s="581"/>
      <c r="JR23" s="581"/>
      <c r="JS23" s="581"/>
      <c r="JT23" s="582"/>
      <c r="JU23" s="581"/>
      <c r="JV23" s="581"/>
      <c r="JW23" s="581"/>
      <c r="JX23" s="581"/>
      <c r="JY23" s="581"/>
      <c r="JZ23" s="581"/>
      <c r="KA23" s="581"/>
      <c r="KB23" s="581"/>
      <c r="KC23" s="582"/>
      <c r="KD23" s="581"/>
      <c r="KE23" s="581"/>
      <c r="KF23" s="581"/>
      <c r="KG23" s="581"/>
      <c r="KH23" s="581"/>
      <c r="KI23" s="581"/>
      <c r="KJ23" s="581"/>
      <c r="KK23" s="581"/>
      <c r="KL23" s="582"/>
      <c r="KM23" s="581"/>
      <c r="KN23" s="581"/>
      <c r="KO23" s="581"/>
      <c r="KP23" s="581"/>
      <c r="KQ23" s="581"/>
      <c r="KR23" s="581"/>
      <c r="KS23" s="581"/>
      <c r="KT23" s="581"/>
      <c r="KU23" s="582"/>
      <c r="KV23" s="581"/>
      <c r="KW23" s="581"/>
      <c r="KX23" s="581"/>
      <c r="KY23" s="581"/>
      <c r="KZ23" s="581"/>
      <c r="LA23" s="581"/>
      <c r="LB23" s="581"/>
      <c r="LC23" s="581"/>
      <c r="LD23" s="582"/>
      <c r="LE23" s="581"/>
      <c r="LF23" s="581"/>
      <c r="LG23" s="581"/>
      <c r="LH23" s="581"/>
      <c r="LI23" s="581"/>
      <c r="LJ23" s="581"/>
      <c r="LK23" s="581"/>
      <c r="LL23" s="581"/>
      <c r="LM23" s="582"/>
      <c r="LN23" s="581"/>
      <c r="LO23" s="581"/>
      <c r="LP23" s="581"/>
      <c r="LQ23" s="581"/>
      <c r="LR23" s="581"/>
      <c r="LS23" s="581"/>
      <c r="LT23" s="581"/>
      <c r="LU23" s="581"/>
      <c r="LV23" s="582"/>
      <c r="LW23" s="581"/>
      <c r="LX23" s="581"/>
      <c r="LY23" s="581"/>
      <c r="LZ23" s="581"/>
      <c r="MA23" s="581"/>
      <c r="MB23" s="581"/>
      <c r="MC23" s="581"/>
      <c r="MD23" s="581"/>
      <c r="ME23" s="591"/>
    </row>
    <row r="24" customFormat="false" ht="9.75" hidden="false" customHeight="false" outlineLevel="0" collapsed="false">
      <c r="A24" s="571"/>
      <c r="B24" s="572"/>
      <c r="C24" s="573"/>
      <c r="D24" s="574"/>
      <c r="E24" s="574"/>
      <c r="F24" s="574"/>
      <c r="G24" s="574"/>
      <c r="H24" s="575"/>
      <c r="I24" s="576"/>
      <c r="J24" s="574"/>
      <c r="K24" s="577"/>
      <c r="L24" s="574"/>
      <c r="M24" s="574"/>
      <c r="N24" s="578" t="n">
        <f aca="false">IFERROR(M24/$M$6,0)</f>
        <v>0</v>
      </c>
      <c r="O24" s="574"/>
      <c r="P24" s="575"/>
      <c r="Q24" s="579"/>
      <c r="R24" s="577"/>
      <c r="S24" s="580"/>
      <c r="T24" s="581"/>
      <c r="U24" s="581"/>
      <c r="V24" s="581"/>
      <c r="W24" s="581"/>
      <c r="X24" s="581"/>
      <c r="Y24" s="581"/>
      <c r="Z24" s="581"/>
      <c r="AA24" s="581"/>
      <c r="AB24" s="582"/>
      <c r="AC24" s="581"/>
      <c r="AD24" s="581"/>
      <c r="AE24" s="581"/>
      <c r="AF24" s="581"/>
      <c r="AG24" s="581"/>
      <c r="AH24" s="581"/>
      <c r="AI24" s="581"/>
      <c r="AJ24" s="581"/>
      <c r="AK24" s="582"/>
      <c r="AL24" s="578"/>
      <c r="AM24" s="578"/>
      <c r="AN24" s="578"/>
      <c r="AO24" s="578"/>
      <c r="AP24" s="578"/>
      <c r="AQ24" s="578"/>
      <c r="AR24" s="578"/>
      <c r="AS24" s="578"/>
      <c r="AT24" s="583"/>
      <c r="AU24" s="584"/>
      <c r="AV24" s="584"/>
      <c r="AW24" s="584"/>
      <c r="AX24" s="584"/>
      <c r="AY24" s="584"/>
      <c r="AZ24" s="584"/>
      <c r="BA24" s="584"/>
      <c r="BB24" s="584"/>
      <c r="BC24" s="585"/>
      <c r="BD24" s="584"/>
      <c r="BE24" s="584"/>
      <c r="BF24" s="584"/>
      <c r="BG24" s="584"/>
      <c r="BH24" s="584"/>
      <c r="BI24" s="584"/>
      <c r="BJ24" s="584"/>
      <c r="BK24" s="584"/>
      <c r="BL24" s="585"/>
      <c r="BM24" s="581"/>
      <c r="BN24" s="581"/>
      <c r="BO24" s="581"/>
      <c r="BP24" s="581"/>
      <c r="BQ24" s="581"/>
      <c r="BR24" s="581"/>
      <c r="BS24" s="581"/>
      <c r="BT24" s="581"/>
      <c r="BU24" s="581"/>
      <c r="BV24" s="590"/>
      <c r="BW24" s="581"/>
      <c r="BX24" s="581"/>
      <c r="BY24" s="581"/>
      <c r="BZ24" s="581"/>
      <c r="CA24" s="581"/>
      <c r="CB24" s="581"/>
      <c r="CC24" s="581"/>
      <c r="CD24" s="582"/>
      <c r="CE24" s="581"/>
      <c r="CF24" s="581"/>
      <c r="CG24" s="581"/>
      <c r="CH24" s="581"/>
      <c r="CI24" s="581"/>
      <c r="CJ24" s="581"/>
      <c r="CK24" s="581"/>
      <c r="CL24" s="581"/>
      <c r="CM24" s="582"/>
      <c r="CN24" s="581"/>
      <c r="CO24" s="581"/>
      <c r="CP24" s="581"/>
      <c r="CQ24" s="581"/>
      <c r="CR24" s="581"/>
      <c r="CS24" s="581"/>
      <c r="CT24" s="581"/>
      <c r="CU24" s="581"/>
      <c r="CV24" s="582"/>
      <c r="CW24" s="581"/>
      <c r="CX24" s="581"/>
      <c r="CY24" s="581"/>
      <c r="CZ24" s="581"/>
      <c r="DA24" s="581"/>
      <c r="DB24" s="581"/>
      <c r="DC24" s="581"/>
      <c r="DD24" s="581"/>
      <c r="DE24" s="582"/>
      <c r="DF24" s="581"/>
      <c r="DG24" s="581"/>
      <c r="DH24" s="581"/>
      <c r="DI24" s="581"/>
      <c r="DJ24" s="581"/>
      <c r="DK24" s="581"/>
      <c r="DL24" s="581"/>
      <c r="DM24" s="581"/>
      <c r="DN24" s="582"/>
      <c r="DO24" s="581"/>
      <c r="DP24" s="581"/>
      <c r="DQ24" s="581"/>
      <c r="DR24" s="581"/>
      <c r="DS24" s="581"/>
      <c r="DT24" s="581"/>
      <c r="DU24" s="581"/>
      <c r="DV24" s="581"/>
      <c r="DW24" s="582"/>
      <c r="DX24" s="581"/>
      <c r="DY24" s="581"/>
      <c r="DZ24" s="581"/>
      <c r="EA24" s="581"/>
      <c r="EB24" s="581"/>
      <c r="EC24" s="581"/>
      <c r="ED24" s="581"/>
      <c r="EE24" s="581"/>
      <c r="EF24" s="582"/>
      <c r="EG24" s="581"/>
      <c r="EH24" s="581"/>
      <c r="EI24" s="581"/>
      <c r="EJ24" s="581"/>
      <c r="EK24" s="581"/>
      <c r="EL24" s="581"/>
      <c r="EM24" s="581"/>
      <c r="EN24" s="581"/>
      <c r="EO24" s="582"/>
      <c r="EP24" s="581"/>
      <c r="EQ24" s="581"/>
      <c r="ER24" s="581"/>
      <c r="ES24" s="581"/>
      <c r="ET24" s="581"/>
      <c r="EU24" s="581"/>
      <c r="EV24" s="581"/>
      <c r="EW24" s="581"/>
      <c r="EX24" s="582"/>
      <c r="EY24" s="581"/>
      <c r="EZ24" s="581"/>
      <c r="FA24" s="581"/>
      <c r="FB24" s="581"/>
      <c r="FC24" s="581"/>
      <c r="FD24" s="581"/>
      <c r="FE24" s="581"/>
      <c r="FF24" s="581"/>
      <c r="FG24" s="582"/>
      <c r="FH24" s="581"/>
      <c r="FI24" s="581"/>
      <c r="FJ24" s="581"/>
      <c r="FK24" s="581"/>
      <c r="FL24" s="581"/>
      <c r="FM24" s="581"/>
      <c r="FN24" s="581"/>
      <c r="FO24" s="581"/>
      <c r="FP24" s="582"/>
      <c r="FQ24" s="581"/>
      <c r="FR24" s="581"/>
      <c r="FS24" s="581"/>
      <c r="FT24" s="581"/>
      <c r="FU24" s="581"/>
      <c r="FV24" s="581"/>
      <c r="FW24" s="581"/>
      <c r="FX24" s="581"/>
      <c r="FY24" s="582"/>
      <c r="FZ24" s="581"/>
      <c r="GA24" s="581"/>
      <c r="GB24" s="581"/>
      <c r="GC24" s="581"/>
      <c r="GD24" s="581"/>
      <c r="GE24" s="581"/>
      <c r="GF24" s="581"/>
      <c r="GG24" s="581"/>
      <c r="GH24" s="582"/>
      <c r="GI24" s="581"/>
      <c r="GJ24" s="581"/>
      <c r="GK24" s="581"/>
      <c r="GL24" s="581"/>
      <c r="GM24" s="581"/>
      <c r="GN24" s="581"/>
      <c r="GO24" s="581"/>
      <c r="GP24" s="581"/>
      <c r="GQ24" s="582"/>
      <c r="GR24" s="581"/>
      <c r="GS24" s="581"/>
      <c r="GT24" s="581"/>
      <c r="GU24" s="581"/>
      <c r="GV24" s="581"/>
      <c r="GW24" s="581"/>
      <c r="GX24" s="581"/>
      <c r="GY24" s="581"/>
      <c r="GZ24" s="582"/>
      <c r="HA24" s="581"/>
      <c r="HB24" s="581"/>
      <c r="HC24" s="581"/>
      <c r="HD24" s="581"/>
      <c r="HE24" s="581"/>
      <c r="HF24" s="581"/>
      <c r="HG24" s="581"/>
      <c r="HH24" s="581"/>
      <c r="HI24" s="582"/>
      <c r="HJ24" s="581"/>
      <c r="HK24" s="581"/>
      <c r="HL24" s="581"/>
      <c r="HM24" s="581"/>
      <c r="HN24" s="581"/>
      <c r="HO24" s="581"/>
      <c r="HP24" s="581"/>
      <c r="HQ24" s="581"/>
      <c r="HR24" s="582"/>
      <c r="HS24" s="581"/>
      <c r="HT24" s="581"/>
      <c r="HU24" s="581"/>
      <c r="HV24" s="581"/>
      <c r="HW24" s="581"/>
      <c r="HX24" s="581"/>
      <c r="HY24" s="581"/>
      <c r="HZ24" s="581"/>
      <c r="IA24" s="582"/>
      <c r="IB24" s="581"/>
      <c r="IC24" s="581"/>
      <c r="ID24" s="581"/>
      <c r="IE24" s="581"/>
      <c r="IF24" s="581"/>
      <c r="IG24" s="581"/>
      <c r="IH24" s="581"/>
      <c r="II24" s="581"/>
      <c r="IJ24" s="582"/>
      <c r="IK24" s="581"/>
      <c r="IL24" s="581"/>
      <c r="IM24" s="581"/>
      <c r="IN24" s="581"/>
      <c r="IO24" s="581"/>
      <c r="IP24" s="581"/>
      <c r="IQ24" s="581"/>
      <c r="IR24" s="581"/>
      <c r="IS24" s="582"/>
      <c r="IT24" s="581"/>
      <c r="IU24" s="581"/>
      <c r="IV24" s="581"/>
      <c r="IW24" s="581"/>
      <c r="IX24" s="581"/>
      <c r="IY24" s="581"/>
      <c r="IZ24" s="581"/>
      <c r="JA24" s="581"/>
      <c r="JB24" s="582"/>
      <c r="JC24" s="581"/>
      <c r="JD24" s="581"/>
      <c r="JE24" s="581"/>
      <c r="JF24" s="581"/>
      <c r="JG24" s="581"/>
      <c r="JH24" s="581"/>
      <c r="JI24" s="581"/>
      <c r="JJ24" s="581"/>
      <c r="JK24" s="582"/>
      <c r="JL24" s="581"/>
      <c r="JM24" s="581"/>
      <c r="JN24" s="581"/>
      <c r="JO24" s="581"/>
      <c r="JP24" s="581"/>
      <c r="JQ24" s="581"/>
      <c r="JR24" s="581"/>
      <c r="JS24" s="581"/>
      <c r="JT24" s="582"/>
      <c r="JU24" s="581"/>
      <c r="JV24" s="581"/>
      <c r="JW24" s="581"/>
      <c r="JX24" s="581"/>
      <c r="JY24" s="581"/>
      <c r="JZ24" s="581"/>
      <c r="KA24" s="581"/>
      <c r="KB24" s="581"/>
      <c r="KC24" s="582"/>
      <c r="KD24" s="581"/>
      <c r="KE24" s="581"/>
      <c r="KF24" s="581"/>
      <c r="KG24" s="581"/>
      <c r="KH24" s="581"/>
      <c r="KI24" s="581"/>
      <c r="KJ24" s="581"/>
      <c r="KK24" s="581"/>
      <c r="KL24" s="582"/>
      <c r="KM24" s="581"/>
      <c r="KN24" s="581"/>
      <c r="KO24" s="581"/>
      <c r="KP24" s="581"/>
      <c r="KQ24" s="581"/>
      <c r="KR24" s="581"/>
      <c r="KS24" s="581"/>
      <c r="KT24" s="581"/>
      <c r="KU24" s="582"/>
      <c r="KV24" s="581"/>
      <c r="KW24" s="581"/>
      <c r="KX24" s="581"/>
      <c r="KY24" s="581"/>
      <c r="KZ24" s="581"/>
      <c r="LA24" s="581"/>
      <c r="LB24" s="581"/>
      <c r="LC24" s="581"/>
      <c r="LD24" s="582"/>
      <c r="LE24" s="581"/>
      <c r="LF24" s="581"/>
      <c r="LG24" s="581"/>
      <c r="LH24" s="581"/>
      <c r="LI24" s="581"/>
      <c r="LJ24" s="581"/>
      <c r="LK24" s="581"/>
      <c r="LL24" s="581"/>
      <c r="LM24" s="582"/>
      <c r="LN24" s="581"/>
      <c r="LO24" s="581"/>
      <c r="LP24" s="581"/>
      <c r="LQ24" s="581"/>
      <c r="LR24" s="581"/>
      <c r="LS24" s="581"/>
      <c r="LT24" s="581"/>
      <c r="LU24" s="581"/>
      <c r="LV24" s="582"/>
      <c r="LW24" s="581"/>
      <c r="LX24" s="581"/>
      <c r="LY24" s="581"/>
      <c r="LZ24" s="581"/>
      <c r="MA24" s="581"/>
      <c r="MB24" s="581"/>
      <c r="MC24" s="581"/>
      <c r="MD24" s="581"/>
      <c r="ME24" s="591"/>
    </row>
    <row r="25" customFormat="false" ht="9.75" hidden="false" customHeight="false" outlineLevel="0" collapsed="false">
      <c r="A25" s="571"/>
      <c r="B25" s="572"/>
      <c r="C25" s="573"/>
      <c r="D25" s="574"/>
      <c r="E25" s="574"/>
      <c r="F25" s="574"/>
      <c r="G25" s="574"/>
      <c r="H25" s="575"/>
      <c r="I25" s="576"/>
      <c r="J25" s="574"/>
      <c r="K25" s="577"/>
      <c r="L25" s="574"/>
      <c r="M25" s="574"/>
      <c r="N25" s="578" t="n">
        <f aca="false">IFERROR(M25/$M$6,0)</f>
        <v>0</v>
      </c>
      <c r="O25" s="574"/>
      <c r="P25" s="575"/>
      <c r="Q25" s="579"/>
      <c r="R25" s="577"/>
      <c r="S25" s="580"/>
      <c r="T25" s="581"/>
      <c r="U25" s="581"/>
      <c r="V25" s="581"/>
      <c r="W25" s="581"/>
      <c r="X25" s="581"/>
      <c r="Y25" s="581"/>
      <c r="Z25" s="581"/>
      <c r="AA25" s="581"/>
      <c r="AB25" s="582"/>
      <c r="AC25" s="581"/>
      <c r="AD25" s="581"/>
      <c r="AE25" s="581"/>
      <c r="AF25" s="581"/>
      <c r="AG25" s="581"/>
      <c r="AH25" s="581"/>
      <c r="AI25" s="581"/>
      <c r="AJ25" s="581"/>
      <c r="AK25" s="582"/>
      <c r="AL25" s="578"/>
      <c r="AM25" s="578"/>
      <c r="AN25" s="578"/>
      <c r="AO25" s="578"/>
      <c r="AP25" s="578"/>
      <c r="AQ25" s="578"/>
      <c r="AR25" s="578"/>
      <c r="AS25" s="578"/>
      <c r="AT25" s="583"/>
      <c r="AU25" s="584"/>
      <c r="AV25" s="584"/>
      <c r="AW25" s="584"/>
      <c r="AX25" s="584"/>
      <c r="AY25" s="584"/>
      <c r="AZ25" s="584"/>
      <c r="BA25" s="584"/>
      <c r="BB25" s="584"/>
      <c r="BC25" s="585"/>
      <c r="BD25" s="584"/>
      <c r="BE25" s="584"/>
      <c r="BF25" s="584"/>
      <c r="BG25" s="584"/>
      <c r="BH25" s="584"/>
      <c r="BI25" s="584"/>
      <c r="BJ25" s="584"/>
      <c r="BK25" s="584"/>
      <c r="BL25" s="585"/>
      <c r="BM25" s="581"/>
      <c r="BN25" s="581"/>
      <c r="BO25" s="581"/>
      <c r="BP25" s="581"/>
      <c r="BQ25" s="581"/>
      <c r="BR25" s="581"/>
      <c r="BS25" s="581"/>
      <c r="BT25" s="581"/>
      <c r="BU25" s="581"/>
      <c r="BV25" s="590"/>
      <c r="BW25" s="581"/>
      <c r="BX25" s="581"/>
      <c r="BY25" s="581"/>
      <c r="BZ25" s="581"/>
      <c r="CA25" s="581"/>
      <c r="CB25" s="581"/>
      <c r="CC25" s="581"/>
      <c r="CD25" s="582"/>
      <c r="CE25" s="581"/>
      <c r="CF25" s="581"/>
      <c r="CG25" s="581"/>
      <c r="CH25" s="581"/>
      <c r="CI25" s="581"/>
      <c r="CJ25" s="581"/>
      <c r="CK25" s="581"/>
      <c r="CL25" s="581"/>
      <c r="CM25" s="582"/>
      <c r="CN25" s="581"/>
      <c r="CO25" s="581"/>
      <c r="CP25" s="581"/>
      <c r="CQ25" s="581"/>
      <c r="CR25" s="581"/>
      <c r="CS25" s="581"/>
      <c r="CT25" s="581"/>
      <c r="CU25" s="581"/>
      <c r="CV25" s="582"/>
      <c r="CW25" s="581"/>
      <c r="CX25" s="581"/>
      <c r="CY25" s="581"/>
      <c r="CZ25" s="581"/>
      <c r="DA25" s="581"/>
      <c r="DB25" s="581"/>
      <c r="DC25" s="581"/>
      <c r="DD25" s="581"/>
      <c r="DE25" s="582"/>
      <c r="DF25" s="581"/>
      <c r="DG25" s="581"/>
      <c r="DH25" s="581"/>
      <c r="DI25" s="581"/>
      <c r="DJ25" s="581"/>
      <c r="DK25" s="581"/>
      <c r="DL25" s="581"/>
      <c r="DM25" s="581"/>
      <c r="DN25" s="582"/>
      <c r="DO25" s="581"/>
      <c r="DP25" s="581"/>
      <c r="DQ25" s="581"/>
      <c r="DR25" s="581"/>
      <c r="DS25" s="581"/>
      <c r="DT25" s="581"/>
      <c r="DU25" s="581"/>
      <c r="DV25" s="581"/>
      <c r="DW25" s="582"/>
      <c r="DX25" s="581"/>
      <c r="DY25" s="581"/>
      <c r="DZ25" s="581"/>
      <c r="EA25" s="581"/>
      <c r="EB25" s="581"/>
      <c r="EC25" s="581"/>
      <c r="ED25" s="581"/>
      <c r="EE25" s="581"/>
      <c r="EF25" s="582"/>
      <c r="EG25" s="581"/>
      <c r="EH25" s="581"/>
      <c r="EI25" s="581"/>
      <c r="EJ25" s="581"/>
      <c r="EK25" s="581"/>
      <c r="EL25" s="581"/>
      <c r="EM25" s="581"/>
      <c r="EN25" s="581"/>
      <c r="EO25" s="582"/>
      <c r="EP25" s="581"/>
      <c r="EQ25" s="581"/>
      <c r="ER25" s="581"/>
      <c r="ES25" s="581"/>
      <c r="ET25" s="581"/>
      <c r="EU25" s="581"/>
      <c r="EV25" s="581"/>
      <c r="EW25" s="581"/>
      <c r="EX25" s="582"/>
      <c r="EY25" s="581"/>
      <c r="EZ25" s="581"/>
      <c r="FA25" s="581"/>
      <c r="FB25" s="581"/>
      <c r="FC25" s="581"/>
      <c r="FD25" s="581"/>
      <c r="FE25" s="581"/>
      <c r="FF25" s="581"/>
      <c r="FG25" s="582"/>
      <c r="FH25" s="581"/>
      <c r="FI25" s="581"/>
      <c r="FJ25" s="581"/>
      <c r="FK25" s="581"/>
      <c r="FL25" s="581"/>
      <c r="FM25" s="581"/>
      <c r="FN25" s="581"/>
      <c r="FO25" s="581"/>
      <c r="FP25" s="582"/>
      <c r="FQ25" s="581"/>
      <c r="FR25" s="581"/>
      <c r="FS25" s="581"/>
      <c r="FT25" s="581"/>
      <c r="FU25" s="581"/>
      <c r="FV25" s="581"/>
      <c r="FW25" s="581"/>
      <c r="FX25" s="581"/>
      <c r="FY25" s="582"/>
      <c r="FZ25" s="581"/>
      <c r="GA25" s="581"/>
      <c r="GB25" s="581"/>
      <c r="GC25" s="581"/>
      <c r="GD25" s="581"/>
      <c r="GE25" s="581"/>
      <c r="GF25" s="581"/>
      <c r="GG25" s="581"/>
      <c r="GH25" s="582"/>
      <c r="GI25" s="581"/>
      <c r="GJ25" s="581"/>
      <c r="GK25" s="581"/>
      <c r="GL25" s="581"/>
      <c r="GM25" s="581"/>
      <c r="GN25" s="581"/>
      <c r="GO25" s="581"/>
      <c r="GP25" s="581"/>
      <c r="GQ25" s="582"/>
      <c r="GR25" s="581"/>
      <c r="GS25" s="581"/>
      <c r="GT25" s="581"/>
      <c r="GU25" s="581"/>
      <c r="GV25" s="581"/>
      <c r="GW25" s="581"/>
      <c r="GX25" s="581"/>
      <c r="GY25" s="581"/>
      <c r="GZ25" s="582"/>
      <c r="HA25" s="581"/>
      <c r="HB25" s="581"/>
      <c r="HC25" s="581"/>
      <c r="HD25" s="581"/>
      <c r="HE25" s="581"/>
      <c r="HF25" s="581"/>
      <c r="HG25" s="581"/>
      <c r="HH25" s="581"/>
      <c r="HI25" s="582"/>
      <c r="HJ25" s="581"/>
      <c r="HK25" s="581"/>
      <c r="HL25" s="581"/>
      <c r="HM25" s="581"/>
      <c r="HN25" s="581"/>
      <c r="HO25" s="581"/>
      <c r="HP25" s="581"/>
      <c r="HQ25" s="581"/>
      <c r="HR25" s="582"/>
      <c r="HS25" s="581"/>
      <c r="HT25" s="581"/>
      <c r="HU25" s="581"/>
      <c r="HV25" s="581"/>
      <c r="HW25" s="581"/>
      <c r="HX25" s="581"/>
      <c r="HY25" s="581"/>
      <c r="HZ25" s="581"/>
      <c r="IA25" s="582"/>
      <c r="IB25" s="581"/>
      <c r="IC25" s="581"/>
      <c r="ID25" s="581"/>
      <c r="IE25" s="581"/>
      <c r="IF25" s="581"/>
      <c r="IG25" s="581"/>
      <c r="IH25" s="581"/>
      <c r="II25" s="581"/>
      <c r="IJ25" s="582"/>
      <c r="IK25" s="581"/>
      <c r="IL25" s="581"/>
      <c r="IM25" s="581"/>
      <c r="IN25" s="581"/>
      <c r="IO25" s="581"/>
      <c r="IP25" s="581"/>
      <c r="IQ25" s="581"/>
      <c r="IR25" s="581"/>
      <c r="IS25" s="582"/>
      <c r="IT25" s="581"/>
      <c r="IU25" s="581"/>
      <c r="IV25" s="581"/>
      <c r="IW25" s="581"/>
      <c r="IX25" s="581"/>
      <c r="IY25" s="581"/>
      <c r="IZ25" s="581"/>
      <c r="JA25" s="581"/>
      <c r="JB25" s="582"/>
      <c r="JC25" s="581"/>
      <c r="JD25" s="581"/>
      <c r="JE25" s="581"/>
      <c r="JF25" s="581"/>
      <c r="JG25" s="581"/>
      <c r="JH25" s="581"/>
      <c r="JI25" s="581"/>
      <c r="JJ25" s="581"/>
      <c r="JK25" s="582"/>
      <c r="JL25" s="581"/>
      <c r="JM25" s="581"/>
      <c r="JN25" s="581"/>
      <c r="JO25" s="581"/>
      <c r="JP25" s="581"/>
      <c r="JQ25" s="581"/>
      <c r="JR25" s="581"/>
      <c r="JS25" s="581"/>
      <c r="JT25" s="582"/>
      <c r="JU25" s="581"/>
      <c r="JV25" s="581"/>
      <c r="JW25" s="581"/>
      <c r="JX25" s="581"/>
      <c r="JY25" s="581"/>
      <c r="JZ25" s="581"/>
      <c r="KA25" s="581"/>
      <c r="KB25" s="581"/>
      <c r="KC25" s="582"/>
      <c r="KD25" s="581"/>
      <c r="KE25" s="581"/>
      <c r="KF25" s="581"/>
      <c r="KG25" s="581"/>
      <c r="KH25" s="581"/>
      <c r="KI25" s="581"/>
      <c r="KJ25" s="581"/>
      <c r="KK25" s="581"/>
      <c r="KL25" s="582"/>
      <c r="KM25" s="581"/>
      <c r="KN25" s="581"/>
      <c r="KO25" s="581"/>
      <c r="KP25" s="581"/>
      <c r="KQ25" s="581"/>
      <c r="KR25" s="581"/>
      <c r="KS25" s="581"/>
      <c r="KT25" s="581"/>
      <c r="KU25" s="582"/>
      <c r="KV25" s="581"/>
      <c r="KW25" s="581"/>
      <c r="KX25" s="581"/>
      <c r="KY25" s="581"/>
      <c r="KZ25" s="581"/>
      <c r="LA25" s="581"/>
      <c r="LB25" s="581"/>
      <c r="LC25" s="581"/>
      <c r="LD25" s="582"/>
      <c r="LE25" s="581"/>
      <c r="LF25" s="581"/>
      <c r="LG25" s="581"/>
      <c r="LH25" s="581"/>
      <c r="LI25" s="581"/>
      <c r="LJ25" s="581"/>
      <c r="LK25" s="581"/>
      <c r="LL25" s="581"/>
      <c r="LM25" s="582"/>
      <c r="LN25" s="581"/>
      <c r="LO25" s="581"/>
      <c r="LP25" s="581"/>
      <c r="LQ25" s="581"/>
      <c r="LR25" s="581"/>
      <c r="LS25" s="581"/>
      <c r="LT25" s="581"/>
      <c r="LU25" s="581"/>
      <c r="LV25" s="582"/>
      <c r="LW25" s="581"/>
      <c r="LX25" s="581"/>
      <c r="LY25" s="581"/>
      <c r="LZ25" s="581"/>
      <c r="MA25" s="581"/>
      <c r="MB25" s="581"/>
      <c r="MC25" s="581"/>
      <c r="MD25" s="581"/>
      <c r="ME25" s="591"/>
    </row>
    <row r="26" customFormat="false" ht="9.75" hidden="false" customHeight="false" outlineLevel="0" collapsed="false">
      <c r="A26" s="571"/>
      <c r="B26" s="572"/>
      <c r="C26" s="573"/>
      <c r="D26" s="574"/>
      <c r="E26" s="574"/>
      <c r="F26" s="574"/>
      <c r="G26" s="574"/>
      <c r="H26" s="575"/>
      <c r="I26" s="576"/>
      <c r="J26" s="574"/>
      <c r="K26" s="577"/>
      <c r="L26" s="574"/>
      <c r="M26" s="574"/>
      <c r="N26" s="578" t="n">
        <f aca="false">IFERROR(M26/$M$6,0)</f>
        <v>0</v>
      </c>
      <c r="O26" s="574"/>
      <c r="P26" s="575"/>
      <c r="Q26" s="579"/>
      <c r="R26" s="577"/>
      <c r="S26" s="580"/>
      <c r="T26" s="581"/>
      <c r="U26" s="581"/>
      <c r="V26" s="581"/>
      <c r="W26" s="581"/>
      <c r="X26" s="581"/>
      <c r="Y26" s="581"/>
      <c r="Z26" s="581"/>
      <c r="AA26" s="581"/>
      <c r="AB26" s="582"/>
      <c r="AC26" s="581"/>
      <c r="AD26" s="581"/>
      <c r="AE26" s="581"/>
      <c r="AF26" s="581"/>
      <c r="AG26" s="581"/>
      <c r="AH26" s="581"/>
      <c r="AI26" s="581"/>
      <c r="AJ26" s="581"/>
      <c r="AK26" s="582"/>
      <c r="AL26" s="578"/>
      <c r="AM26" s="578"/>
      <c r="AN26" s="578"/>
      <c r="AO26" s="578"/>
      <c r="AP26" s="578"/>
      <c r="AQ26" s="578"/>
      <c r="AR26" s="578"/>
      <c r="AS26" s="578"/>
      <c r="AT26" s="583"/>
      <c r="AU26" s="584"/>
      <c r="AV26" s="584"/>
      <c r="AW26" s="584"/>
      <c r="AX26" s="584"/>
      <c r="AY26" s="584"/>
      <c r="AZ26" s="584"/>
      <c r="BA26" s="584"/>
      <c r="BB26" s="584"/>
      <c r="BC26" s="585"/>
      <c r="BD26" s="584"/>
      <c r="BE26" s="584"/>
      <c r="BF26" s="584"/>
      <c r="BG26" s="584"/>
      <c r="BH26" s="584"/>
      <c r="BI26" s="584"/>
      <c r="BJ26" s="584"/>
      <c r="BK26" s="584"/>
      <c r="BL26" s="585"/>
      <c r="BM26" s="581"/>
      <c r="BN26" s="581"/>
      <c r="BO26" s="581"/>
      <c r="BP26" s="581"/>
      <c r="BQ26" s="581"/>
      <c r="BR26" s="581"/>
      <c r="BS26" s="581"/>
      <c r="BT26" s="581"/>
      <c r="BU26" s="581"/>
      <c r="BV26" s="590"/>
      <c r="BW26" s="581"/>
      <c r="BX26" s="581"/>
      <c r="BY26" s="581"/>
      <c r="BZ26" s="581"/>
      <c r="CA26" s="581"/>
      <c r="CB26" s="581"/>
      <c r="CC26" s="581"/>
      <c r="CD26" s="582"/>
      <c r="CE26" s="581"/>
      <c r="CF26" s="581"/>
      <c r="CG26" s="581"/>
      <c r="CH26" s="581"/>
      <c r="CI26" s="581"/>
      <c r="CJ26" s="581"/>
      <c r="CK26" s="581"/>
      <c r="CL26" s="581"/>
      <c r="CM26" s="582"/>
      <c r="CN26" s="581"/>
      <c r="CO26" s="581"/>
      <c r="CP26" s="581"/>
      <c r="CQ26" s="581"/>
      <c r="CR26" s="581"/>
      <c r="CS26" s="581"/>
      <c r="CT26" s="581"/>
      <c r="CU26" s="581"/>
      <c r="CV26" s="582"/>
      <c r="CW26" s="581"/>
      <c r="CX26" s="581"/>
      <c r="CY26" s="581"/>
      <c r="CZ26" s="581"/>
      <c r="DA26" s="581"/>
      <c r="DB26" s="581"/>
      <c r="DC26" s="581"/>
      <c r="DD26" s="581"/>
      <c r="DE26" s="582"/>
      <c r="DF26" s="581"/>
      <c r="DG26" s="581"/>
      <c r="DH26" s="581"/>
      <c r="DI26" s="581"/>
      <c r="DJ26" s="581"/>
      <c r="DK26" s="581"/>
      <c r="DL26" s="581"/>
      <c r="DM26" s="581"/>
      <c r="DN26" s="582"/>
      <c r="DO26" s="581"/>
      <c r="DP26" s="581"/>
      <c r="DQ26" s="581"/>
      <c r="DR26" s="581"/>
      <c r="DS26" s="581"/>
      <c r="DT26" s="581"/>
      <c r="DU26" s="581"/>
      <c r="DV26" s="581"/>
      <c r="DW26" s="582"/>
      <c r="DX26" s="581"/>
      <c r="DY26" s="581"/>
      <c r="DZ26" s="581"/>
      <c r="EA26" s="581"/>
      <c r="EB26" s="581"/>
      <c r="EC26" s="581"/>
      <c r="ED26" s="581"/>
      <c r="EE26" s="581"/>
      <c r="EF26" s="582"/>
      <c r="EG26" s="581"/>
      <c r="EH26" s="581"/>
      <c r="EI26" s="581"/>
      <c r="EJ26" s="581"/>
      <c r="EK26" s="581"/>
      <c r="EL26" s="581"/>
      <c r="EM26" s="581"/>
      <c r="EN26" s="581"/>
      <c r="EO26" s="582"/>
      <c r="EP26" s="581"/>
      <c r="EQ26" s="581"/>
      <c r="ER26" s="581"/>
      <c r="ES26" s="581"/>
      <c r="ET26" s="581"/>
      <c r="EU26" s="581"/>
      <c r="EV26" s="581"/>
      <c r="EW26" s="581"/>
      <c r="EX26" s="582"/>
      <c r="EY26" s="581"/>
      <c r="EZ26" s="581"/>
      <c r="FA26" s="581"/>
      <c r="FB26" s="581"/>
      <c r="FC26" s="581"/>
      <c r="FD26" s="581"/>
      <c r="FE26" s="581"/>
      <c r="FF26" s="581"/>
      <c r="FG26" s="582"/>
      <c r="FH26" s="581"/>
      <c r="FI26" s="581"/>
      <c r="FJ26" s="581"/>
      <c r="FK26" s="581"/>
      <c r="FL26" s="581"/>
      <c r="FM26" s="581"/>
      <c r="FN26" s="581"/>
      <c r="FO26" s="581"/>
      <c r="FP26" s="582"/>
      <c r="FQ26" s="581"/>
      <c r="FR26" s="581"/>
      <c r="FS26" s="581"/>
      <c r="FT26" s="581"/>
      <c r="FU26" s="581"/>
      <c r="FV26" s="581"/>
      <c r="FW26" s="581"/>
      <c r="FX26" s="581"/>
      <c r="FY26" s="582"/>
      <c r="FZ26" s="581"/>
      <c r="GA26" s="581"/>
      <c r="GB26" s="581"/>
      <c r="GC26" s="581"/>
      <c r="GD26" s="581"/>
      <c r="GE26" s="581"/>
      <c r="GF26" s="581"/>
      <c r="GG26" s="581"/>
      <c r="GH26" s="582"/>
      <c r="GI26" s="581"/>
      <c r="GJ26" s="581"/>
      <c r="GK26" s="581"/>
      <c r="GL26" s="581"/>
      <c r="GM26" s="581"/>
      <c r="GN26" s="581"/>
      <c r="GO26" s="581"/>
      <c r="GP26" s="581"/>
      <c r="GQ26" s="582"/>
      <c r="GR26" s="581"/>
      <c r="GS26" s="581"/>
      <c r="GT26" s="581"/>
      <c r="GU26" s="581"/>
      <c r="GV26" s="581"/>
      <c r="GW26" s="581"/>
      <c r="GX26" s="581"/>
      <c r="GY26" s="581"/>
      <c r="GZ26" s="582"/>
      <c r="HA26" s="581"/>
      <c r="HB26" s="581"/>
      <c r="HC26" s="581"/>
      <c r="HD26" s="581"/>
      <c r="HE26" s="581"/>
      <c r="HF26" s="581"/>
      <c r="HG26" s="581"/>
      <c r="HH26" s="581"/>
      <c r="HI26" s="582"/>
      <c r="HJ26" s="581"/>
      <c r="HK26" s="581"/>
      <c r="HL26" s="581"/>
      <c r="HM26" s="581"/>
      <c r="HN26" s="581"/>
      <c r="HO26" s="581"/>
      <c r="HP26" s="581"/>
      <c r="HQ26" s="581"/>
      <c r="HR26" s="582"/>
      <c r="HS26" s="581"/>
      <c r="HT26" s="581"/>
      <c r="HU26" s="581"/>
      <c r="HV26" s="581"/>
      <c r="HW26" s="581"/>
      <c r="HX26" s="581"/>
      <c r="HY26" s="581"/>
      <c r="HZ26" s="581"/>
      <c r="IA26" s="582"/>
      <c r="IB26" s="581"/>
      <c r="IC26" s="581"/>
      <c r="ID26" s="581"/>
      <c r="IE26" s="581"/>
      <c r="IF26" s="581"/>
      <c r="IG26" s="581"/>
      <c r="IH26" s="581"/>
      <c r="II26" s="581"/>
      <c r="IJ26" s="582"/>
      <c r="IK26" s="581"/>
      <c r="IL26" s="581"/>
      <c r="IM26" s="581"/>
      <c r="IN26" s="581"/>
      <c r="IO26" s="581"/>
      <c r="IP26" s="581"/>
      <c r="IQ26" s="581"/>
      <c r="IR26" s="581"/>
      <c r="IS26" s="582"/>
      <c r="IT26" s="581"/>
      <c r="IU26" s="581"/>
      <c r="IV26" s="581"/>
      <c r="IW26" s="581"/>
      <c r="IX26" s="581"/>
      <c r="IY26" s="581"/>
      <c r="IZ26" s="581"/>
      <c r="JA26" s="581"/>
      <c r="JB26" s="582"/>
      <c r="JC26" s="581"/>
      <c r="JD26" s="581"/>
      <c r="JE26" s="581"/>
      <c r="JF26" s="581"/>
      <c r="JG26" s="581"/>
      <c r="JH26" s="581"/>
      <c r="JI26" s="581"/>
      <c r="JJ26" s="581"/>
      <c r="JK26" s="582"/>
      <c r="JL26" s="581"/>
      <c r="JM26" s="581"/>
      <c r="JN26" s="581"/>
      <c r="JO26" s="581"/>
      <c r="JP26" s="581"/>
      <c r="JQ26" s="581"/>
      <c r="JR26" s="581"/>
      <c r="JS26" s="581"/>
      <c r="JT26" s="582"/>
      <c r="JU26" s="581"/>
      <c r="JV26" s="581"/>
      <c r="JW26" s="581"/>
      <c r="JX26" s="581"/>
      <c r="JY26" s="581"/>
      <c r="JZ26" s="581"/>
      <c r="KA26" s="581"/>
      <c r="KB26" s="581"/>
      <c r="KC26" s="582"/>
      <c r="KD26" s="581"/>
      <c r="KE26" s="581"/>
      <c r="KF26" s="581"/>
      <c r="KG26" s="581"/>
      <c r="KH26" s="581"/>
      <c r="KI26" s="581"/>
      <c r="KJ26" s="581"/>
      <c r="KK26" s="581"/>
      <c r="KL26" s="582"/>
      <c r="KM26" s="581"/>
      <c r="KN26" s="581"/>
      <c r="KO26" s="581"/>
      <c r="KP26" s="581"/>
      <c r="KQ26" s="581"/>
      <c r="KR26" s="581"/>
      <c r="KS26" s="581"/>
      <c r="KT26" s="581"/>
      <c r="KU26" s="582"/>
      <c r="KV26" s="581"/>
      <c r="KW26" s="581"/>
      <c r="KX26" s="581"/>
      <c r="KY26" s="581"/>
      <c r="KZ26" s="581"/>
      <c r="LA26" s="581"/>
      <c r="LB26" s="581"/>
      <c r="LC26" s="581"/>
      <c r="LD26" s="582"/>
      <c r="LE26" s="581"/>
      <c r="LF26" s="581"/>
      <c r="LG26" s="581"/>
      <c r="LH26" s="581"/>
      <c r="LI26" s="581"/>
      <c r="LJ26" s="581"/>
      <c r="LK26" s="581"/>
      <c r="LL26" s="581"/>
      <c r="LM26" s="582"/>
      <c r="LN26" s="581"/>
      <c r="LO26" s="581"/>
      <c r="LP26" s="581"/>
      <c r="LQ26" s="581"/>
      <c r="LR26" s="581"/>
      <c r="LS26" s="581"/>
      <c r="LT26" s="581"/>
      <c r="LU26" s="581"/>
      <c r="LV26" s="582"/>
      <c r="LW26" s="581"/>
      <c r="LX26" s="581"/>
      <c r="LY26" s="581"/>
      <c r="LZ26" s="581"/>
      <c r="MA26" s="581"/>
      <c r="MB26" s="581"/>
      <c r="MC26" s="581"/>
      <c r="MD26" s="581"/>
      <c r="ME26" s="591"/>
    </row>
    <row r="27" customFormat="false" ht="9.75" hidden="false" customHeight="false" outlineLevel="0" collapsed="false">
      <c r="A27" s="571"/>
      <c r="B27" s="572"/>
      <c r="C27" s="573"/>
      <c r="D27" s="574"/>
      <c r="E27" s="574"/>
      <c r="F27" s="574"/>
      <c r="G27" s="574"/>
      <c r="H27" s="575"/>
      <c r="I27" s="576"/>
      <c r="J27" s="574"/>
      <c r="K27" s="577"/>
      <c r="L27" s="574"/>
      <c r="M27" s="574"/>
      <c r="N27" s="578" t="n">
        <f aca="false">IFERROR(M27/$M$6,0)</f>
        <v>0</v>
      </c>
      <c r="O27" s="574"/>
      <c r="P27" s="575"/>
      <c r="Q27" s="579"/>
      <c r="R27" s="577"/>
      <c r="S27" s="580"/>
      <c r="T27" s="581"/>
      <c r="U27" s="581"/>
      <c r="V27" s="581"/>
      <c r="W27" s="581"/>
      <c r="X27" s="581"/>
      <c r="Y27" s="581"/>
      <c r="Z27" s="581"/>
      <c r="AA27" s="581"/>
      <c r="AB27" s="582"/>
      <c r="AC27" s="581"/>
      <c r="AD27" s="581"/>
      <c r="AE27" s="581"/>
      <c r="AF27" s="581"/>
      <c r="AG27" s="581"/>
      <c r="AH27" s="581"/>
      <c r="AI27" s="581"/>
      <c r="AJ27" s="581"/>
      <c r="AK27" s="582"/>
      <c r="AL27" s="578"/>
      <c r="AM27" s="578"/>
      <c r="AN27" s="578"/>
      <c r="AO27" s="578"/>
      <c r="AP27" s="578"/>
      <c r="AQ27" s="578"/>
      <c r="AR27" s="578"/>
      <c r="AS27" s="578"/>
      <c r="AT27" s="583"/>
      <c r="AU27" s="584"/>
      <c r="AV27" s="584"/>
      <c r="AW27" s="584"/>
      <c r="AX27" s="584"/>
      <c r="AY27" s="584"/>
      <c r="AZ27" s="584"/>
      <c r="BA27" s="584"/>
      <c r="BB27" s="584"/>
      <c r="BC27" s="585"/>
      <c r="BD27" s="584"/>
      <c r="BE27" s="584"/>
      <c r="BF27" s="584"/>
      <c r="BG27" s="584"/>
      <c r="BH27" s="584"/>
      <c r="BI27" s="584"/>
      <c r="BJ27" s="584"/>
      <c r="BK27" s="584"/>
      <c r="BL27" s="585"/>
      <c r="BM27" s="581"/>
      <c r="BN27" s="581"/>
      <c r="BO27" s="581"/>
      <c r="BP27" s="581"/>
      <c r="BQ27" s="581"/>
      <c r="BR27" s="581"/>
      <c r="BS27" s="581"/>
      <c r="BT27" s="581"/>
      <c r="BU27" s="581"/>
      <c r="BV27" s="590"/>
      <c r="BW27" s="581"/>
      <c r="BX27" s="581"/>
      <c r="BY27" s="581"/>
      <c r="BZ27" s="581"/>
      <c r="CA27" s="581"/>
      <c r="CB27" s="581"/>
      <c r="CC27" s="581"/>
      <c r="CD27" s="582"/>
      <c r="CE27" s="581"/>
      <c r="CF27" s="581"/>
      <c r="CG27" s="581"/>
      <c r="CH27" s="581"/>
      <c r="CI27" s="581"/>
      <c r="CJ27" s="581"/>
      <c r="CK27" s="581"/>
      <c r="CL27" s="581"/>
      <c r="CM27" s="582"/>
      <c r="CN27" s="581"/>
      <c r="CO27" s="581"/>
      <c r="CP27" s="581"/>
      <c r="CQ27" s="581"/>
      <c r="CR27" s="581"/>
      <c r="CS27" s="581"/>
      <c r="CT27" s="581"/>
      <c r="CU27" s="581"/>
      <c r="CV27" s="582"/>
      <c r="CW27" s="581"/>
      <c r="CX27" s="581"/>
      <c r="CY27" s="581"/>
      <c r="CZ27" s="581"/>
      <c r="DA27" s="581"/>
      <c r="DB27" s="581"/>
      <c r="DC27" s="581"/>
      <c r="DD27" s="581"/>
      <c r="DE27" s="582"/>
      <c r="DF27" s="581"/>
      <c r="DG27" s="581"/>
      <c r="DH27" s="581"/>
      <c r="DI27" s="581"/>
      <c r="DJ27" s="581"/>
      <c r="DK27" s="581"/>
      <c r="DL27" s="581"/>
      <c r="DM27" s="581"/>
      <c r="DN27" s="582"/>
      <c r="DO27" s="581"/>
      <c r="DP27" s="581"/>
      <c r="DQ27" s="581"/>
      <c r="DR27" s="581"/>
      <c r="DS27" s="581"/>
      <c r="DT27" s="581"/>
      <c r="DU27" s="581"/>
      <c r="DV27" s="581"/>
      <c r="DW27" s="582"/>
      <c r="DX27" s="581"/>
      <c r="DY27" s="581"/>
      <c r="DZ27" s="581"/>
      <c r="EA27" s="581"/>
      <c r="EB27" s="581"/>
      <c r="EC27" s="581"/>
      <c r="ED27" s="581"/>
      <c r="EE27" s="581"/>
      <c r="EF27" s="582"/>
      <c r="EG27" s="581"/>
      <c r="EH27" s="581"/>
      <c r="EI27" s="581"/>
      <c r="EJ27" s="581"/>
      <c r="EK27" s="581"/>
      <c r="EL27" s="581"/>
      <c r="EM27" s="581"/>
      <c r="EN27" s="581"/>
      <c r="EO27" s="582"/>
      <c r="EP27" s="581"/>
      <c r="EQ27" s="581"/>
      <c r="ER27" s="581"/>
      <c r="ES27" s="581"/>
      <c r="ET27" s="581"/>
      <c r="EU27" s="581"/>
      <c r="EV27" s="581"/>
      <c r="EW27" s="581"/>
      <c r="EX27" s="582"/>
      <c r="EY27" s="581"/>
      <c r="EZ27" s="581"/>
      <c r="FA27" s="581"/>
      <c r="FB27" s="581"/>
      <c r="FC27" s="581"/>
      <c r="FD27" s="581"/>
      <c r="FE27" s="581"/>
      <c r="FF27" s="581"/>
      <c r="FG27" s="582"/>
      <c r="FH27" s="581"/>
      <c r="FI27" s="581"/>
      <c r="FJ27" s="581"/>
      <c r="FK27" s="581"/>
      <c r="FL27" s="581"/>
      <c r="FM27" s="581"/>
      <c r="FN27" s="581"/>
      <c r="FO27" s="581"/>
      <c r="FP27" s="582"/>
      <c r="FQ27" s="581"/>
      <c r="FR27" s="581"/>
      <c r="FS27" s="581"/>
      <c r="FT27" s="581"/>
      <c r="FU27" s="581"/>
      <c r="FV27" s="581"/>
      <c r="FW27" s="581"/>
      <c r="FX27" s="581"/>
      <c r="FY27" s="582"/>
      <c r="FZ27" s="581"/>
      <c r="GA27" s="581"/>
      <c r="GB27" s="581"/>
      <c r="GC27" s="581"/>
      <c r="GD27" s="581"/>
      <c r="GE27" s="581"/>
      <c r="GF27" s="581"/>
      <c r="GG27" s="581"/>
      <c r="GH27" s="582"/>
      <c r="GI27" s="581"/>
      <c r="GJ27" s="581"/>
      <c r="GK27" s="581"/>
      <c r="GL27" s="581"/>
      <c r="GM27" s="581"/>
      <c r="GN27" s="581"/>
      <c r="GO27" s="581"/>
      <c r="GP27" s="581"/>
      <c r="GQ27" s="582"/>
      <c r="GR27" s="581"/>
      <c r="GS27" s="581"/>
      <c r="GT27" s="581"/>
      <c r="GU27" s="581"/>
      <c r="GV27" s="581"/>
      <c r="GW27" s="581"/>
      <c r="GX27" s="581"/>
      <c r="GY27" s="581"/>
      <c r="GZ27" s="582"/>
      <c r="HA27" s="581"/>
      <c r="HB27" s="581"/>
      <c r="HC27" s="581"/>
      <c r="HD27" s="581"/>
      <c r="HE27" s="581"/>
      <c r="HF27" s="581"/>
      <c r="HG27" s="581"/>
      <c r="HH27" s="581"/>
      <c r="HI27" s="582"/>
      <c r="HJ27" s="581"/>
      <c r="HK27" s="581"/>
      <c r="HL27" s="581"/>
      <c r="HM27" s="581"/>
      <c r="HN27" s="581"/>
      <c r="HO27" s="581"/>
      <c r="HP27" s="581"/>
      <c r="HQ27" s="581"/>
      <c r="HR27" s="582"/>
      <c r="HS27" s="581"/>
      <c r="HT27" s="581"/>
      <c r="HU27" s="581"/>
      <c r="HV27" s="581"/>
      <c r="HW27" s="581"/>
      <c r="HX27" s="581"/>
      <c r="HY27" s="581"/>
      <c r="HZ27" s="581"/>
      <c r="IA27" s="582"/>
      <c r="IB27" s="581"/>
      <c r="IC27" s="581"/>
      <c r="ID27" s="581"/>
      <c r="IE27" s="581"/>
      <c r="IF27" s="581"/>
      <c r="IG27" s="581"/>
      <c r="IH27" s="581"/>
      <c r="II27" s="581"/>
      <c r="IJ27" s="582"/>
      <c r="IK27" s="581"/>
      <c r="IL27" s="581"/>
      <c r="IM27" s="581"/>
      <c r="IN27" s="581"/>
      <c r="IO27" s="581"/>
      <c r="IP27" s="581"/>
      <c r="IQ27" s="581"/>
      <c r="IR27" s="581"/>
      <c r="IS27" s="582"/>
      <c r="IT27" s="581"/>
      <c r="IU27" s="581"/>
      <c r="IV27" s="581"/>
      <c r="IW27" s="581"/>
      <c r="IX27" s="581"/>
      <c r="IY27" s="581"/>
      <c r="IZ27" s="581"/>
      <c r="JA27" s="581"/>
      <c r="JB27" s="582"/>
      <c r="JC27" s="581"/>
      <c r="JD27" s="581"/>
      <c r="JE27" s="581"/>
      <c r="JF27" s="581"/>
      <c r="JG27" s="581"/>
      <c r="JH27" s="581"/>
      <c r="JI27" s="581"/>
      <c r="JJ27" s="581"/>
      <c r="JK27" s="582"/>
      <c r="JL27" s="581"/>
      <c r="JM27" s="581"/>
      <c r="JN27" s="581"/>
      <c r="JO27" s="581"/>
      <c r="JP27" s="581"/>
      <c r="JQ27" s="581"/>
      <c r="JR27" s="581"/>
      <c r="JS27" s="581"/>
      <c r="JT27" s="582"/>
      <c r="JU27" s="581"/>
      <c r="JV27" s="581"/>
      <c r="JW27" s="581"/>
      <c r="JX27" s="581"/>
      <c r="JY27" s="581"/>
      <c r="JZ27" s="581"/>
      <c r="KA27" s="581"/>
      <c r="KB27" s="581"/>
      <c r="KC27" s="582"/>
      <c r="KD27" s="581"/>
      <c r="KE27" s="581"/>
      <c r="KF27" s="581"/>
      <c r="KG27" s="581"/>
      <c r="KH27" s="581"/>
      <c r="KI27" s="581"/>
      <c r="KJ27" s="581"/>
      <c r="KK27" s="581"/>
      <c r="KL27" s="582"/>
      <c r="KM27" s="581"/>
      <c r="KN27" s="581"/>
      <c r="KO27" s="581"/>
      <c r="KP27" s="581"/>
      <c r="KQ27" s="581"/>
      <c r="KR27" s="581"/>
      <c r="KS27" s="581"/>
      <c r="KT27" s="581"/>
      <c r="KU27" s="582"/>
      <c r="KV27" s="581"/>
      <c r="KW27" s="581"/>
      <c r="KX27" s="581"/>
      <c r="KY27" s="581"/>
      <c r="KZ27" s="581"/>
      <c r="LA27" s="581"/>
      <c r="LB27" s="581"/>
      <c r="LC27" s="581"/>
      <c r="LD27" s="582"/>
      <c r="LE27" s="581"/>
      <c r="LF27" s="581"/>
      <c r="LG27" s="581"/>
      <c r="LH27" s="581"/>
      <c r="LI27" s="581"/>
      <c r="LJ27" s="581"/>
      <c r="LK27" s="581"/>
      <c r="LL27" s="581"/>
      <c r="LM27" s="582"/>
      <c r="LN27" s="581"/>
      <c r="LO27" s="581"/>
      <c r="LP27" s="581"/>
      <c r="LQ27" s="581"/>
      <c r="LR27" s="581"/>
      <c r="LS27" s="581"/>
      <c r="LT27" s="581"/>
      <c r="LU27" s="581"/>
      <c r="LV27" s="582"/>
      <c r="LW27" s="581"/>
      <c r="LX27" s="581"/>
      <c r="LY27" s="581"/>
      <c r="LZ27" s="581"/>
      <c r="MA27" s="581"/>
      <c r="MB27" s="581"/>
      <c r="MC27" s="581"/>
      <c r="MD27" s="581"/>
      <c r="ME27" s="591"/>
    </row>
    <row r="28" customFormat="false" ht="9.75" hidden="false" customHeight="false" outlineLevel="0" collapsed="false">
      <c r="A28" s="571"/>
      <c r="B28" s="572"/>
      <c r="C28" s="573"/>
      <c r="D28" s="574"/>
      <c r="E28" s="574"/>
      <c r="F28" s="574"/>
      <c r="G28" s="574"/>
      <c r="H28" s="575"/>
      <c r="I28" s="576"/>
      <c r="J28" s="574"/>
      <c r="K28" s="577"/>
      <c r="L28" s="574"/>
      <c r="M28" s="574"/>
      <c r="N28" s="578" t="n">
        <f aca="false">IFERROR(M28/$M$6,0)</f>
        <v>0</v>
      </c>
      <c r="O28" s="574"/>
      <c r="P28" s="575"/>
      <c r="Q28" s="579"/>
      <c r="R28" s="577"/>
      <c r="S28" s="580"/>
      <c r="T28" s="581"/>
      <c r="U28" s="581"/>
      <c r="V28" s="581"/>
      <c r="W28" s="581"/>
      <c r="X28" s="581"/>
      <c r="Y28" s="581"/>
      <c r="Z28" s="581"/>
      <c r="AA28" s="581"/>
      <c r="AB28" s="582"/>
      <c r="AC28" s="581"/>
      <c r="AD28" s="581"/>
      <c r="AE28" s="581"/>
      <c r="AF28" s="581"/>
      <c r="AG28" s="581"/>
      <c r="AH28" s="581"/>
      <c r="AI28" s="581"/>
      <c r="AJ28" s="581"/>
      <c r="AK28" s="582"/>
      <c r="AL28" s="578"/>
      <c r="AM28" s="578"/>
      <c r="AN28" s="578"/>
      <c r="AO28" s="578"/>
      <c r="AP28" s="578"/>
      <c r="AQ28" s="578"/>
      <c r="AR28" s="578"/>
      <c r="AS28" s="578"/>
      <c r="AT28" s="583"/>
      <c r="AU28" s="584"/>
      <c r="AV28" s="584"/>
      <c r="AW28" s="584"/>
      <c r="AX28" s="584"/>
      <c r="AY28" s="584"/>
      <c r="AZ28" s="584"/>
      <c r="BA28" s="584"/>
      <c r="BB28" s="584"/>
      <c r="BC28" s="585"/>
      <c r="BD28" s="584"/>
      <c r="BE28" s="584"/>
      <c r="BF28" s="584"/>
      <c r="BG28" s="584"/>
      <c r="BH28" s="584"/>
      <c r="BI28" s="584"/>
      <c r="BJ28" s="584"/>
      <c r="BK28" s="584"/>
      <c r="BL28" s="585"/>
      <c r="BM28" s="581"/>
      <c r="BN28" s="581"/>
      <c r="BO28" s="581"/>
      <c r="BP28" s="581"/>
      <c r="BQ28" s="581"/>
      <c r="BR28" s="581"/>
      <c r="BS28" s="581"/>
      <c r="BT28" s="581"/>
      <c r="BU28" s="581"/>
      <c r="BV28" s="590"/>
      <c r="BW28" s="581"/>
      <c r="BX28" s="581"/>
      <c r="BY28" s="581"/>
      <c r="BZ28" s="581"/>
      <c r="CA28" s="581"/>
      <c r="CB28" s="581"/>
      <c r="CC28" s="581"/>
      <c r="CD28" s="582"/>
      <c r="CE28" s="581"/>
      <c r="CF28" s="581"/>
      <c r="CG28" s="581"/>
      <c r="CH28" s="581"/>
      <c r="CI28" s="581"/>
      <c r="CJ28" s="581"/>
      <c r="CK28" s="581"/>
      <c r="CL28" s="581"/>
      <c r="CM28" s="582"/>
      <c r="CN28" s="581"/>
      <c r="CO28" s="581"/>
      <c r="CP28" s="581"/>
      <c r="CQ28" s="581"/>
      <c r="CR28" s="581"/>
      <c r="CS28" s="581"/>
      <c r="CT28" s="581"/>
      <c r="CU28" s="581"/>
      <c r="CV28" s="582"/>
      <c r="CW28" s="581"/>
      <c r="CX28" s="581"/>
      <c r="CY28" s="581"/>
      <c r="CZ28" s="581"/>
      <c r="DA28" s="581"/>
      <c r="DB28" s="581"/>
      <c r="DC28" s="581"/>
      <c r="DD28" s="581"/>
      <c r="DE28" s="582"/>
      <c r="DF28" s="581"/>
      <c r="DG28" s="581"/>
      <c r="DH28" s="581"/>
      <c r="DI28" s="581"/>
      <c r="DJ28" s="581"/>
      <c r="DK28" s="581"/>
      <c r="DL28" s="581"/>
      <c r="DM28" s="581"/>
      <c r="DN28" s="582"/>
      <c r="DO28" s="581"/>
      <c r="DP28" s="581"/>
      <c r="DQ28" s="581"/>
      <c r="DR28" s="581"/>
      <c r="DS28" s="581"/>
      <c r="DT28" s="581"/>
      <c r="DU28" s="581"/>
      <c r="DV28" s="581"/>
      <c r="DW28" s="582"/>
      <c r="DX28" s="581"/>
      <c r="DY28" s="581"/>
      <c r="DZ28" s="581"/>
      <c r="EA28" s="581"/>
      <c r="EB28" s="581"/>
      <c r="EC28" s="581"/>
      <c r="ED28" s="581"/>
      <c r="EE28" s="581"/>
      <c r="EF28" s="582"/>
      <c r="EG28" s="581"/>
      <c r="EH28" s="581"/>
      <c r="EI28" s="581"/>
      <c r="EJ28" s="581"/>
      <c r="EK28" s="581"/>
      <c r="EL28" s="581"/>
      <c r="EM28" s="581"/>
      <c r="EN28" s="581"/>
      <c r="EO28" s="582"/>
      <c r="EP28" s="581"/>
      <c r="EQ28" s="581"/>
      <c r="ER28" s="581"/>
      <c r="ES28" s="581"/>
      <c r="ET28" s="581"/>
      <c r="EU28" s="581"/>
      <c r="EV28" s="581"/>
      <c r="EW28" s="581"/>
      <c r="EX28" s="582"/>
      <c r="EY28" s="581"/>
      <c r="EZ28" s="581"/>
      <c r="FA28" s="581"/>
      <c r="FB28" s="581"/>
      <c r="FC28" s="581"/>
      <c r="FD28" s="581"/>
      <c r="FE28" s="581"/>
      <c r="FF28" s="581"/>
      <c r="FG28" s="582"/>
      <c r="FH28" s="581"/>
      <c r="FI28" s="581"/>
      <c r="FJ28" s="581"/>
      <c r="FK28" s="581"/>
      <c r="FL28" s="581"/>
      <c r="FM28" s="581"/>
      <c r="FN28" s="581"/>
      <c r="FO28" s="581"/>
      <c r="FP28" s="582"/>
      <c r="FQ28" s="581"/>
      <c r="FR28" s="581"/>
      <c r="FS28" s="581"/>
      <c r="FT28" s="581"/>
      <c r="FU28" s="581"/>
      <c r="FV28" s="581"/>
      <c r="FW28" s="581"/>
      <c r="FX28" s="581"/>
      <c r="FY28" s="582"/>
      <c r="FZ28" s="581"/>
      <c r="GA28" s="581"/>
      <c r="GB28" s="581"/>
      <c r="GC28" s="581"/>
      <c r="GD28" s="581"/>
      <c r="GE28" s="581"/>
      <c r="GF28" s="581"/>
      <c r="GG28" s="581"/>
      <c r="GH28" s="582"/>
      <c r="GI28" s="581"/>
      <c r="GJ28" s="581"/>
      <c r="GK28" s="581"/>
      <c r="GL28" s="581"/>
      <c r="GM28" s="581"/>
      <c r="GN28" s="581"/>
      <c r="GO28" s="581"/>
      <c r="GP28" s="581"/>
      <c r="GQ28" s="582"/>
      <c r="GR28" s="581"/>
      <c r="GS28" s="581"/>
      <c r="GT28" s="581"/>
      <c r="GU28" s="581"/>
      <c r="GV28" s="581"/>
      <c r="GW28" s="581"/>
      <c r="GX28" s="581"/>
      <c r="GY28" s="581"/>
      <c r="GZ28" s="582"/>
      <c r="HA28" s="581"/>
      <c r="HB28" s="581"/>
      <c r="HC28" s="581"/>
      <c r="HD28" s="581"/>
      <c r="HE28" s="581"/>
      <c r="HF28" s="581"/>
      <c r="HG28" s="581"/>
      <c r="HH28" s="581"/>
      <c r="HI28" s="582"/>
      <c r="HJ28" s="581"/>
      <c r="HK28" s="581"/>
      <c r="HL28" s="581"/>
      <c r="HM28" s="581"/>
      <c r="HN28" s="581"/>
      <c r="HO28" s="581"/>
      <c r="HP28" s="581"/>
      <c r="HQ28" s="581"/>
      <c r="HR28" s="582"/>
      <c r="HS28" s="581"/>
      <c r="HT28" s="581"/>
      <c r="HU28" s="581"/>
      <c r="HV28" s="581"/>
      <c r="HW28" s="581"/>
      <c r="HX28" s="581"/>
      <c r="HY28" s="581"/>
      <c r="HZ28" s="581"/>
      <c r="IA28" s="582"/>
      <c r="IB28" s="581"/>
      <c r="IC28" s="581"/>
      <c r="ID28" s="581"/>
      <c r="IE28" s="581"/>
      <c r="IF28" s="581"/>
      <c r="IG28" s="581"/>
      <c r="IH28" s="581"/>
      <c r="II28" s="581"/>
      <c r="IJ28" s="582"/>
      <c r="IK28" s="581"/>
      <c r="IL28" s="581"/>
      <c r="IM28" s="581"/>
      <c r="IN28" s="581"/>
      <c r="IO28" s="581"/>
      <c r="IP28" s="581"/>
      <c r="IQ28" s="581"/>
      <c r="IR28" s="581"/>
      <c r="IS28" s="582"/>
      <c r="IT28" s="581"/>
      <c r="IU28" s="581"/>
      <c r="IV28" s="581"/>
      <c r="IW28" s="581"/>
      <c r="IX28" s="581"/>
      <c r="IY28" s="581"/>
      <c r="IZ28" s="581"/>
      <c r="JA28" s="581"/>
      <c r="JB28" s="582"/>
      <c r="JC28" s="581"/>
      <c r="JD28" s="581"/>
      <c r="JE28" s="581"/>
      <c r="JF28" s="581"/>
      <c r="JG28" s="581"/>
      <c r="JH28" s="581"/>
      <c r="JI28" s="581"/>
      <c r="JJ28" s="581"/>
      <c r="JK28" s="582"/>
      <c r="JL28" s="581"/>
      <c r="JM28" s="581"/>
      <c r="JN28" s="581"/>
      <c r="JO28" s="581"/>
      <c r="JP28" s="581"/>
      <c r="JQ28" s="581"/>
      <c r="JR28" s="581"/>
      <c r="JS28" s="581"/>
      <c r="JT28" s="582"/>
      <c r="JU28" s="581"/>
      <c r="JV28" s="581"/>
      <c r="JW28" s="581"/>
      <c r="JX28" s="581"/>
      <c r="JY28" s="581"/>
      <c r="JZ28" s="581"/>
      <c r="KA28" s="581"/>
      <c r="KB28" s="581"/>
      <c r="KC28" s="582"/>
      <c r="KD28" s="581"/>
      <c r="KE28" s="581"/>
      <c r="KF28" s="581"/>
      <c r="KG28" s="581"/>
      <c r="KH28" s="581"/>
      <c r="KI28" s="581"/>
      <c r="KJ28" s="581"/>
      <c r="KK28" s="581"/>
      <c r="KL28" s="582"/>
      <c r="KM28" s="581"/>
      <c r="KN28" s="581"/>
      <c r="KO28" s="581"/>
      <c r="KP28" s="581"/>
      <c r="KQ28" s="581"/>
      <c r="KR28" s="581"/>
      <c r="KS28" s="581"/>
      <c r="KT28" s="581"/>
      <c r="KU28" s="582"/>
      <c r="KV28" s="581"/>
      <c r="KW28" s="581"/>
      <c r="KX28" s="581"/>
      <c r="KY28" s="581"/>
      <c r="KZ28" s="581"/>
      <c r="LA28" s="581"/>
      <c r="LB28" s="581"/>
      <c r="LC28" s="581"/>
      <c r="LD28" s="582"/>
      <c r="LE28" s="581"/>
      <c r="LF28" s="581"/>
      <c r="LG28" s="581"/>
      <c r="LH28" s="581"/>
      <c r="LI28" s="581"/>
      <c r="LJ28" s="581"/>
      <c r="LK28" s="581"/>
      <c r="LL28" s="581"/>
      <c r="LM28" s="582"/>
      <c r="LN28" s="581"/>
      <c r="LO28" s="581"/>
      <c r="LP28" s="581"/>
      <c r="LQ28" s="581"/>
      <c r="LR28" s="581"/>
      <c r="LS28" s="581"/>
      <c r="LT28" s="581"/>
      <c r="LU28" s="581"/>
      <c r="LV28" s="582"/>
      <c r="LW28" s="581"/>
      <c r="LX28" s="581"/>
      <c r="LY28" s="581"/>
      <c r="LZ28" s="581"/>
      <c r="MA28" s="581"/>
      <c r="MB28" s="581"/>
      <c r="MC28" s="581"/>
      <c r="MD28" s="581"/>
      <c r="ME28" s="591"/>
    </row>
    <row r="29" customFormat="false" ht="9.75" hidden="false" customHeight="false" outlineLevel="0" collapsed="false">
      <c r="A29" s="571"/>
      <c r="B29" s="572"/>
      <c r="C29" s="573"/>
      <c r="D29" s="574"/>
      <c r="E29" s="574"/>
      <c r="F29" s="574"/>
      <c r="G29" s="574"/>
      <c r="H29" s="575"/>
      <c r="I29" s="576"/>
      <c r="J29" s="574"/>
      <c r="K29" s="577"/>
      <c r="L29" s="574"/>
      <c r="M29" s="574"/>
      <c r="N29" s="578" t="n">
        <f aca="false">IFERROR(M29/$M$6,0)</f>
        <v>0</v>
      </c>
      <c r="O29" s="574"/>
      <c r="P29" s="575"/>
      <c r="Q29" s="579"/>
      <c r="R29" s="577"/>
      <c r="S29" s="580"/>
      <c r="T29" s="581"/>
      <c r="U29" s="581"/>
      <c r="V29" s="581"/>
      <c r="W29" s="581"/>
      <c r="X29" s="581"/>
      <c r="Y29" s="581"/>
      <c r="Z29" s="581"/>
      <c r="AA29" s="581"/>
      <c r="AB29" s="582"/>
      <c r="AC29" s="581"/>
      <c r="AD29" s="581"/>
      <c r="AE29" s="581"/>
      <c r="AF29" s="581"/>
      <c r="AG29" s="581"/>
      <c r="AH29" s="581"/>
      <c r="AI29" s="581"/>
      <c r="AJ29" s="581"/>
      <c r="AK29" s="582"/>
      <c r="AL29" s="578"/>
      <c r="AM29" s="578"/>
      <c r="AN29" s="578"/>
      <c r="AO29" s="578"/>
      <c r="AP29" s="578"/>
      <c r="AQ29" s="578"/>
      <c r="AR29" s="578"/>
      <c r="AS29" s="578"/>
      <c r="AT29" s="583"/>
      <c r="AU29" s="584"/>
      <c r="AV29" s="584"/>
      <c r="AW29" s="584"/>
      <c r="AX29" s="584"/>
      <c r="AY29" s="584"/>
      <c r="AZ29" s="584"/>
      <c r="BA29" s="584"/>
      <c r="BB29" s="584"/>
      <c r="BC29" s="585"/>
      <c r="BD29" s="584"/>
      <c r="BE29" s="584"/>
      <c r="BF29" s="584"/>
      <c r="BG29" s="584"/>
      <c r="BH29" s="584"/>
      <c r="BI29" s="584"/>
      <c r="BJ29" s="584"/>
      <c r="BK29" s="584"/>
      <c r="BL29" s="585"/>
      <c r="BM29" s="581"/>
      <c r="BN29" s="581"/>
      <c r="BO29" s="581"/>
      <c r="BP29" s="581"/>
      <c r="BQ29" s="581"/>
      <c r="BR29" s="581"/>
      <c r="BS29" s="581"/>
      <c r="BT29" s="581"/>
      <c r="BU29" s="581"/>
      <c r="BV29" s="590"/>
      <c r="BW29" s="581"/>
      <c r="BX29" s="581"/>
      <c r="BY29" s="581"/>
      <c r="BZ29" s="581"/>
      <c r="CA29" s="581"/>
      <c r="CB29" s="581"/>
      <c r="CC29" s="581"/>
      <c r="CD29" s="582"/>
      <c r="CE29" s="581"/>
      <c r="CF29" s="581"/>
      <c r="CG29" s="581"/>
      <c r="CH29" s="581"/>
      <c r="CI29" s="581"/>
      <c r="CJ29" s="581"/>
      <c r="CK29" s="581"/>
      <c r="CL29" s="581"/>
      <c r="CM29" s="582"/>
      <c r="CN29" s="581"/>
      <c r="CO29" s="581"/>
      <c r="CP29" s="581"/>
      <c r="CQ29" s="581"/>
      <c r="CR29" s="581"/>
      <c r="CS29" s="581"/>
      <c r="CT29" s="581"/>
      <c r="CU29" s="581"/>
      <c r="CV29" s="582"/>
      <c r="CW29" s="581"/>
      <c r="CX29" s="581"/>
      <c r="CY29" s="581"/>
      <c r="CZ29" s="581"/>
      <c r="DA29" s="581"/>
      <c r="DB29" s="581"/>
      <c r="DC29" s="581"/>
      <c r="DD29" s="581"/>
      <c r="DE29" s="582"/>
      <c r="DF29" s="581"/>
      <c r="DG29" s="581"/>
      <c r="DH29" s="581"/>
      <c r="DI29" s="581"/>
      <c r="DJ29" s="581"/>
      <c r="DK29" s="581"/>
      <c r="DL29" s="581"/>
      <c r="DM29" s="581"/>
      <c r="DN29" s="582"/>
      <c r="DO29" s="581"/>
      <c r="DP29" s="581"/>
      <c r="DQ29" s="581"/>
      <c r="DR29" s="581"/>
      <c r="DS29" s="581"/>
      <c r="DT29" s="581"/>
      <c r="DU29" s="581"/>
      <c r="DV29" s="581"/>
      <c r="DW29" s="582"/>
      <c r="DX29" s="581"/>
      <c r="DY29" s="581"/>
      <c r="DZ29" s="581"/>
      <c r="EA29" s="581"/>
      <c r="EB29" s="581"/>
      <c r="EC29" s="581"/>
      <c r="ED29" s="581"/>
      <c r="EE29" s="581"/>
      <c r="EF29" s="582"/>
      <c r="EG29" s="581"/>
      <c r="EH29" s="581"/>
      <c r="EI29" s="581"/>
      <c r="EJ29" s="581"/>
      <c r="EK29" s="581"/>
      <c r="EL29" s="581"/>
      <c r="EM29" s="581"/>
      <c r="EN29" s="581"/>
      <c r="EO29" s="582"/>
      <c r="EP29" s="581"/>
      <c r="EQ29" s="581"/>
      <c r="ER29" s="581"/>
      <c r="ES29" s="581"/>
      <c r="ET29" s="581"/>
      <c r="EU29" s="581"/>
      <c r="EV29" s="581"/>
      <c r="EW29" s="581"/>
      <c r="EX29" s="582"/>
      <c r="EY29" s="581"/>
      <c r="EZ29" s="581"/>
      <c r="FA29" s="581"/>
      <c r="FB29" s="581"/>
      <c r="FC29" s="581"/>
      <c r="FD29" s="581"/>
      <c r="FE29" s="581"/>
      <c r="FF29" s="581"/>
      <c r="FG29" s="582"/>
      <c r="FH29" s="581"/>
      <c r="FI29" s="581"/>
      <c r="FJ29" s="581"/>
      <c r="FK29" s="581"/>
      <c r="FL29" s="581"/>
      <c r="FM29" s="581"/>
      <c r="FN29" s="581"/>
      <c r="FO29" s="581"/>
      <c r="FP29" s="582"/>
      <c r="FQ29" s="581"/>
      <c r="FR29" s="581"/>
      <c r="FS29" s="581"/>
      <c r="FT29" s="581"/>
      <c r="FU29" s="581"/>
      <c r="FV29" s="581"/>
      <c r="FW29" s="581"/>
      <c r="FX29" s="581"/>
      <c r="FY29" s="582"/>
      <c r="FZ29" s="581"/>
      <c r="GA29" s="581"/>
      <c r="GB29" s="581"/>
      <c r="GC29" s="581"/>
      <c r="GD29" s="581"/>
      <c r="GE29" s="581"/>
      <c r="GF29" s="581"/>
      <c r="GG29" s="581"/>
      <c r="GH29" s="582"/>
      <c r="GI29" s="581"/>
      <c r="GJ29" s="581"/>
      <c r="GK29" s="581"/>
      <c r="GL29" s="581"/>
      <c r="GM29" s="581"/>
      <c r="GN29" s="581"/>
      <c r="GO29" s="581"/>
      <c r="GP29" s="581"/>
      <c r="GQ29" s="582"/>
      <c r="GR29" s="581"/>
      <c r="GS29" s="581"/>
      <c r="GT29" s="581"/>
      <c r="GU29" s="581"/>
      <c r="GV29" s="581"/>
      <c r="GW29" s="581"/>
      <c r="GX29" s="581"/>
      <c r="GY29" s="581"/>
      <c r="GZ29" s="582"/>
      <c r="HA29" s="581"/>
      <c r="HB29" s="581"/>
      <c r="HC29" s="581"/>
      <c r="HD29" s="581"/>
      <c r="HE29" s="581"/>
      <c r="HF29" s="581"/>
      <c r="HG29" s="581"/>
      <c r="HH29" s="581"/>
      <c r="HI29" s="582"/>
      <c r="HJ29" s="581"/>
      <c r="HK29" s="581"/>
      <c r="HL29" s="581"/>
      <c r="HM29" s="581"/>
      <c r="HN29" s="581"/>
      <c r="HO29" s="581"/>
      <c r="HP29" s="581"/>
      <c r="HQ29" s="581"/>
      <c r="HR29" s="582"/>
      <c r="HS29" s="581"/>
      <c r="HT29" s="581"/>
      <c r="HU29" s="581"/>
      <c r="HV29" s="581"/>
      <c r="HW29" s="581"/>
      <c r="HX29" s="581"/>
      <c r="HY29" s="581"/>
      <c r="HZ29" s="581"/>
      <c r="IA29" s="582"/>
      <c r="IB29" s="581"/>
      <c r="IC29" s="581"/>
      <c r="ID29" s="581"/>
      <c r="IE29" s="581"/>
      <c r="IF29" s="581"/>
      <c r="IG29" s="581"/>
      <c r="IH29" s="581"/>
      <c r="II29" s="581"/>
      <c r="IJ29" s="582"/>
      <c r="IK29" s="581"/>
      <c r="IL29" s="581"/>
      <c r="IM29" s="581"/>
      <c r="IN29" s="581"/>
      <c r="IO29" s="581"/>
      <c r="IP29" s="581"/>
      <c r="IQ29" s="581"/>
      <c r="IR29" s="581"/>
      <c r="IS29" s="582"/>
      <c r="IT29" s="581"/>
      <c r="IU29" s="581"/>
      <c r="IV29" s="581"/>
      <c r="IW29" s="581"/>
      <c r="IX29" s="581"/>
      <c r="IY29" s="581"/>
      <c r="IZ29" s="581"/>
      <c r="JA29" s="581"/>
      <c r="JB29" s="582"/>
      <c r="JC29" s="581"/>
      <c r="JD29" s="581"/>
      <c r="JE29" s="581"/>
      <c r="JF29" s="581"/>
      <c r="JG29" s="581"/>
      <c r="JH29" s="581"/>
      <c r="JI29" s="581"/>
      <c r="JJ29" s="581"/>
      <c r="JK29" s="582"/>
      <c r="JL29" s="581"/>
      <c r="JM29" s="581"/>
      <c r="JN29" s="581"/>
      <c r="JO29" s="581"/>
      <c r="JP29" s="581"/>
      <c r="JQ29" s="581"/>
      <c r="JR29" s="581"/>
      <c r="JS29" s="581"/>
      <c r="JT29" s="582"/>
      <c r="JU29" s="581"/>
      <c r="JV29" s="581"/>
      <c r="JW29" s="581"/>
      <c r="JX29" s="581"/>
      <c r="JY29" s="581"/>
      <c r="JZ29" s="581"/>
      <c r="KA29" s="581"/>
      <c r="KB29" s="581"/>
      <c r="KC29" s="582"/>
      <c r="KD29" s="581"/>
      <c r="KE29" s="581"/>
      <c r="KF29" s="581"/>
      <c r="KG29" s="581"/>
      <c r="KH29" s="581"/>
      <c r="KI29" s="581"/>
      <c r="KJ29" s="581"/>
      <c r="KK29" s="581"/>
      <c r="KL29" s="582"/>
      <c r="KM29" s="581"/>
      <c r="KN29" s="581"/>
      <c r="KO29" s="581"/>
      <c r="KP29" s="581"/>
      <c r="KQ29" s="581"/>
      <c r="KR29" s="581"/>
      <c r="KS29" s="581"/>
      <c r="KT29" s="581"/>
      <c r="KU29" s="582"/>
      <c r="KV29" s="581"/>
      <c r="KW29" s="581"/>
      <c r="KX29" s="581"/>
      <c r="KY29" s="581"/>
      <c r="KZ29" s="581"/>
      <c r="LA29" s="581"/>
      <c r="LB29" s="581"/>
      <c r="LC29" s="581"/>
      <c r="LD29" s="582"/>
      <c r="LE29" s="581"/>
      <c r="LF29" s="581"/>
      <c r="LG29" s="581"/>
      <c r="LH29" s="581"/>
      <c r="LI29" s="581"/>
      <c r="LJ29" s="581"/>
      <c r="LK29" s="581"/>
      <c r="LL29" s="581"/>
      <c r="LM29" s="582"/>
      <c r="LN29" s="581"/>
      <c r="LO29" s="581"/>
      <c r="LP29" s="581"/>
      <c r="LQ29" s="581"/>
      <c r="LR29" s="581"/>
      <c r="LS29" s="581"/>
      <c r="LT29" s="581"/>
      <c r="LU29" s="581"/>
      <c r="LV29" s="582"/>
      <c r="LW29" s="581"/>
      <c r="LX29" s="581"/>
      <c r="LY29" s="581"/>
      <c r="LZ29" s="581"/>
      <c r="MA29" s="581"/>
      <c r="MB29" s="581"/>
      <c r="MC29" s="581"/>
      <c r="MD29" s="581"/>
      <c r="ME29" s="591"/>
    </row>
    <row r="30" customFormat="false" ht="9.75" hidden="false" customHeight="false" outlineLevel="0" collapsed="false">
      <c r="A30" s="571"/>
      <c r="B30" s="572"/>
      <c r="C30" s="573"/>
      <c r="D30" s="574"/>
      <c r="E30" s="574"/>
      <c r="F30" s="574"/>
      <c r="G30" s="574"/>
      <c r="H30" s="575"/>
      <c r="I30" s="576"/>
      <c r="J30" s="574"/>
      <c r="K30" s="577"/>
      <c r="L30" s="574"/>
      <c r="M30" s="574"/>
      <c r="N30" s="578" t="n">
        <f aca="false">IFERROR(M30/$M$6,0)</f>
        <v>0</v>
      </c>
      <c r="O30" s="574"/>
      <c r="P30" s="575"/>
      <c r="Q30" s="579"/>
      <c r="R30" s="577"/>
      <c r="S30" s="580"/>
      <c r="T30" s="581"/>
      <c r="U30" s="581"/>
      <c r="V30" s="581"/>
      <c r="W30" s="581"/>
      <c r="X30" s="581"/>
      <c r="Y30" s="581"/>
      <c r="Z30" s="581"/>
      <c r="AA30" s="581"/>
      <c r="AB30" s="582"/>
      <c r="AC30" s="581"/>
      <c r="AD30" s="581"/>
      <c r="AE30" s="581"/>
      <c r="AF30" s="581"/>
      <c r="AG30" s="581"/>
      <c r="AH30" s="581"/>
      <c r="AI30" s="581"/>
      <c r="AJ30" s="581"/>
      <c r="AK30" s="582"/>
      <c r="AL30" s="578"/>
      <c r="AM30" s="578"/>
      <c r="AN30" s="578"/>
      <c r="AO30" s="578"/>
      <c r="AP30" s="578"/>
      <c r="AQ30" s="578"/>
      <c r="AR30" s="578"/>
      <c r="AS30" s="578"/>
      <c r="AT30" s="583"/>
      <c r="AU30" s="584"/>
      <c r="AV30" s="584"/>
      <c r="AW30" s="584"/>
      <c r="AX30" s="584"/>
      <c r="AY30" s="584"/>
      <c r="AZ30" s="584"/>
      <c r="BA30" s="584"/>
      <c r="BB30" s="584"/>
      <c r="BC30" s="585"/>
      <c r="BD30" s="584"/>
      <c r="BE30" s="584"/>
      <c r="BF30" s="584"/>
      <c r="BG30" s="584"/>
      <c r="BH30" s="584"/>
      <c r="BI30" s="584"/>
      <c r="BJ30" s="584"/>
      <c r="BK30" s="584"/>
      <c r="BL30" s="585"/>
      <c r="BM30" s="581"/>
      <c r="BN30" s="581"/>
      <c r="BO30" s="581"/>
      <c r="BP30" s="581"/>
      <c r="BQ30" s="581"/>
      <c r="BR30" s="581"/>
      <c r="BS30" s="581"/>
      <c r="BT30" s="581"/>
      <c r="BU30" s="581"/>
      <c r="BV30" s="590"/>
      <c r="BW30" s="581"/>
      <c r="BX30" s="581"/>
      <c r="BY30" s="581"/>
      <c r="BZ30" s="581"/>
      <c r="CA30" s="581"/>
      <c r="CB30" s="581"/>
      <c r="CC30" s="581"/>
      <c r="CD30" s="582"/>
      <c r="CE30" s="581"/>
      <c r="CF30" s="581"/>
      <c r="CG30" s="581"/>
      <c r="CH30" s="581"/>
      <c r="CI30" s="581"/>
      <c r="CJ30" s="581"/>
      <c r="CK30" s="581"/>
      <c r="CL30" s="581"/>
      <c r="CM30" s="582"/>
      <c r="CN30" s="581"/>
      <c r="CO30" s="581"/>
      <c r="CP30" s="581"/>
      <c r="CQ30" s="581"/>
      <c r="CR30" s="581"/>
      <c r="CS30" s="581"/>
      <c r="CT30" s="581"/>
      <c r="CU30" s="581"/>
      <c r="CV30" s="582"/>
      <c r="CW30" s="581"/>
      <c r="CX30" s="581"/>
      <c r="CY30" s="581"/>
      <c r="CZ30" s="581"/>
      <c r="DA30" s="581"/>
      <c r="DB30" s="581"/>
      <c r="DC30" s="581"/>
      <c r="DD30" s="581"/>
      <c r="DE30" s="582"/>
      <c r="DF30" s="581"/>
      <c r="DG30" s="581"/>
      <c r="DH30" s="581"/>
      <c r="DI30" s="581"/>
      <c r="DJ30" s="581"/>
      <c r="DK30" s="581"/>
      <c r="DL30" s="581"/>
      <c r="DM30" s="581"/>
      <c r="DN30" s="582"/>
      <c r="DO30" s="581"/>
      <c r="DP30" s="581"/>
      <c r="DQ30" s="581"/>
      <c r="DR30" s="581"/>
      <c r="DS30" s="581"/>
      <c r="DT30" s="581"/>
      <c r="DU30" s="581"/>
      <c r="DV30" s="581"/>
      <c r="DW30" s="582"/>
      <c r="DX30" s="581"/>
      <c r="DY30" s="581"/>
      <c r="DZ30" s="581"/>
      <c r="EA30" s="581"/>
      <c r="EB30" s="581"/>
      <c r="EC30" s="581"/>
      <c r="ED30" s="581"/>
      <c r="EE30" s="581"/>
      <c r="EF30" s="582"/>
      <c r="EG30" s="581"/>
      <c r="EH30" s="581"/>
      <c r="EI30" s="581"/>
      <c r="EJ30" s="581"/>
      <c r="EK30" s="581"/>
      <c r="EL30" s="581"/>
      <c r="EM30" s="581"/>
      <c r="EN30" s="581"/>
      <c r="EO30" s="582"/>
      <c r="EP30" s="581"/>
      <c r="EQ30" s="581"/>
      <c r="ER30" s="581"/>
      <c r="ES30" s="581"/>
      <c r="ET30" s="581"/>
      <c r="EU30" s="581"/>
      <c r="EV30" s="581"/>
      <c r="EW30" s="581"/>
      <c r="EX30" s="582"/>
      <c r="EY30" s="581"/>
      <c r="EZ30" s="581"/>
      <c r="FA30" s="581"/>
      <c r="FB30" s="581"/>
      <c r="FC30" s="581"/>
      <c r="FD30" s="581"/>
      <c r="FE30" s="581"/>
      <c r="FF30" s="581"/>
      <c r="FG30" s="582"/>
      <c r="FH30" s="581"/>
      <c r="FI30" s="581"/>
      <c r="FJ30" s="581"/>
      <c r="FK30" s="581"/>
      <c r="FL30" s="581"/>
      <c r="FM30" s="581"/>
      <c r="FN30" s="581"/>
      <c r="FO30" s="581"/>
      <c r="FP30" s="582"/>
      <c r="FQ30" s="581"/>
      <c r="FR30" s="581"/>
      <c r="FS30" s="581"/>
      <c r="FT30" s="581"/>
      <c r="FU30" s="581"/>
      <c r="FV30" s="581"/>
      <c r="FW30" s="581"/>
      <c r="FX30" s="581"/>
      <c r="FY30" s="582"/>
      <c r="FZ30" s="581"/>
      <c r="GA30" s="581"/>
      <c r="GB30" s="581"/>
      <c r="GC30" s="581"/>
      <c r="GD30" s="581"/>
      <c r="GE30" s="581"/>
      <c r="GF30" s="581"/>
      <c r="GG30" s="581"/>
      <c r="GH30" s="582"/>
      <c r="GI30" s="581"/>
      <c r="GJ30" s="581"/>
      <c r="GK30" s="581"/>
      <c r="GL30" s="581"/>
      <c r="GM30" s="581"/>
      <c r="GN30" s="581"/>
      <c r="GO30" s="581"/>
      <c r="GP30" s="581"/>
      <c r="GQ30" s="582"/>
      <c r="GR30" s="581"/>
      <c r="GS30" s="581"/>
      <c r="GT30" s="581"/>
      <c r="GU30" s="581"/>
      <c r="GV30" s="581"/>
      <c r="GW30" s="581"/>
      <c r="GX30" s="581"/>
      <c r="GY30" s="581"/>
      <c r="GZ30" s="582"/>
      <c r="HA30" s="581"/>
      <c r="HB30" s="581"/>
      <c r="HC30" s="581"/>
      <c r="HD30" s="581"/>
      <c r="HE30" s="581"/>
      <c r="HF30" s="581"/>
      <c r="HG30" s="581"/>
      <c r="HH30" s="581"/>
      <c r="HI30" s="582"/>
      <c r="HJ30" s="581"/>
      <c r="HK30" s="581"/>
      <c r="HL30" s="581"/>
      <c r="HM30" s="581"/>
      <c r="HN30" s="581"/>
      <c r="HO30" s="581"/>
      <c r="HP30" s="581"/>
      <c r="HQ30" s="581"/>
      <c r="HR30" s="582"/>
      <c r="HS30" s="581"/>
      <c r="HT30" s="581"/>
      <c r="HU30" s="581"/>
      <c r="HV30" s="581"/>
      <c r="HW30" s="581"/>
      <c r="HX30" s="581"/>
      <c r="HY30" s="581"/>
      <c r="HZ30" s="581"/>
      <c r="IA30" s="582"/>
      <c r="IB30" s="581"/>
      <c r="IC30" s="581"/>
      <c r="ID30" s="581"/>
      <c r="IE30" s="581"/>
      <c r="IF30" s="581"/>
      <c r="IG30" s="581"/>
      <c r="IH30" s="581"/>
      <c r="II30" s="581"/>
      <c r="IJ30" s="582"/>
      <c r="IK30" s="581"/>
      <c r="IL30" s="581"/>
      <c r="IM30" s="581"/>
      <c r="IN30" s="581"/>
      <c r="IO30" s="581"/>
      <c r="IP30" s="581"/>
      <c r="IQ30" s="581"/>
      <c r="IR30" s="581"/>
      <c r="IS30" s="582"/>
      <c r="IT30" s="581"/>
      <c r="IU30" s="581"/>
      <c r="IV30" s="581"/>
      <c r="IW30" s="581"/>
      <c r="IX30" s="581"/>
      <c r="IY30" s="581"/>
      <c r="IZ30" s="581"/>
      <c r="JA30" s="581"/>
      <c r="JB30" s="582"/>
      <c r="JC30" s="581"/>
      <c r="JD30" s="581"/>
      <c r="JE30" s="581"/>
      <c r="JF30" s="581"/>
      <c r="JG30" s="581"/>
      <c r="JH30" s="581"/>
      <c r="JI30" s="581"/>
      <c r="JJ30" s="581"/>
      <c r="JK30" s="582"/>
      <c r="JL30" s="581"/>
      <c r="JM30" s="581"/>
      <c r="JN30" s="581"/>
      <c r="JO30" s="581"/>
      <c r="JP30" s="581"/>
      <c r="JQ30" s="581"/>
      <c r="JR30" s="581"/>
      <c r="JS30" s="581"/>
      <c r="JT30" s="582"/>
      <c r="JU30" s="581"/>
      <c r="JV30" s="581"/>
      <c r="JW30" s="581"/>
      <c r="JX30" s="581"/>
      <c r="JY30" s="581"/>
      <c r="JZ30" s="581"/>
      <c r="KA30" s="581"/>
      <c r="KB30" s="581"/>
      <c r="KC30" s="582"/>
      <c r="KD30" s="581"/>
      <c r="KE30" s="581"/>
      <c r="KF30" s="581"/>
      <c r="KG30" s="581"/>
      <c r="KH30" s="581"/>
      <c r="KI30" s="581"/>
      <c r="KJ30" s="581"/>
      <c r="KK30" s="581"/>
      <c r="KL30" s="582"/>
      <c r="KM30" s="581"/>
      <c r="KN30" s="581"/>
      <c r="KO30" s="581"/>
      <c r="KP30" s="581"/>
      <c r="KQ30" s="581"/>
      <c r="KR30" s="581"/>
      <c r="KS30" s="581"/>
      <c r="KT30" s="581"/>
      <c r="KU30" s="582"/>
      <c r="KV30" s="581"/>
      <c r="KW30" s="581"/>
      <c r="KX30" s="581"/>
      <c r="KY30" s="581"/>
      <c r="KZ30" s="581"/>
      <c r="LA30" s="581"/>
      <c r="LB30" s="581"/>
      <c r="LC30" s="581"/>
      <c r="LD30" s="582"/>
      <c r="LE30" s="581"/>
      <c r="LF30" s="581"/>
      <c r="LG30" s="581"/>
      <c r="LH30" s="581"/>
      <c r="LI30" s="581"/>
      <c r="LJ30" s="581"/>
      <c r="LK30" s="581"/>
      <c r="LL30" s="581"/>
      <c r="LM30" s="582"/>
      <c r="LN30" s="581"/>
      <c r="LO30" s="581"/>
      <c r="LP30" s="581"/>
      <c r="LQ30" s="581"/>
      <c r="LR30" s="581"/>
      <c r="LS30" s="581"/>
      <c r="LT30" s="581"/>
      <c r="LU30" s="581"/>
      <c r="LV30" s="582"/>
      <c r="LW30" s="581"/>
      <c r="LX30" s="581"/>
      <c r="LY30" s="581"/>
      <c r="LZ30" s="581"/>
      <c r="MA30" s="581"/>
      <c r="MB30" s="581"/>
      <c r="MC30" s="581"/>
      <c r="MD30" s="581"/>
      <c r="ME30" s="591"/>
    </row>
    <row r="31" customFormat="false" ht="9.75" hidden="false" customHeight="false" outlineLevel="0" collapsed="false">
      <c r="A31" s="571"/>
      <c r="B31" s="572"/>
      <c r="C31" s="573"/>
      <c r="D31" s="574"/>
      <c r="E31" s="574"/>
      <c r="F31" s="574"/>
      <c r="G31" s="574"/>
      <c r="H31" s="575"/>
      <c r="I31" s="576"/>
      <c r="J31" s="574"/>
      <c r="K31" s="577"/>
      <c r="L31" s="574"/>
      <c r="M31" s="574"/>
      <c r="N31" s="578" t="n">
        <f aca="false">IFERROR(M31/$M$6,0)</f>
        <v>0</v>
      </c>
      <c r="O31" s="574"/>
      <c r="P31" s="575"/>
      <c r="Q31" s="579"/>
      <c r="R31" s="577"/>
      <c r="S31" s="580"/>
      <c r="T31" s="581"/>
      <c r="U31" s="581"/>
      <c r="V31" s="581"/>
      <c r="W31" s="581"/>
      <c r="X31" s="581"/>
      <c r="Y31" s="581"/>
      <c r="Z31" s="581"/>
      <c r="AA31" s="581"/>
      <c r="AB31" s="582"/>
      <c r="AC31" s="581"/>
      <c r="AD31" s="581"/>
      <c r="AE31" s="581"/>
      <c r="AF31" s="581"/>
      <c r="AG31" s="581"/>
      <c r="AH31" s="581"/>
      <c r="AI31" s="581"/>
      <c r="AJ31" s="581"/>
      <c r="AK31" s="582"/>
      <c r="AL31" s="578"/>
      <c r="AM31" s="578"/>
      <c r="AN31" s="578"/>
      <c r="AO31" s="578"/>
      <c r="AP31" s="578"/>
      <c r="AQ31" s="578"/>
      <c r="AR31" s="578"/>
      <c r="AS31" s="578"/>
      <c r="AT31" s="583"/>
      <c r="AU31" s="584"/>
      <c r="AV31" s="584"/>
      <c r="AW31" s="584"/>
      <c r="AX31" s="584"/>
      <c r="AY31" s="584"/>
      <c r="AZ31" s="584"/>
      <c r="BA31" s="584"/>
      <c r="BB31" s="584"/>
      <c r="BC31" s="585"/>
      <c r="BD31" s="584"/>
      <c r="BE31" s="584"/>
      <c r="BF31" s="584"/>
      <c r="BG31" s="584"/>
      <c r="BH31" s="584"/>
      <c r="BI31" s="584"/>
      <c r="BJ31" s="584"/>
      <c r="BK31" s="584"/>
      <c r="BL31" s="585"/>
      <c r="BM31" s="581"/>
      <c r="BN31" s="581"/>
      <c r="BO31" s="581"/>
      <c r="BP31" s="581"/>
      <c r="BQ31" s="581"/>
      <c r="BR31" s="581"/>
      <c r="BS31" s="581"/>
      <c r="BT31" s="581"/>
      <c r="BU31" s="581"/>
      <c r="BV31" s="590"/>
      <c r="BW31" s="581"/>
      <c r="BX31" s="581"/>
      <c r="BY31" s="581"/>
      <c r="BZ31" s="581"/>
      <c r="CA31" s="581"/>
      <c r="CB31" s="581"/>
      <c r="CC31" s="581"/>
      <c r="CD31" s="582"/>
      <c r="CE31" s="581"/>
      <c r="CF31" s="581"/>
      <c r="CG31" s="581"/>
      <c r="CH31" s="581"/>
      <c r="CI31" s="581"/>
      <c r="CJ31" s="581"/>
      <c r="CK31" s="581"/>
      <c r="CL31" s="581"/>
      <c r="CM31" s="582"/>
      <c r="CN31" s="581"/>
      <c r="CO31" s="581"/>
      <c r="CP31" s="581"/>
      <c r="CQ31" s="581"/>
      <c r="CR31" s="581"/>
      <c r="CS31" s="581"/>
      <c r="CT31" s="581"/>
      <c r="CU31" s="581"/>
      <c r="CV31" s="582"/>
      <c r="CW31" s="581"/>
      <c r="CX31" s="581"/>
      <c r="CY31" s="581"/>
      <c r="CZ31" s="581"/>
      <c r="DA31" s="581"/>
      <c r="DB31" s="581"/>
      <c r="DC31" s="581"/>
      <c r="DD31" s="581"/>
      <c r="DE31" s="582"/>
      <c r="DF31" s="581"/>
      <c r="DG31" s="581"/>
      <c r="DH31" s="581"/>
      <c r="DI31" s="581"/>
      <c r="DJ31" s="581"/>
      <c r="DK31" s="581"/>
      <c r="DL31" s="581"/>
      <c r="DM31" s="581"/>
      <c r="DN31" s="582"/>
      <c r="DO31" s="581"/>
      <c r="DP31" s="581"/>
      <c r="DQ31" s="581"/>
      <c r="DR31" s="581"/>
      <c r="DS31" s="581"/>
      <c r="DT31" s="581"/>
      <c r="DU31" s="581"/>
      <c r="DV31" s="581"/>
      <c r="DW31" s="582"/>
      <c r="DX31" s="581"/>
      <c r="DY31" s="581"/>
      <c r="DZ31" s="581"/>
      <c r="EA31" s="581"/>
      <c r="EB31" s="581"/>
      <c r="EC31" s="581"/>
      <c r="ED31" s="581"/>
      <c r="EE31" s="581"/>
      <c r="EF31" s="582"/>
      <c r="EG31" s="581"/>
      <c r="EH31" s="581"/>
      <c r="EI31" s="581"/>
      <c r="EJ31" s="581"/>
      <c r="EK31" s="581"/>
      <c r="EL31" s="581"/>
      <c r="EM31" s="581"/>
      <c r="EN31" s="581"/>
      <c r="EO31" s="582"/>
      <c r="EP31" s="581"/>
      <c r="EQ31" s="581"/>
      <c r="ER31" s="581"/>
      <c r="ES31" s="581"/>
      <c r="ET31" s="581"/>
      <c r="EU31" s="581"/>
      <c r="EV31" s="581"/>
      <c r="EW31" s="581"/>
      <c r="EX31" s="582"/>
      <c r="EY31" s="581"/>
      <c r="EZ31" s="581"/>
      <c r="FA31" s="581"/>
      <c r="FB31" s="581"/>
      <c r="FC31" s="581"/>
      <c r="FD31" s="581"/>
      <c r="FE31" s="581"/>
      <c r="FF31" s="581"/>
      <c r="FG31" s="582"/>
      <c r="FH31" s="581"/>
      <c r="FI31" s="581"/>
      <c r="FJ31" s="581"/>
      <c r="FK31" s="581"/>
      <c r="FL31" s="581"/>
      <c r="FM31" s="581"/>
      <c r="FN31" s="581"/>
      <c r="FO31" s="581"/>
      <c r="FP31" s="582"/>
      <c r="FQ31" s="581"/>
      <c r="FR31" s="581"/>
      <c r="FS31" s="581"/>
      <c r="FT31" s="581"/>
      <c r="FU31" s="581"/>
      <c r="FV31" s="581"/>
      <c r="FW31" s="581"/>
      <c r="FX31" s="581"/>
      <c r="FY31" s="582"/>
      <c r="FZ31" s="581"/>
      <c r="GA31" s="581"/>
      <c r="GB31" s="581"/>
      <c r="GC31" s="581"/>
      <c r="GD31" s="581"/>
      <c r="GE31" s="581"/>
      <c r="GF31" s="581"/>
      <c r="GG31" s="581"/>
      <c r="GH31" s="582"/>
      <c r="GI31" s="581"/>
      <c r="GJ31" s="581"/>
      <c r="GK31" s="581"/>
      <c r="GL31" s="581"/>
      <c r="GM31" s="581"/>
      <c r="GN31" s="581"/>
      <c r="GO31" s="581"/>
      <c r="GP31" s="581"/>
      <c r="GQ31" s="582"/>
      <c r="GR31" s="581"/>
      <c r="GS31" s="581"/>
      <c r="GT31" s="581"/>
      <c r="GU31" s="581"/>
      <c r="GV31" s="581"/>
      <c r="GW31" s="581"/>
      <c r="GX31" s="581"/>
      <c r="GY31" s="581"/>
      <c r="GZ31" s="582"/>
      <c r="HA31" s="581"/>
      <c r="HB31" s="581"/>
      <c r="HC31" s="581"/>
      <c r="HD31" s="581"/>
      <c r="HE31" s="581"/>
      <c r="HF31" s="581"/>
      <c r="HG31" s="581"/>
      <c r="HH31" s="581"/>
      <c r="HI31" s="582"/>
      <c r="HJ31" s="581"/>
      <c r="HK31" s="581"/>
      <c r="HL31" s="581"/>
      <c r="HM31" s="581"/>
      <c r="HN31" s="581"/>
      <c r="HO31" s="581"/>
      <c r="HP31" s="581"/>
      <c r="HQ31" s="581"/>
      <c r="HR31" s="582"/>
      <c r="HS31" s="581"/>
      <c r="HT31" s="581"/>
      <c r="HU31" s="581"/>
      <c r="HV31" s="581"/>
      <c r="HW31" s="581"/>
      <c r="HX31" s="581"/>
      <c r="HY31" s="581"/>
      <c r="HZ31" s="581"/>
      <c r="IA31" s="582"/>
      <c r="IB31" s="581"/>
      <c r="IC31" s="581"/>
      <c r="ID31" s="581"/>
      <c r="IE31" s="581"/>
      <c r="IF31" s="581"/>
      <c r="IG31" s="581"/>
      <c r="IH31" s="581"/>
      <c r="II31" s="581"/>
      <c r="IJ31" s="582"/>
      <c r="IK31" s="581"/>
      <c r="IL31" s="581"/>
      <c r="IM31" s="581"/>
      <c r="IN31" s="581"/>
      <c r="IO31" s="581"/>
      <c r="IP31" s="581"/>
      <c r="IQ31" s="581"/>
      <c r="IR31" s="581"/>
      <c r="IS31" s="582"/>
      <c r="IT31" s="581"/>
      <c r="IU31" s="581"/>
      <c r="IV31" s="581"/>
      <c r="IW31" s="581"/>
      <c r="IX31" s="581"/>
      <c r="IY31" s="581"/>
      <c r="IZ31" s="581"/>
      <c r="JA31" s="581"/>
      <c r="JB31" s="582"/>
      <c r="JC31" s="581"/>
      <c r="JD31" s="581"/>
      <c r="JE31" s="581"/>
      <c r="JF31" s="581"/>
      <c r="JG31" s="581"/>
      <c r="JH31" s="581"/>
      <c r="JI31" s="581"/>
      <c r="JJ31" s="581"/>
      <c r="JK31" s="582"/>
      <c r="JL31" s="581"/>
      <c r="JM31" s="581"/>
      <c r="JN31" s="581"/>
      <c r="JO31" s="581"/>
      <c r="JP31" s="581"/>
      <c r="JQ31" s="581"/>
      <c r="JR31" s="581"/>
      <c r="JS31" s="581"/>
      <c r="JT31" s="582"/>
      <c r="JU31" s="581"/>
      <c r="JV31" s="581"/>
      <c r="JW31" s="581"/>
      <c r="JX31" s="581"/>
      <c r="JY31" s="581"/>
      <c r="JZ31" s="581"/>
      <c r="KA31" s="581"/>
      <c r="KB31" s="581"/>
      <c r="KC31" s="582"/>
      <c r="KD31" s="581"/>
      <c r="KE31" s="581"/>
      <c r="KF31" s="581"/>
      <c r="KG31" s="581"/>
      <c r="KH31" s="581"/>
      <c r="KI31" s="581"/>
      <c r="KJ31" s="581"/>
      <c r="KK31" s="581"/>
      <c r="KL31" s="582"/>
      <c r="KM31" s="581"/>
      <c r="KN31" s="581"/>
      <c r="KO31" s="581"/>
      <c r="KP31" s="581"/>
      <c r="KQ31" s="581"/>
      <c r="KR31" s="581"/>
      <c r="KS31" s="581"/>
      <c r="KT31" s="581"/>
      <c r="KU31" s="582"/>
      <c r="KV31" s="581"/>
      <c r="KW31" s="581"/>
      <c r="KX31" s="581"/>
      <c r="KY31" s="581"/>
      <c r="KZ31" s="581"/>
      <c r="LA31" s="581"/>
      <c r="LB31" s="581"/>
      <c r="LC31" s="581"/>
      <c r="LD31" s="582"/>
      <c r="LE31" s="581"/>
      <c r="LF31" s="581"/>
      <c r="LG31" s="581"/>
      <c r="LH31" s="581"/>
      <c r="LI31" s="581"/>
      <c r="LJ31" s="581"/>
      <c r="LK31" s="581"/>
      <c r="LL31" s="581"/>
      <c r="LM31" s="582"/>
      <c r="LN31" s="581"/>
      <c r="LO31" s="581"/>
      <c r="LP31" s="581"/>
      <c r="LQ31" s="581"/>
      <c r="LR31" s="581"/>
      <c r="LS31" s="581"/>
      <c r="LT31" s="581"/>
      <c r="LU31" s="581"/>
      <c r="LV31" s="582"/>
      <c r="LW31" s="581"/>
      <c r="LX31" s="581"/>
      <c r="LY31" s="581"/>
      <c r="LZ31" s="581"/>
      <c r="MA31" s="581"/>
      <c r="MB31" s="581"/>
      <c r="MC31" s="581"/>
      <c r="MD31" s="581"/>
      <c r="ME31" s="591"/>
    </row>
    <row r="32" customFormat="false" ht="9.75" hidden="false" customHeight="false" outlineLevel="0" collapsed="false">
      <c r="A32" s="571"/>
      <c r="B32" s="572"/>
      <c r="C32" s="573"/>
      <c r="D32" s="574"/>
      <c r="E32" s="574"/>
      <c r="F32" s="574"/>
      <c r="G32" s="574"/>
      <c r="H32" s="575"/>
      <c r="I32" s="576"/>
      <c r="J32" s="574"/>
      <c r="K32" s="577"/>
      <c r="L32" s="574"/>
      <c r="M32" s="574"/>
      <c r="N32" s="578" t="n">
        <f aca="false">IFERROR(M32/$M$6,0)</f>
        <v>0</v>
      </c>
      <c r="O32" s="574"/>
      <c r="P32" s="575"/>
      <c r="Q32" s="579"/>
      <c r="R32" s="577"/>
      <c r="S32" s="580"/>
      <c r="T32" s="581"/>
      <c r="U32" s="581"/>
      <c r="V32" s="581"/>
      <c r="W32" s="581"/>
      <c r="X32" s="581"/>
      <c r="Y32" s="581"/>
      <c r="Z32" s="581"/>
      <c r="AA32" s="581"/>
      <c r="AB32" s="582"/>
      <c r="AC32" s="581"/>
      <c r="AD32" s="581"/>
      <c r="AE32" s="581"/>
      <c r="AF32" s="581"/>
      <c r="AG32" s="581"/>
      <c r="AH32" s="581"/>
      <c r="AI32" s="581"/>
      <c r="AJ32" s="581"/>
      <c r="AK32" s="582"/>
      <c r="AL32" s="578"/>
      <c r="AM32" s="578"/>
      <c r="AN32" s="578"/>
      <c r="AO32" s="578"/>
      <c r="AP32" s="578"/>
      <c r="AQ32" s="578"/>
      <c r="AR32" s="578"/>
      <c r="AS32" s="578"/>
      <c r="AT32" s="583"/>
      <c r="AU32" s="584"/>
      <c r="AV32" s="584"/>
      <c r="AW32" s="584"/>
      <c r="AX32" s="584"/>
      <c r="AY32" s="584"/>
      <c r="AZ32" s="584"/>
      <c r="BA32" s="584"/>
      <c r="BB32" s="584"/>
      <c r="BC32" s="585"/>
      <c r="BD32" s="584"/>
      <c r="BE32" s="584"/>
      <c r="BF32" s="584"/>
      <c r="BG32" s="584"/>
      <c r="BH32" s="584"/>
      <c r="BI32" s="584"/>
      <c r="BJ32" s="584"/>
      <c r="BK32" s="584"/>
      <c r="BL32" s="585"/>
      <c r="BM32" s="581"/>
      <c r="BN32" s="581"/>
      <c r="BO32" s="581"/>
      <c r="BP32" s="581"/>
      <c r="BQ32" s="581"/>
      <c r="BR32" s="581"/>
      <c r="BS32" s="581"/>
      <c r="BT32" s="581"/>
      <c r="BU32" s="581"/>
      <c r="BV32" s="590"/>
      <c r="BW32" s="581"/>
      <c r="BX32" s="581"/>
      <c r="BY32" s="581"/>
      <c r="BZ32" s="581"/>
      <c r="CA32" s="581"/>
      <c r="CB32" s="581"/>
      <c r="CC32" s="581"/>
      <c r="CD32" s="582"/>
      <c r="CE32" s="581"/>
      <c r="CF32" s="581"/>
      <c r="CG32" s="581"/>
      <c r="CH32" s="581"/>
      <c r="CI32" s="581"/>
      <c r="CJ32" s="581"/>
      <c r="CK32" s="581"/>
      <c r="CL32" s="581"/>
      <c r="CM32" s="582"/>
      <c r="CN32" s="581"/>
      <c r="CO32" s="581"/>
      <c r="CP32" s="581"/>
      <c r="CQ32" s="581"/>
      <c r="CR32" s="581"/>
      <c r="CS32" s="581"/>
      <c r="CT32" s="581"/>
      <c r="CU32" s="581"/>
      <c r="CV32" s="582"/>
      <c r="CW32" s="581"/>
      <c r="CX32" s="581"/>
      <c r="CY32" s="581"/>
      <c r="CZ32" s="581"/>
      <c r="DA32" s="581"/>
      <c r="DB32" s="581"/>
      <c r="DC32" s="581"/>
      <c r="DD32" s="581"/>
      <c r="DE32" s="582"/>
      <c r="DF32" s="581"/>
      <c r="DG32" s="581"/>
      <c r="DH32" s="581"/>
      <c r="DI32" s="581"/>
      <c r="DJ32" s="581"/>
      <c r="DK32" s="581"/>
      <c r="DL32" s="581"/>
      <c r="DM32" s="581"/>
      <c r="DN32" s="582"/>
      <c r="DO32" s="581"/>
      <c r="DP32" s="581"/>
      <c r="DQ32" s="581"/>
      <c r="DR32" s="581"/>
      <c r="DS32" s="581"/>
      <c r="DT32" s="581"/>
      <c r="DU32" s="581"/>
      <c r="DV32" s="581"/>
      <c r="DW32" s="582"/>
      <c r="DX32" s="581"/>
      <c r="DY32" s="581"/>
      <c r="DZ32" s="581"/>
      <c r="EA32" s="581"/>
      <c r="EB32" s="581"/>
      <c r="EC32" s="581"/>
      <c r="ED32" s="581"/>
      <c r="EE32" s="581"/>
      <c r="EF32" s="582"/>
      <c r="EG32" s="581"/>
      <c r="EH32" s="581"/>
      <c r="EI32" s="581"/>
      <c r="EJ32" s="581"/>
      <c r="EK32" s="581"/>
      <c r="EL32" s="581"/>
      <c r="EM32" s="581"/>
      <c r="EN32" s="581"/>
      <c r="EO32" s="582"/>
      <c r="EP32" s="581"/>
      <c r="EQ32" s="581"/>
      <c r="ER32" s="581"/>
      <c r="ES32" s="581"/>
      <c r="ET32" s="581"/>
      <c r="EU32" s="581"/>
      <c r="EV32" s="581"/>
      <c r="EW32" s="581"/>
      <c r="EX32" s="582"/>
      <c r="EY32" s="581"/>
      <c r="EZ32" s="581"/>
      <c r="FA32" s="581"/>
      <c r="FB32" s="581"/>
      <c r="FC32" s="581"/>
      <c r="FD32" s="581"/>
      <c r="FE32" s="581"/>
      <c r="FF32" s="581"/>
      <c r="FG32" s="582"/>
      <c r="FH32" s="581"/>
      <c r="FI32" s="581"/>
      <c r="FJ32" s="581"/>
      <c r="FK32" s="581"/>
      <c r="FL32" s="581"/>
      <c r="FM32" s="581"/>
      <c r="FN32" s="581"/>
      <c r="FO32" s="581"/>
      <c r="FP32" s="582"/>
      <c r="FQ32" s="581"/>
      <c r="FR32" s="581"/>
      <c r="FS32" s="581"/>
      <c r="FT32" s="581"/>
      <c r="FU32" s="581"/>
      <c r="FV32" s="581"/>
      <c r="FW32" s="581"/>
      <c r="FX32" s="581"/>
      <c r="FY32" s="582"/>
      <c r="FZ32" s="581"/>
      <c r="GA32" s="581"/>
      <c r="GB32" s="581"/>
      <c r="GC32" s="581"/>
      <c r="GD32" s="581"/>
      <c r="GE32" s="581"/>
      <c r="GF32" s="581"/>
      <c r="GG32" s="581"/>
      <c r="GH32" s="582"/>
      <c r="GI32" s="581"/>
      <c r="GJ32" s="581"/>
      <c r="GK32" s="581"/>
      <c r="GL32" s="581"/>
      <c r="GM32" s="581"/>
      <c r="GN32" s="581"/>
      <c r="GO32" s="581"/>
      <c r="GP32" s="581"/>
      <c r="GQ32" s="582"/>
      <c r="GR32" s="581"/>
      <c r="GS32" s="581"/>
      <c r="GT32" s="581"/>
      <c r="GU32" s="581"/>
      <c r="GV32" s="581"/>
      <c r="GW32" s="581"/>
      <c r="GX32" s="581"/>
      <c r="GY32" s="581"/>
      <c r="GZ32" s="582"/>
      <c r="HA32" s="581"/>
      <c r="HB32" s="581"/>
      <c r="HC32" s="581"/>
      <c r="HD32" s="581"/>
      <c r="HE32" s="581"/>
      <c r="HF32" s="581"/>
      <c r="HG32" s="581"/>
      <c r="HH32" s="581"/>
      <c r="HI32" s="582"/>
      <c r="HJ32" s="581"/>
      <c r="HK32" s="581"/>
      <c r="HL32" s="581"/>
      <c r="HM32" s="581"/>
      <c r="HN32" s="581"/>
      <c r="HO32" s="581"/>
      <c r="HP32" s="581"/>
      <c r="HQ32" s="581"/>
      <c r="HR32" s="582"/>
      <c r="HS32" s="581"/>
      <c r="HT32" s="581"/>
      <c r="HU32" s="581"/>
      <c r="HV32" s="581"/>
      <c r="HW32" s="581"/>
      <c r="HX32" s="581"/>
      <c r="HY32" s="581"/>
      <c r="HZ32" s="581"/>
      <c r="IA32" s="582"/>
      <c r="IB32" s="581"/>
      <c r="IC32" s="581"/>
      <c r="ID32" s="581"/>
      <c r="IE32" s="581"/>
      <c r="IF32" s="581"/>
      <c r="IG32" s="581"/>
      <c r="IH32" s="581"/>
      <c r="II32" s="581"/>
      <c r="IJ32" s="582"/>
      <c r="IK32" s="581"/>
      <c r="IL32" s="581"/>
      <c r="IM32" s="581"/>
      <c r="IN32" s="581"/>
      <c r="IO32" s="581"/>
      <c r="IP32" s="581"/>
      <c r="IQ32" s="581"/>
      <c r="IR32" s="581"/>
      <c r="IS32" s="582"/>
      <c r="IT32" s="581"/>
      <c r="IU32" s="581"/>
      <c r="IV32" s="581"/>
      <c r="IW32" s="581"/>
      <c r="IX32" s="581"/>
      <c r="IY32" s="581"/>
      <c r="IZ32" s="581"/>
      <c r="JA32" s="581"/>
      <c r="JB32" s="582"/>
      <c r="JC32" s="581"/>
      <c r="JD32" s="581"/>
      <c r="JE32" s="581"/>
      <c r="JF32" s="581"/>
      <c r="JG32" s="581"/>
      <c r="JH32" s="581"/>
      <c r="JI32" s="581"/>
      <c r="JJ32" s="581"/>
      <c r="JK32" s="582"/>
      <c r="JL32" s="581"/>
      <c r="JM32" s="581"/>
      <c r="JN32" s="581"/>
      <c r="JO32" s="581"/>
      <c r="JP32" s="581"/>
      <c r="JQ32" s="581"/>
      <c r="JR32" s="581"/>
      <c r="JS32" s="581"/>
      <c r="JT32" s="582"/>
      <c r="JU32" s="581"/>
      <c r="JV32" s="581"/>
      <c r="JW32" s="581"/>
      <c r="JX32" s="581"/>
      <c r="JY32" s="581"/>
      <c r="JZ32" s="581"/>
      <c r="KA32" s="581"/>
      <c r="KB32" s="581"/>
      <c r="KC32" s="582"/>
      <c r="KD32" s="581"/>
      <c r="KE32" s="581"/>
      <c r="KF32" s="581"/>
      <c r="KG32" s="581"/>
      <c r="KH32" s="581"/>
      <c r="KI32" s="581"/>
      <c r="KJ32" s="581"/>
      <c r="KK32" s="581"/>
      <c r="KL32" s="582"/>
      <c r="KM32" s="581"/>
      <c r="KN32" s="581"/>
      <c r="KO32" s="581"/>
      <c r="KP32" s="581"/>
      <c r="KQ32" s="581"/>
      <c r="KR32" s="581"/>
      <c r="KS32" s="581"/>
      <c r="KT32" s="581"/>
      <c r="KU32" s="582"/>
      <c r="KV32" s="581"/>
      <c r="KW32" s="581"/>
      <c r="KX32" s="581"/>
      <c r="KY32" s="581"/>
      <c r="KZ32" s="581"/>
      <c r="LA32" s="581"/>
      <c r="LB32" s="581"/>
      <c r="LC32" s="581"/>
      <c r="LD32" s="582"/>
      <c r="LE32" s="581"/>
      <c r="LF32" s="581"/>
      <c r="LG32" s="581"/>
      <c r="LH32" s="581"/>
      <c r="LI32" s="581"/>
      <c r="LJ32" s="581"/>
      <c r="LK32" s="581"/>
      <c r="LL32" s="581"/>
      <c r="LM32" s="582"/>
      <c r="LN32" s="581"/>
      <c r="LO32" s="581"/>
      <c r="LP32" s="581"/>
      <c r="LQ32" s="581"/>
      <c r="LR32" s="581"/>
      <c r="LS32" s="581"/>
      <c r="LT32" s="581"/>
      <c r="LU32" s="581"/>
      <c r="LV32" s="582"/>
      <c r="LW32" s="581"/>
      <c r="LX32" s="581"/>
      <c r="LY32" s="581"/>
      <c r="LZ32" s="581"/>
      <c r="MA32" s="581"/>
      <c r="MB32" s="581"/>
      <c r="MC32" s="581"/>
      <c r="MD32" s="581"/>
      <c r="ME32" s="591"/>
    </row>
    <row r="33" customFormat="false" ht="9.75" hidden="false" customHeight="false" outlineLevel="0" collapsed="false">
      <c r="A33" s="571"/>
      <c r="B33" s="572"/>
      <c r="C33" s="573"/>
      <c r="D33" s="574"/>
      <c r="E33" s="574"/>
      <c r="F33" s="574"/>
      <c r="G33" s="574"/>
      <c r="H33" s="575"/>
      <c r="I33" s="576"/>
      <c r="J33" s="574"/>
      <c r="K33" s="577"/>
      <c r="L33" s="574"/>
      <c r="M33" s="574"/>
      <c r="N33" s="578" t="n">
        <f aca="false">IFERROR(M33/$M$6,0)</f>
        <v>0</v>
      </c>
      <c r="O33" s="574"/>
      <c r="P33" s="575"/>
      <c r="Q33" s="579"/>
      <c r="R33" s="577"/>
      <c r="S33" s="580"/>
      <c r="T33" s="581"/>
      <c r="U33" s="581"/>
      <c r="V33" s="581"/>
      <c r="W33" s="581"/>
      <c r="X33" s="581"/>
      <c r="Y33" s="581"/>
      <c r="Z33" s="581"/>
      <c r="AA33" s="581"/>
      <c r="AB33" s="582"/>
      <c r="AC33" s="581"/>
      <c r="AD33" s="581"/>
      <c r="AE33" s="581"/>
      <c r="AF33" s="581"/>
      <c r="AG33" s="581"/>
      <c r="AH33" s="581"/>
      <c r="AI33" s="581"/>
      <c r="AJ33" s="581"/>
      <c r="AK33" s="582"/>
      <c r="AL33" s="578"/>
      <c r="AM33" s="578"/>
      <c r="AN33" s="578"/>
      <c r="AO33" s="578"/>
      <c r="AP33" s="578"/>
      <c r="AQ33" s="578"/>
      <c r="AR33" s="578"/>
      <c r="AS33" s="578"/>
      <c r="AT33" s="583"/>
      <c r="AU33" s="584"/>
      <c r="AV33" s="584"/>
      <c r="AW33" s="584"/>
      <c r="AX33" s="584"/>
      <c r="AY33" s="584"/>
      <c r="AZ33" s="584"/>
      <c r="BA33" s="584"/>
      <c r="BB33" s="584"/>
      <c r="BC33" s="585"/>
      <c r="BD33" s="584"/>
      <c r="BE33" s="584"/>
      <c r="BF33" s="584"/>
      <c r="BG33" s="584"/>
      <c r="BH33" s="584"/>
      <c r="BI33" s="584"/>
      <c r="BJ33" s="584"/>
      <c r="BK33" s="584"/>
      <c r="BL33" s="585"/>
      <c r="BM33" s="581"/>
      <c r="BN33" s="581"/>
      <c r="BO33" s="581"/>
      <c r="BP33" s="581"/>
      <c r="BQ33" s="581"/>
      <c r="BR33" s="581"/>
      <c r="BS33" s="581"/>
      <c r="BT33" s="581"/>
      <c r="BU33" s="581"/>
      <c r="BV33" s="590"/>
      <c r="BW33" s="581"/>
      <c r="BX33" s="581"/>
      <c r="BY33" s="581"/>
      <c r="BZ33" s="581"/>
      <c r="CA33" s="581"/>
      <c r="CB33" s="581"/>
      <c r="CC33" s="581"/>
      <c r="CD33" s="582"/>
      <c r="CE33" s="581"/>
      <c r="CF33" s="581"/>
      <c r="CG33" s="581"/>
      <c r="CH33" s="581"/>
      <c r="CI33" s="581"/>
      <c r="CJ33" s="581"/>
      <c r="CK33" s="581"/>
      <c r="CL33" s="581"/>
      <c r="CM33" s="582"/>
      <c r="CN33" s="581"/>
      <c r="CO33" s="581"/>
      <c r="CP33" s="581"/>
      <c r="CQ33" s="581"/>
      <c r="CR33" s="581"/>
      <c r="CS33" s="581"/>
      <c r="CT33" s="581"/>
      <c r="CU33" s="581"/>
      <c r="CV33" s="582"/>
      <c r="CW33" s="581"/>
      <c r="CX33" s="581"/>
      <c r="CY33" s="581"/>
      <c r="CZ33" s="581"/>
      <c r="DA33" s="581"/>
      <c r="DB33" s="581"/>
      <c r="DC33" s="581"/>
      <c r="DD33" s="581"/>
      <c r="DE33" s="582"/>
      <c r="DF33" s="581"/>
      <c r="DG33" s="581"/>
      <c r="DH33" s="581"/>
      <c r="DI33" s="581"/>
      <c r="DJ33" s="581"/>
      <c r="DK33" s="581"/>
      <c r="DL33" s="581"/>
      <c r="DM33" s="581"/>
      <c r="DN33" s="582"/>
      <c r="DO33" s="581"/>
      <c r="DP33" s="581"/>
      <c r="DQ33" s="581"/>
      <c r="DR33" s="581"/>
      <c r="DS33" s="581"/>
      <c r="DT33" s="581"/>
      <c r="DU33" s="581"/>
      <c r="DV33" s="581"/>
      <c r="DW33" s="582"/>
      <c r="DX33" s="581"/>
      <c r="DY33" s="581"/>
      <c r="DZ33" s="581"/>
      <c r="EA33" s="581"/>
      <c r="EB33" s="581"/>
      <c r="EC33" s="581"/>
      <c r="ED33" s="581"/>
      <c r="EE33" s="581"/>
      <c r="EF33" s="582"/>
      <c r="EG33" s="581"/>
      <c r="EH33" s="581"/>
      <c r="EI33" s="581"/>
      <c r="EJ33" s="581"/>
      <c r="EK33" s="581"/>
      <c r="EL33" s="581"/>
      <c r="EM33" s="581"/>
      <c r="EN33" s="581"/>
      <c r="EO33" s="582"/>
      <c r="EP33" s="581"/>
      <c r="EQ33" s="581"/>
      <c r="ER33" s="581"/>
      <c r="ES33" s="581"/>
      <c r="ET33" s="581"/>
      <c r="EU33" s="581"/>
      <c r="EV33" s="581"/>
      <c r="EW33" s="581"/>
      <c r="EX33" s="582"/>
      <c r="EY33" s="581"/>
      <c r="EZ33" s="581"/>
      <c r="FA33" s="581"/>
      <c r="FB33" s="581"/>
      <c r="FC33" s="581"/>
      <c r="FD33" s="581"/>
      <c r="FE33" s="581"/>
      <c r="FF33" s="581"/>
      <c r="FG33" s="582"/>
      <c r="FH33" s="581"/>
      <c r="FI33" s="581"/>
      <c r="FJ33" s="581"/>
      <c r="FK33" s="581"/>
      <c r="FL33" s="581"/>
      <c r="FM33" s="581"/>
      <c r="FN33" s="581"/>
      <c r="FO33" s="581"/>
      <c r="FP33" s="582"/>
      <c r="FQ33" s="581"/>
      <c r="FR33" s="581"/>
      <c r="FS33" s="581"/>
      <c r="FT33" s="581"/>
      <c r="FU33" s="581"/>
      <c r="FV33" s="581"/>
      <c r="FW33" s="581"/>
      <c r="FX33" s="581"/>
      <c r="FY33" s="582"/>
      <c r="FZ33" s="581"/>
      <c r="GA33" s="581"/>
      <c r="GB33" s="581"/>
      <c r="GC33" s="581"/>
      <c r="GD33" s="581"/>
      <c r="GE33" s="581"/>
      <c r="GF33" s="581"/>
      <c r="GG33" s="581"/>
      <c r="GH33" s="582"/>
      <c r="GI33" s="581"/>
      <c r="GJ33" s="581"/>
      <c r="GK33" s="581"/>
      <c r="GL33" s="581"/>
      <c r="GM33" s="581"/>
      <c r="GN33" s="581"/>
      <c r="GO33" s="581"/>
      <c r="GP33" s="581"/>
      <c r="GQ33" s="582"/>
      <c r="GR33" s="581"/>
      <c r="GS33" s="581"/>
      <c r="GT33" s="581"/>
      <c r="GU33" s="581"/>
      <c r="GV33" s="581"/>
      <c r="GW33" s="581"/>
      <c r="GX33" s="581"/>
      <c r="GY33" s="581"/>
      <c r="GZ33" s="582"/>
      <c r="HA33" s="581"/>
      <c r="HB33" s="581"/>
      <c r="HC33" s="581"/>
      <c r="HD33" s="581"/>
      <c r="HE33" s="581"/>
      <c r="HF33" s="581"/>
      <c r="HG33" s="581"/>
      <c r="HH33" s="581"/>
      <c r="HI33" s="582"/>
      <c r="HJ33" s="581"/>
      <c r="HK33" s="581"/>
      <c r="HL33" s="581"/>
      <c r="HM33" s="581"/>
      <c r="HN33" s="581"/>
      <c r="HO33" s="581"/>
      <c r="HP33" s="581"/>
      <c r="HQ33" s="581"/>
      <c r="HR33" s="582"/>
      <c r="HS33" s="581"/>
      <c r="HT33" s="581"/>
      <c r="HU33" s="581"/>
      <c r="HV33" s="581"/>
      <c r="HW33" s="581"/>
      <c r="HX33" s="581"/>
      <c r="HY33" s="581"/>
      <c r="HZ33" s="581"/>
      <c r="IA33" s="582"/>
      <c r="IB33" s="581"/>
      <c r="IC33" s="581"/>
      <c r="ID33" s="581"/>
      <c r="IE33" s="581"/>
      <c r="IF33" s="581"/>
      <c r="IG33" s="581"/>
      <c r="IH33" s="581"/>
      <c r="II33" s="581"/>
      <c r="IJ33" s="582"/>
      <c r="IK33" s="581"/>
      <c r="IL33" s="581"/>
      <c r="IM33" s="581"/>
      <c r="IN33" s="581"/>
      <c r="IO33" s="581"/>
      <c r="IP33" s="581"/>
      <c r="IQ33" s="581"/>
      <c r="IR33" s="581"/>
      <c r="IS33" s="582"/>
      <c r="IT33" s="581"/>
      <c r="IU33" s="581"/>
      <c r="IV33" s="581"/>
      <c r="IW33" s="581"/>
      <c r="IX33" s="581"/>
      <c r="IY33" s="581"/>
      <c r="IZ33" s="581"/>
      <c r="JA33" s="581"/>
      <c r="JB33" s="582"/>
      <c r="JC33" s="581"/>
      <c r="JD33" s="581"/>
      <c r="JE33" s="581"/>
      <c r="JF33" s="581"/>
      <c r="JG33" s="581"/>
      <c r="JH33" s="581"/>
      <c r="JI33" s="581"/>
      <c r="JJ33" s="581"/>
      <c r="JK33" s="582"/>
      <c r="JL33" s="581"/>
      <c r="JM33" s="581"/>
      <c r="JN33" s="581"/>
      <c r="JO33" s="581"/>
      <c r="JP33" s="581"/>
      <c r="JQ33" s="581"/>
      <c r="JR33" s="581"/>
      <c r="JS33" s="581"/>
      <c r="JT33" s="582"/>
      <c r="JU33" s="581"/>
      <c r="JV33" s="581"/>
      <c r="JW33" s="581"/>
      <c r="JX33" s="581"/>
      <c r="JY33" s="581"/>
      <c r="JZ33" s="581"/>
      <c r="KA33" s="581"/>
      <c r="KB33" s="581"/>
      <c r="KC33" s="582"/>
      <c r="KD33" s="581"/>
      <c r="KE33" s="581"/>
      <c r="KF33" s="581"/>
      <c r="KG33" s="581"/>
      <c r="KH33" s="581"/>
      <c r="KI33" s="581"/>
      <c r="KJ33" s="581"/>
      <c r="KK33" s="581"/>
      <c r="KL33" s="582"/>
      <c r="KM33" s="581"/>
      <c r="KN33" s="581"/>
      <c r="KO33" s="581"/>
      <c r="KP33" s="581"/>
      <c r="KQ33" s="581"/>
      <c r="KR33" s="581"/>
      <c r="KS33" s="581"/>
      <c r="KT33" s="581"/>
      <c r="KU33" s="582"/>
      <c r="KV33" s="581"/>
      <c r="KW33" s="581"/>
      <c r="KX33" s="581"/>
      <c r="KY33" s="581"/>
      <c r="KZ33" s="581"/>
      <c r="LA33" s="581"/>
      <c r="LB33" s="581"/>
      <c r="LC33" s="581"/>
      <c r="LD33" s="582"/>
      <c r="LE33" s="581"/>
      <c r="LF33" s="581"/>
      <c r="LG33" s="581"/>
      <c r="LH33" s="581"/>
      <c r="LI33" s="581"/>
      <c r="LJ33" s="581"/>
      <c r="LK33" s="581"/>
      <c r="LL33" s="581"/>
      <c r="LM33" s="582"/>
      <c r="LN33" s="581"/>
      <c r="LO33" s="581"/>
      <c r="LP33" s="581"/>
      <c r="LQ33" s="581"/>
      <c r="LR33" s="581"/>
      <c r="LS33" s="581"/>
      <c r="LT33" s="581"/>
      <c r="LU33" s="581"/>
      <c r="LV33" s="582"/>
      <c r="LW33" s="581"/>
      <c r="LX33" s="581"/>
      <c r="LY33" s="581"/>
      <c r="LZ33" s="581"/>
      <c r="MA33" s="581"/>
      <c r="MB33" s="581"/>
      <c r="MC33" s="581"/>
      <c r="MD33" s="581"/>
      <c r="ME33" s="591"/>
    </row>
    <row r="34" customFormat="false" ht="9.75" hidden="false" customHeight="false" outlineLevel="0" collapsed="false">
      <c r="A34" s="571"/>
      <c r="B34" s="572"/>
      <c r="C34" s="573"/>
      <c r="D34" s="574"/>
      <c r="E34" s="574"/>
      <c r="F34" s="574"/>
      <c r="G34" s="574"/>
      <c r="H34" s="575"/>
      <c r="I34" s="576"/>
      <c r="J34" s="574"/>
      <c r="K34" s="577"/>
      <c r="L34" s="574"/>
      <c r="M34" s="574"/>
      <c r="N34" s="578" t="n">
        <f aca="false">IFERROR(M34/$M$6,0)</f>
        <v>0</v>
      </c>
      <c r="O34" s="574"/>
      <c r="P34" s="575"/>
      <c r="Q34" s="579"/>
      <c r="R34" s="577"/>
      <c r="S34" s="580"/>
      <c r="T34" s="581"/>
      <c r="U34" s="581"/>
      <c r="V34" s="581"/>
      <c r="W34" s="581"/>
      <c r="X34" s="581"/>
      <c r="Y34" s="581"/>
      <c r="Z34" s="581"/>
      <c r="AA34" s="581"/>
      <c r="AB34" s="582"/>
      <c r="AC34" s="581"/>
      <c r="AD34" s="581"/>
      <c r="AE34" s="581"/>
      <c r="AF34" s="581"/>
      <c r="AG34" s="581"/>
      <c r="AH34" s="581"/>
      <c r="AI34" s="581"/>
      <c r="AJ34" s="581"/>
      <c r="AK34" s="582"/>
      <c r="AL34" s="578"/>
      <c r="AM34" s="578"/>
      <c r="AN34" s="578"/>
      <c r="AO34" s="578"/>
      <c r="AP34" s="578"/>
      <c r="AQ34" s="578"/>
      <c r="AR34" s="578"/>
      <c r="AS34" s="578"/>
      <c r="AT34" s="583"/>
      <c r="AU34" s="584"/>
      <c r="AV34" s="584"/>
      <c r="AW34" s="584"/>
      <c r="AX34" s="584"/>
      <c r="AY34" s="584"/>
      <c r="AZ34" s="584"/>
      <c r="BA34" s="584"/>
      <c r="BB34" s="584"/>
      <c r="BC34" s="585"/>
      <c r="BD34" s="584"/>
      <c r="BE34" s="584"/>
      <c r="BF34" s="584"/>
      <c r="BG34" s="584"/>
      <c r="BH34" s="584"/>
      <c r="BI34" s="584"/>
      <c r="BJ34" s="584"/>
      <c r="BK34" s="584"/>
      <c r="BL34" s="585"/>
      <c r="BM34" s="581"/>
      <c r="BN34" s="581"/>
      <c r="BO34" s="581"/>
      <c r="BP34" s="581"/>
      <c r="BQ34" s="581"/>
      <c r="BR34" s="581"/>
      <c r="BS34" s="581"/>
      <c r="BT34" s="581"/>
      <c r="BU34" s="581"/>
      <c r="BV34" s="590"/>
      <c r="BW34" s="581"/>
      <c r="BX34" s="581"/>
      <c r="BY34" s="581"/>
      <c r="BZ34" s="581"/>
      <c r="CA34" s="581"/>
      <c r="CB34" s="581"/>
      <c r="CC34" s="581"/>
      <c r="CD34" s="582"/>
      <c r="CE34" s="581"/>
      <c r="CF34" s="581"/>
      <c r="CG34" s="581"/>
      <c r="CH34" s="581"/>
      <c r="CI34" s="581"/>
      <c r="CJ34" s="581"/>
      <c r="CK34" s="581"/>
      <c r="CL34" s="581"/>
      <c r="CM34" s="582"/>
      <c r="CN34" s="581"/>
      <c r="CO34" s="581"/>
      <c r="CP34" s="581"/>
      <c r="CQ34" s="581"/>
      <c r="CR34" s="581"/>
      <c r="CS34" s="581"/>
      <c r="CT34" s="581"/>
      <c r="CU34" s="581"/>
      <c r="CV34" s="582"/>
      <c r="CW34" s="581"/>
      <c r="CX34" s="581"/>
      <c r="CY34" s="581"/>
      <c r="CZ34" s="581"/>
      <c r="DA34" s="581"/>
      <c r="DB34" s="581"/>
      <c r="DC34" s="581"/>
      <c r="DD34" s="581"/>
      <c r="DE34" s="582"/>
      <c r="DF34" s="581"/>
      <c r="DG34" s="581"/>
      <c r="DH34" s="581"/>
      <c r="DI34" s="581"/>
      <c r="DJ34" s="581"/>
      <c r="DK34" s="581"/>
      <c r="DL34" s="581"/>
      <c r="DM34" s="581"/>
      <c r="DN34" s="582"/>
      <c r="DO34" s="581"/>
      <c r="DP34" s="581"/>
      <c r="DQ34" s="581"/>
      <c r="DR34" s="581"/>
      <c r="DS34" s="581"/>
      <c r="DT34" s="581"/>
      <c r="DU34" s="581"/>
      <c r="DV34" s="581"/>
      <c r="DW34" s="582"/>
      <c r="DX34" s="581"/>
      <c r="DY34" s="581"/>
      <c r="DZ34" s="581"/>
      <c r="EA34" s="581"/>
      <c r="EB34" s="581"/>
      <c r="EC34" s="581"/>
      <c r="ED34" s="581"/>
      <c r="EE34" s="581"/>
      <c r="EF34" s="582"/>
      <c r="EG34" s="581"/>
      <c r="EH34" s="581"/>
      <c r="EI34" s="581"/>
      <c r="EJ34" s="581"/>
      <c r="EK34" s="581"/>
      <c r="EL34" s="581"/>
      <c r="EM34" s="581"/>
      <c r="EN34" s="581"/>
      <c r="EO34" s="582"/>
      <c r="EP34" s="581"/>
      <c r="EQ34" s="581"/>
      <c r="ER34" s="581"/>
      <c r="ES34" s="581"/>
      <c r="ET34" s="581"/>
      <c r="EU34" s="581"/>
      <c r="EV34" s="581"/>
      <c r="EW34" s="581"/>
      <c r="EX34" s="582"/>
      <c r="EY34" s="581"/>
      <c r="EZ34" s="581"/>
      <c r="FA34" s="581"/>
      <c r="FB34" s="581"/>
      <c r="FC34" s="581"/>
      <c r="FD34" s="581"/>
      <c r="FE34" s="581"/>
      <c r="FF34" s="581"/>
      <c r="FG34" s="582"/>
      <c r="FH34" s="581"/>
      <c r="FI34" s="581"/>
      <c r="FJ34" s="581"/>
      <c r="FK34" s="581"/>
      <c r="FL34" s="581"/>
      <c r="FM34" s="581"/>
      <c r="FN34" s="581"/>
      <c r="FO34" s="581"/>
      <c r="FP34" s="582"/>
      <c r="FQ34" s="581"/>
      <c r="FR34" s="581"/>
      <c r="FS34" s="581"/>
      <c r="FT34" s="581"/>
      <c r="FU34" s="581"/>
      <c r="FV34" s="581"/>
      <c r="FW34" s="581"/>
      <c r="FX34" s="581"/>
      <c r="FY34" s="582"/>
      <c r="FZ34" s="581"/>
      <c r="GA34" s="581"/>
      <c r="GB34" s="581"/>
      <c r="GC34" s="581"/>
      <c r="GD34" s="581"/>
      <c r="GE34" s="581"/>
      <c r="GF34" s="581"/>
      <c r="GG34" s="581"/>
      <c r="GH34" s="582"/>
      <c r="GI34" s="581"/>
      <c r="GJ34" s="581"/>
      <c r="GK34" s="581"/>
      <c r="GL34" s="581"/>
      <c r="GM34" s="581"/>
      <c r="GN34" s="581"/>
      <c r="GO34" s="581"/>
      <c r="GP34" s="581"/>
      <c r="GQ34" s="582"/>
      <c r="GR34" s="581"/>
      <c r="GS34" s="581"/>
      <c r="GT34" s="581"/>
      <c r="GU34" s="581"/>
      <c r="GV34" s="581"/>
      <c r="GW34" s="581"/>
      <c r="GX34" s="581"/>
      <c r="GY34" s="581"/>
      <c r="GZ34" s="582"/>
      <c r="HA34" s="581"/>
      <c r="HB34" s="581"/>
      <c r="HC34" s="581"/>
      <c r="HD34" s="581"/>
      <c r="HE34" s="581"/>
      <c r="HF34" s="581"/>
      <c r="HG34" s="581"/>
      <c r="HH34" s="581"/>
      <c r="HI34" s="582"/>
      <c r="HJ34" s="581"/>
      <c r="HK34" s="581"/>
      <c r="HL34" s="581"/>
      <c r="HM34" s="581"/>
      <c r="HN34" s="581"/>
      <c r="HO34" s="581"/>
      <c r="HP34" s="581"/>
      <c r="HQ34" s="581"/>
      <c r="HR34" s="582"/>
      <c r="HS34" s="581"/>
      <c r="HT34" s="581"/>
      <c r="HU34" s="581"/>
      <c r="HV34" s="581"/>
      <c r="HW34" s="581"/>
      <c r="HX34" s="581"/>
      <c r="HY34" s="581"/>
      <c r="HZ34" s="581"/>
      <c r="IA34" s="582"/>
      <c r="IB34" s="581"/>
      <c r="IC34" s="581"/>
      <c r="ID34" s="581"/>
      <c r="IE34" s="581"/>
      <c r="IF34" s="581"/>
      <c r="IG34" s="581"/>
      <c r="IH34" s="581"/>
      <c r="II34" s="581"/>
      <c r="IJ34" s="582"/>
      <c r="IK34" s="581"/>
      <c r="IL34" s="581"/>
      <c r="IM34" s="581"/>
      <c r="IN34" s="581"/>
      <c r="IO34" s="581"/>
      <c r="IP34" s="581"/>
      <c r="IQ34" s="581"/>
      <c r="IR34" s="581"/>
      <c r="IS34" s="582"/>
      <c r="IT34" s="581"/>
      <c r="IU34" s="581"/>
      <c r="IV34" s="581"/>
      <c r="IW34" s="581"/>
      <c r="IX34" s="581"/>
      <c r="IY34" s="581"/>
      <c r="IZ34" s="581"/>
      <c r="JA34" s="581"/>
      <c r="JB34" s="582"/>
      <c r="JC34" s="581"/>
      <c r="JD34" s="581"/>
      <c r="JE34" s="581"/>
      <c r="JF34" s="581"/>
      <c r="JG34" s="581"/>
      <c r="JH34" s="581"/>
      <c r="JI34" s="581"/>
      <c r="JJ34" s="581"/>
      <c r="JK34" s="582"/>
      <c r="JL34" s="581"/>
      <c r="JM34" s="581"/>
      <c r="JN34" s="581"/>
      <c r="JO34" s="581"/>
      <c r="JP34" s="581"/>
      <c r="JQ34" s="581"/>
      <c r="JR34" s="581"/>
      <c r="JS34" s="581"/>
      <c r="JT34" s="582"/>
      <c r="JU34" s="581"/>
      <c r="JV34" s="581"/>
      <c r="JW34" s="581"/>
      <c r="JX34" s="581"/>
      <c r="JY34" s="581"/>
      <c r="JZ34" s="581"/>
      <c r="KA34" s="581"/>
      <c r="KB34" s="581"/>
      <c r="KC34" s="582"/>
      <c r="KD34" s="581"/>
      <c r="KE34" s="581"/>
      <c r="KF34" s="581"/>
      <c r="KG34" s="581"/>
      <c r="KH34" s="581"/>
      <c r="KI34" s="581"/>
      <c r="KJ34" s="581"/>
      <c r="KK34" s="581"/>
      <c r="KL34" s="582"/>
      <c r="KM34" s="581"/>
      <c r="KN34" s="581"/>
      <c r="KO34" s="581"/>
      <c r="KP34" s="581"/>
      <c r="KQ34" s="581"/>
      <c r="KR34" s="581"/>
      <c r="KS34" s="581"/>
      <c r="KT34" s="581"/>
      <c r="KU34" s="582"/>
      <c r="KV34" s="581"/>
      <c r="KW34" s="581"/>
      <c r="KX34" s="581"/>
      <c r="KY34" s="581"/>
      <c r="KZ34" s="581"/>
      <c r="LA34" s="581"/>
      <c r="LB34" s="581"/>
      <c r="LC34" s="581"/>
      <c r="LD34" s="582"/>
      <c r="LE34" s="581"/>
      <c r="LF34" s="581"/>
      <c r="LG34" s="581"/>
      <c r="LH34" s="581"/>
      <c r="LI34" s="581"/>
      <c r="LJ34" s="581"/>
      <c r="LK34" s="581"/>
      <c r="LL34" s="581"/>
      <c r="LM34" s="582"/>
      <c r="LN34" s="581"/>
      <c r="LO34" s="581"/>
      <c r="LP34" s="581"/>
      <c r="LQ34" s="581"/>
      <c r="LR34" s="581"/>
      <c r="LS34" s="581"/>
      <c r="LT34" s="581"/>
      <c r="LU34" s="581"/>
      <c r="LV34" s="582"/>
      <c r="LW34" s="581"/>
      <c r="LX34" s="581"/>
      <c r="LY34" s="581"/>
      <c r="LZ34" s="581"/>
      <c r="MA34" s="581"/>
      <c r="MB34" s="581"/>
      <c r="MC34" s="581"/>
      <c r="MD34" s="581"/>
      <c r="ME34" s="591"/>
    </row>
    <row r="35" customFormat="false" ht="9.75" hidden="false" customHeight="false" outlineLevel="0" collapsed="false">
      <c r="A35" s="571"/>
      <c r="B35" s="572"/>
      <c r="C35" s="573"/>
      <c r="D35" s="574"/>
      <c r="E35" s="574"/>
      <c r="F35" s="574"/>
      <c r="G35" s="574"/>
      <c r="H35" s="575"/>
      <c r="I35" s="576"/>
      <c r="J35" s="574"/>
      <c r="K35" s="577"/>
      <c r="L35" s="574"/>
      <c r="M35" s="574"/>
      <c r="N35" s="578" t="n">
        <f aca="false">IFERROR(M35/$M$6,0)</f>
        <v>0</v>
      </c>
      <c r="O35" s="574"/>
      <c r="P35" s="575"/>
      <c r="Q35" s="579"/>
      <c r="R35" s="577"/>
      <c r="S35" s="580"/>
      <c r="T35" s="581"/>
      <c r="U35" s="581"/>
      <c r="V35" s="581"/>
      <c r="W35" s="581"/>
      <c r="X35" s="581"/>
      <c r="Y35" s="581"/>
      <c r="Z35" s="581"/>
      <c r="AA35" s="581"/>
      <c r="AB35" s="582"/>
      <c r="AC35" s="581"/>
      <c r="AD35" s="581"/>
      <c r="AE35" s="581"/>
      <c r="AF35" s="581"/>
      <c r="AG35" s="581"/>
      <c r="AH35" s="581"/>
      <c r="AI35" s="581"/>
      <c r="AJ35" s="581"/>
      <c r="AK35" s="582"/>
      <c r="AL35" s="578"/>
      <c r="AM35" s="578"/>
      <c r="AN35" s="578"/>
      <c r="AO35" s="578"/>
      <c r="AP35" s="578"/>
      <c r="AQ35" s="578"/>
      <c r="AR35" s="578"/>
      <c r="AS35" s="578"/>
      <c r="AT35" s="583"/>
      <c r="AU35" s="584"/>
      <c r="AV35" s="584"/>
      <c r="AW35" s="584"/>
      <c r="AX35" s="584"/>
      <c r="AY35" s="584"/>
      <c r="AZ35" s="584"/>
      <c r="BA35" s="584"/>
      <c r="BB35" s="584"/>
      <c r="BC35" s="585"/>
      <c r="BD35" s="584"/>
      <c r="BE35" s="584"/>
      <c r="BF35" s="584"/>
      <c r="BG35" s="584"/>
      <c r="BH35" s="584"/>
      <c r="BI35" s="584"/>
      <c r="BJ35" s="584"/>
      <c r="BK35" s="584"/>
      <c r="BL35" s="585"/>
      <c r="BM35" s="581"/>
      <c r="BN35" s="581"/>
      <c r="BO35" s="581"/>
      <c r="BP35" s="581"/>
      <c r="BQ35" s="581"/>
      <c r="BR35" s="581"/>
      <c r="BS35" s="581"/>
      <c r="BT35" s="581"/>
      <c r="BU35" s="581"/>
      <c r="BV35" s="590"/>
      <c r="BW35" s="581"/>
      <c r="BX35" s="581"/>
      <c r="BY35" s="581"/>
      <c r="BZ35" s="581"/>
      <c r="CA35" s="581"/>
      <c r="CB35" s="581"/>
      <c r="CC35" s="581"/>
      <c r="CD35" s="582"/>
      <c r="CE35" s="581"/>
      <c r="CF35" s="581"/>
      <c r="CG35" s="581"/>
      <c r="CH35" s="581"/>
      <c r="CI35" s="581"/>
      <c r="CJ35" s="581"/>
      <c r="CK35" s="581"/>
      <c r="CL35" s="581"/>
      <c r="CM35" s="582"/>
      <c r="CN35" s="581"/>
      <c r="CO35" s="581"/>
      <c r="CP35" s="581"/>
      <c r="CQ35" s="581"/>
      <c r="CR35" s="581"/>
      <c r="CS35" s="581"/>
      <c r="CT35" s="581"/>
      <c r="CU35" s="581"/>
      <c r="CV35" s="582"/>
      <c r="CW35" s="581"/>
      <c r="CX35" s="581"/>
      <c r="CY35" s="581"/>
      <c r="CZ35" s="581"/>
      <c r="DA35" s="581"/>
      <c r="DB35" s="581"/>
      <c r="DC35" s="581"/>
      <c r="DD35" s="581"/>
      <c r="DE35" s="582"/>
      <c r="DF35" s="581"/>
      <c r="DG35" s="581"/>
      <c r="DH35" s="581"/>
      <c r="DI35" s="581"/>
      <c r="DJ35" s="581"/>
      <c r="DK35" s="581"/>
      <c r="DL35" s="581"/>
      <c r="DM35" s="581"/>
      <c r="DN35" s="582"/>
      <c r="DO35" s="581"/>
      <c r="DP35" s="581"/>
      <c r="DQ35" s="581"/>
      <c r="DR35" s="581"/>
      <c r="DS35" s="581"/>
      <c r="DT35" s="581"/>
      <c r="DU35" s="581"/>
      <c r="DV35" s="581"/>
      <c r="DW35" s="582"/>
      <c r="DX35" s="581"/>
      <c r="DY35" s="581"/>
      <c r="DZ35" s="581"/>
      <c r="EA35" s="581"/>
      <c r="EB35" s="581"/>
      <c r="EC35" s="581"/>
      <c r="ED35" s="581"/>
      <c r="EE35" s="581"/>
      <c r="EF35" s="582"/>
      <c r="EG35" s="581"/>
      <c r="EH35" s="581"/>
      <c r="EI35" s="581"/>
      <c r="EJ35" s="581"/>
      <c r="EK35" s="581"/>
      <c r="EL35" s="581"/>
      <c r="EM35" s="581"/>
      <c r="EN35" s="581"/>
      <c r="EO35" s="582"/>
      <c r="EP35" s="581"/>
      <c r="EQ35" s="581"/>
      <c r="ER35" s="581"/>
      <c r="ES35" s="581"/>
      <c r="ET35" s="581"/>
      <c r="EU35" s="581"/>
      <c r="EV35" s="581"/>
      <c r="EW35" s="581"/>
      <c r="EX35" s="582"/>
      <c r="EY35" s="581"/>
      <c r="EZ35" s="581"/>
      <c r="FA35" s="581"/>
      <c r="FB35" s="581"/>
      <c r="FC35" s="581"/>
      <c r="FD35" s="581"/>
      <c r="FE35" s="581"/>
      <c r="FF35" s="581"/>
      <c r="FG35" s="582"/>
      <c r="FH35" s="581"/>
      <c r="FI35" s="581"/>
      <c r="FJ35" s="581"/>
      <c r="FK35" s="581"/>
      <c r="FL35" s="581"/>
      <c r="FM35" s="581"/>
      <c r="FN35" s="581"/>
      <c r="FO35" s="581"/>
      <c r="FP35" s="582"/>
      <c r="FQ35" s="581"/>
      <c r="FR35" s="581"/>
      <c r="FS35" s="581"/>
      <c r="FT35" s="581"/>
      <c r="FU35" s="581"/>
      <c r="FV35" s="581"/>
      <c r="FW35" s="581"/>
      <c r="FX35" s="581"/>
      <c r="FY35" s="582"/>
      <c r="FZ35" s="581"/>
      <c r="GA35" s="581"/>
      <c r="GB35" s="581"/>
      <c r="GC35" s="581"/>
      <c r="GD35" s="581"/>
      <c r="GE35" s="581"/>
      <c r="GF35" s="581"/>
      <c r="GG35" s="581"/>
      <c r="GH35" s="582"/>
      <c r="GI35" s="581"/>
      <c r="GJ35" s="581"/>
      <c r="GK35" s="581"/>
      <c r="GL35" s="581"/>
      <c r="GM35" s="581"/>
      <c r="GN35" s="581"/>
      <c r="GO35" s="581"/>
      <c r="GP35" s="581"/>
      <c r="GQ35" s="582"/>
      <c r="GR35" s="581"/>
      <c r="GS35" s="581"/>
      <c r="GT35" s="581"/>
      <c r="GU35" s="581"/>
      <c r="GV35" s="581"/>
      <c r="GW35" s="581"/>
      <c r="GX35" s="581"/>
      <c r="GY35" s="581"/>
      <c r="GZ35" s="582"/>
      <c r="HA35" s="581"/>
      <c r="HB35" s="581"/>
      <c r="HC35" s="581"/>
      <c r="HD35" s="581"/>
      <c r="HE35" s="581"/>
      <c r="HF35" s="581"/>
      <c r="HG35" s="581"/>
      <c r="HH35" s="581"/>
      <c r="HI35" s="582"/>
      <c r="HJ35" s="581"/>
      <c r="HK35" s="581"/>
      <c r="HL35" s="581"/>
      <c r="HM35" s="581"/>
      <c r="HN35" s="581"/>
      <c r="HO35" s="581"/>
      <c r="HP35" s="581"/>
      <c r="HQ35" s="581"/>
      <c r="HR35" s="582"/>
      <c r="HS35" s="581"/>
      <c r="HT35" s="581"/>
      <c r="HU35" s="581"/>
      <c r="HV35" s="581"/>
      <c r="HW35" s="581"/>
      <c r="HX35" s="581"/>
      <c r="HY35" s="581"/>
      <c r="HZ35" s="581"/>
      <c r="IA35" s="582"/>
      <c r="IB35" s="581"/>
      <c r="IC35" s="581"/>
      <c r="ID35" s="581"/>
      <c r="IE35" s="581"/>
      <c r="IF35" s="581"/>
      <c r="IG35" s="581"/>
      <c r="IH35" s="581"/>
      <c r="II35" s="581"/>
      <c r="IJ35" s="582"/>
      <c r="IK35" s="581"/>
      <c r="IL35" s="581"/>
      <c r="IM35" s="581"/>
      <c r="IN35" s="581"/>
      <c r="IO35" s="581"/>
      <c r="IP35" s="581"/>
      <c r="IQ35" s="581"/>
      <c r="IR35" s="581"/>
      <c r="IS35" s="582"/>
      <c r="IT35" s="581"/>
      <c r="IU35" s="581"/>
      <c r="IV35" s="581"/>
      <c r="IW35" s="581"/>
      <c r="IX35" s="581"/>
      <c r="IY35" s="581"/>
      <c r="IZ35" s="581"/>
      <c r="JA35" s="581"/>
      <c r="JB35" s="582"/>
      <c r="JC35" s="581"/>
      <c r="JD35" s="581"/>
      <c r="JE35" s="581"/>
      <c r="JF35" s="581"/>
      <c r="JG35" s="581"/>
      <c r="JH35" s="581"/>
      <c r="JI35" s="581"/>
      <c r="JJ35" s="581"/>
      <c r="JK35" s="582"/>
      <c r="JL35" s="581"/>
      <c r="JM35" s="581"/>
      <c r="JN35" s="581"/>
      <c r="JO35" s="581"/>
      <c r="JP35" s="581"/>
      <c r="JQ35" s="581"/>
      <c r="JR35" s="581"/>
      <c r="JS35" s="581"/>
      <c r="JT35" s="582"/>
      <c r="JU35" s="581"/>
      <c r="JV35" s="581"/>
      <c r="JW35" s="581"/>
      <c r="JX35" s="581"/>
      <c r="JY35" s="581"/>
      <c r="JZ35" s="581"/>
      <c r="KA35" s="581"/>
      <c r="KB35" s="581"/>
      <c r="KC35" s="582"/>
      <c r="KD35" s="581"/>
      <c r="KE35" s="581"/>
      <c r="KF35" s="581"/>
      <c r="KG35" s="581"/>
      <c r="KH35" s="581"/>
      <c r="KI35" s="581"/>
      <c r="KJ35" s="581"/>
      <c r="KK35" s="581"/>
      <c r="KL35" s="582"/>
      <c r="KM35" s="581"/>
      <c r="KN35" s="581"/>
      <c r="KO35" s="581"/>
      <c r="KP35" s="581"/>
      <c r="KQ35" s="581"/>
      <c r="KR35" s="581"/>
      <c r="KS35" s="581"/>
      <c r="KT35" s="581"/>
      <c r="KU35" s="582"/>
      <c r="KV35" s="581"/>
      <c r="KW35" s="581"/>
      <c r="KX35" s="581"/>
      <c r="KY35" s="581"/>
      <c r="KZ35" s="581"/>
      <c r="LA35" s="581"/>
      <c r="LB35" s="581"/>
      <c r="LC35" s="581"/>
      <c r="LD35" s="582"/>
      <c r="LE35" s="581"/>
      <c r="LF35" s="581"/>
      <c r="LG35" s="581"/>
      <c r="LH35" s="581"/>
      <c r="LI35" s="581"/>
      <c r="LJ35" s="581"/>
      <c r="LK35" s="581"/>
      <c r="LL35" s="581"/>
      <c r="LM35" s="582"/>
      <c r="LN35" s="581"/>
      <c r="LO35" s="581"/>
      <c r="LP35" s="581"/>
      <c r="LQ35" s="581"/>
      <c r="LR35" s="581"/>
      <c r="LS35" s="581"/>
      <c r="LT35" s="581"/>
      <c r="LU35" s="581"/>
      <c r="LV35" s="582"/>
      <c r="LW35" s="581"/>
      <c r="LX35" s="581"/>
      <c r="LY35" s="581"/>
      <c r="LZ35" s="581"/>
      <c r="MA35" s="581"/>
      <c r="MB35" s="581"/>
      <c r="MC35" s="581"/>
      <c r="MD35" s="581"/>
      <c r="ME35" s="591"/>
    </row>
    <row r="36" customFormat="false" ht="9.75" hidden="false" customHeight="false" outlineLevel="0" collapsed="false">
      <c r="A36" s="571"/>
      <c r="B36" s="572"/>
      <c r="C36" s="573"/>
      <c r="D36" s="574"/>
      <c r="E36" s="574"/>
      <c r="F36" s="574"/>
      <c r="G36" s="574"/>
      <c r="H36" s="575"/>
      <c r="I36" s="576"/>
      <c r="J36" s="574"/>
      <c r="K36" s="577"/>
      <c r="L36" s="574"/>
      <c r="M36" s="574"/>
      <c r="N36" s="578" t="n">
        <f aca="false">IFERROR(M36/$M$6,0)</f>
        <v>0</v>
      </c>
      <c r="O36" s="574"/>
      <c r="P36" s="575"/>
      <c r="Q36" s="579"/>
      <c r="R36" s="577"/>
      <c r="S36" s="580"/>
      <c r="T36" s="581"/>
      <c r="U36" s="581"/>
      <c r="V36" s="581"/>
      <c r="W36" s="581"/>
      <c r="X36" s="581"/>
      <c r="Y36" s="581"/>
      <c r="Z36" s="581"/>
      <c r="AA36" s="581"/>
      <c r="AB36" s="582"/>
      <c r="AC36" s="581"/>
      <c r="AD36" s="581"/>
      <c r="AE36" s="581"/>
      <c r="AF36" s="581"/>
      <c r="AG36" s="581"/>
      <c r="AH36" s="581"/>
      <c r="AI36" s="581"/>
      <c r="AJ36" s="581"/>
      <c r="AK36" s="582"/>
      <c r="AL36" s="578"/>
      <c r="AM36" s="578"/>
      <c r="AN36" s="578"/>
      <c r="AO36" s="578"/>
      <c r="AP36" s="578"/>
      <c r="AQ36" s="578"/>
      <c r="AR36" s="578"/>
      <c r="AS36" s="578"/>
      <c r="AT36" s="583"/>
      <c r="AU36" s="584"/>
      <c r="AV36" s="584"/>
      <c r="AW36" s="584"/>
      <c r="AX36" s="584"/>
      <c r="AY36" s="584"/>
      <c r="AZ36" s="584"/>
      <c r="BA36" s="584"/>
      <c r="BB36" s="584"/>
      <c r="BC36" s="585"/>
      <c r="BD36" s="584"/>
      <c r="BE36" s="584"/>
      <c r="BF36" s="584"/>
      <c r="BG36" s="584"/>
      <c r="BH36" s="584"/>
      <c r="BI36" s="584"/>
      <c r="BJ36" s="584"/>
      <c r="BK36" s="584"/>
      <c r="BL36" s="585"/>
      <c r="BM36" s="581"/>
      <c r="BN36" s="581"/>
      <c r="BO36" s="581"/>
      <c r="BP36" s="581"/>
      <c r="BQ36" s="581"/>
      <c r="BR36" s="581"/>
      <c r="BS36" s="581"/>
      <c r="BT36" s="581"/>
      <c r="BU36" s="581"/>
      <c r="BV36" s="590"/>
      <c r="BW36" s="581"/>
      <c r="BX36" s="581"/>
      <c r="BY36" s="581"/>
      <c r="BZ36" s="581"/>
      <c r="CA36" s="581"/>
      <c r="CB36" s="581"/>
      <c r="CC36" s="581"/>
      <c r="CD36" s="582"/>
      <c r="CE36" s="581"/>
      <c r="CF36" s="581"/>
      <c r="CG36" s="581"/>
      <c r="CH36" s="581"/>
      <c r="CI36" s="581"/>
      <c r="CJ36" s="581"/>
      <c r="CK36" s="581"/>
      <c r="CL36" s="581"/>
      <c r="CM36" s="582"/>
      <c r="CN36" s="581"/>
      <c r="CO36" s="581"/>
      <c r="CP36" s="581"/>
      <c r="CQ36" s="581"/>
      <c r="CR36" s="581"/>
      <c r="CS36" s="581"/>
      <c r="CT36" s="581"/>
      <c r="CU36" s="581"/>
      <c r="CV36" s="582"/>
      <c r="CW36" s="581"/>
      <c r="CX36" s="581"/>
      <c r="CY36" s="581"/>
      <c r="CZ36" s="581"/>
      <c r="DA36" s="581"/>
      <c r="DB36" s="581"/>
      <c r="DC36" s="581"/>
      <c r="DD36" s="581"/>
      <c r="DE36" s="582"/>
      <c r="DF36" s="581"/>
      <c r="DG36" s="581"/>
      <c r="DH36" s="581"/>
      <c r="DI36" s="581"/>
      <c r="DJ36" s="581"/>
      <c r="DK36" s="581"/>
      <c r="DL36" s="581"/>
      <c r="DM36" s="581"/>
      <c r="DN36" s="582"/>
      <c r="DO36" s="581"/>
      <c r="DP36" s="581"/>
      <c r="DQ36" s="581"/>
      <c r="DR36" s="581"/>
      <c r="DS36" s="581"/>
      <c r="DT36" s="581"/>
      <c r="DU36" s="581"/>
      <c r="DV36" s="581"/>
      <c r="DW36" s="582"/>
      <c r="DX36" s="581"/>
      <c r="DY36" s="581"/>
      <c r="DZ36" s="581"/>
      <c r="EA36" s="581"/>
      <c r="EB36" s="581"/>
      <c r="EC36" s="581"/>
      <c r="ED36" s="581"/>
      <c r="EE36" s="581"/>
      <c r="EF36" s="582"/>
      <c r="EG36" s="581"/>
      <c r="EH36" s="581"/>
      <c r="EI36" s="581"/>
      <c r="EJ36" s="581"/>
      <c r="EK36" s="581"/>
      <c r="EL36" s="581"/>
      <c r="EM36" s="581"/>
      <c r="EN36" s="581"/>
      <c r="EO36" s="582"/>
      <c r="EP36" s="581"/>
      <c r="EQ36" s="581"/>
      <c r="ER36" s="581"/>
      <c r="ES36" s="581"/>
      <c r="ET36" s="581"/>
      <c r="EU36" s="581"/>
      <c r="EV36" s="581"/>
      <c r="EW36" s="581"/>
      <c r="EX36" s="582"/>
      <c r="EY36" s="581"/>
      <c r="EZ36" s="581"/>
      <c r="FA36" s="581"/>
      <c r="FB36" s="581"/>
      <c r="FC36" s="581"/>
      <c r="FD36" s="581"/>
      <c r="FE36" s="581"/>
      <c r="FF36" s="581"/>
      <c r="FG36" s="582"/>
      <c r="FH36" s="581"/>
      <c r="FI36" s="581"/>
      <c r="FJ36" s="581"/>
      <c r="FK36" s="581"/>
      <c r="FL36" s="581"/>
      <c r="FM36" s="581"/>
      <c r="FN36" s="581"/>
      <c r="FO36" s="581"/>
      <c r="FP36" s="582"/>
      <c r="FQ36" s="581"/>
      <c r="FR36" s="581"/>
      <c r="FS36" s="581"/>
      <c r="FT36" s="581"/>
      <c r="FU36" s="581"/>
      <c r="FV36" s="581"/>
      <c r="FW36" s="581"/>
      <c r="FX36" s="581"/>
      <c r="FY36" s="582"/>
      <c r="FZ36" s="581"/>
      <c r="GA36" s="581"/>
      <c r="GB36" s="581"/>
      <c r="GC36" s="581"/>
      <c r="GD36" s="581"/>
      <c r="GE36" s="581"/>
      <c r="GF36" s="581"/>
      <c r="GG36" s="581"/>
      <c r="GH36" s="582"/>
      <c r="GI36" s="581"/>
      <c r="GJ36" s="581"/>
      <c r="GK36" s="581"/>
      <c r="GL36" s="581"/>
      <c r="GM36" s="581"/>
      <c r="GN36" s="581"/>
      <c r="GO36" s="581"/>
      <c r="GP36" s="581"/>
      <c r="GQ36" s="582"/>
      <c r="GR36" s="581"/>
      <c r="GS36" s="581"/>
      <c r="GT36" s="581"/>
      <c r="GU36" s="581"/>
      <c r="GV36" s="581"/>
      <c r="GW36" s="581"/>
      <c r="GX36" s="581"/>
      <c r="GY36" s="581"/>
      <c r="GZ36" s="582"/>
      <c r="HA36" s="581"/>
      <c r="HB36" s="581"/>
      <c r="HC36" s="581"/>
      <c r="HD36" s="581"/>
      <c r="HE36" s="581"/>
      <c r="HF36" s="581"/>
      <c r="HG36" s="581"/>
      <c r="HH36" s="581"/>
      <c r="HI36" s="582"/>
      <c r="HJ36" s="581"/>
      <c r="HK36" s="581"/>
      <c r="HL36" s="581"/>
      <c r="HM36" s="581"/>
      <c r="HN36" s="581"/>
      <c r="HO36" s="581"/>
      <c r="HP36" s="581"/>
      <c r="HQ36" s="581"/>
      <c r="HR36" s="582"/>
      <c r="HS36" s="581"/>
      <c r="HT36" s="581"/>
      <c r="HU36" s="581"/>
      <c r="HV36" s="581"/>
      <c r="HW36" s="581"/>
      <c r="HX36" s="581"/>
      <c r="HY36" s="581"/>
      <c r="HZ36" s="581"/>
      <c r="IA36" s="582"/>
      <c r="IB36" s="581"/>
      <c r="IC36" s="581"/>
      <c r="ID36" s="581"/>
      <c r="IE36" s="581"/>
      <c r="IF36" s="581"/>
      <c r="IG36" s="581"/>
      <c r="IH36" s="581"/>
      <c r="II36" s="581"/>
      <c r="IJ36" s="582"/>
      <c r="IK36" s="581"/>
      <c r="IL36" s="581"/>
      <c r="IM36" s="581"/>
      <c r="IN36" s="581"/>
      <c r="IO36" s="581"/>
      <c r="IP36" s="581"/>
      <c r="IQ36" s="581"/>
      <c r="IR36" s="581"/>
      <c r="IS36" s="582"/>
      <c r="IT36" s="581"/>
      <c r="IU36" s="581"/>
      <c r="IV36" s="581"/>
      <c r="IW36" s="581"/>
      <c r="IX36" s="581"/>
      <c r="IY36" s="581"/>
      <c r="IZ36" s="581"/>
      <c r="JA36" s="581"/>
      <c r="JB36" s="582"/>
      <c r="JC36" s="581"/>
      <c r="JD36" s="581"/>
      <c r="JE36" s="581"/>
      <c r="JF36" s="581"/>
      <c r="JG36" s="581"/>
      <c r="JH36" s="581"/>
      <c r="JI36" s="581"/>
      <c r="JJ36" s="581"/>
      <c r="JK36" s="582"/>
      <c r="JL36" s="581"/>
      <c r="JM36" s="581"/>
      <c r="JN36" s="581"/>
      <c r="JO36" s="581"/>
      <c r="JP36" s="581"/>
      <c r="JQ36" s="581"/>
      <c r="JR36" s="581"/>
      <c r="JS36" s="581"/>
      <c r="JT36" s="582"/>
      <c r="JU36" s="581"/>
      <c r="JV36" s="581"/>
      <c r="JW36" s="581"/>
      <c r="JX36" s="581"/>
      <c r="JY36" s="581"/>
      <c r="JZ36" s="581"/>
      <c r="KA36" s="581"/>
      <c r="KB36" s="581"/>
      <c r="KC36" s="582"/>
      <c r="KD36" s="581"/>
      <c r="KE36" s="581"/>
      <c r="KF36" s="581"/>
      <c r="KG36" s="581"/>
      <c r="KH36" s="581"/>
      <c r="KI36" s="581"/>
      <c r="KJ36" s="581"/>
      <c r="KK36" s="581"/>
      <c r="KL36" s="582"/>
      <c r="KM36" s="581"/>
      <c r="KN36" s="581"/>
      <c r="KO36" s="581"/>
      <c r="KP36" s="581"/>
      <c r="KQ36" s="581"/>
      <c r="KR36" s="581"/>
      <c r="KS36" s="581"/>
      <c r="KT36" s="581"/>
      <c r="KU36" s="582"/>
      <c r="KV36" s="581"/>
      <c r="KW36" s="581"/>
      <c r="KX36" s="581"/>
      <c r="KY36" s="581"/>
      <c r="KZ36" s="581"/>
      <c r="LA36" s="581"/>
      <c r="LB36" s="581"/>
      <c r="LC36" s="581"/>
      <c r="LD36" s="582"/>
      <c r="LE36" s="581"/>
      <c r="LF36" s="581"/>
      <c r="LG36" s="581"/>
      <c r="LH36" s="581"/>
      <c r="LI36" s="581"/>
      <c r="LJ36" s="581"/>
      <c r="LK36" s="581"/>
      <c r="LL36" s="581"/>
      <c r="LM36" s="582"/>
      <c r="LN36" s="581"/>
      <c r="LO36" s="581"/>
      <c r="LP36" s="581"/>
      <c r="LQ36" s="581"/>
      <c r="LR36" s="581"/>
      <c r="LS36" s="581"/>
      <c r="LT36" s="581"/>
      <c r="LU36" s="581"/>
      <c r="LV36" s="582"/>
      <c r="LW36" s="581"/>
      <c r="LX36" s="581"/>
      <c r="LY36" s="581"/>
      <c r="LZ36" s="581"/>
      <c r="MA36" s="581"/>
      <c r="MB36" s="581"/>
      <c r="MC36" s="581"/>
      <c r="MD36" s="581"/>
      <c r="ME36" s="591"/>
    </row>
    <row r="37" customFormat="false" ht="10.5" hidden="false" customHeight="true" outlineLevel="0" collapsed="false">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10"/>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10"/>
      <c r="FX37" s="10"/>
      <c r="FY37" s="10"/>
      <c r="FZ37" s="10"/>
      <c r="GA37" s="10"/>
      <c r="GB37" s="10"/>
      <c r="GC37" s="10"/>
      <c r="GD37" s="10"/>
      <c r="GE37" s="10"/>
      <c r="GF37" s="10"/>
      <c r="GG37" s="10"/>
      <c r="GH37" s="10"/>
      <c r="GI37" s="10"/>
      <c r="GJ37" s="10"/>
      <c r="GK37" s="10"/>
      <c r="GL37" s="10"/>
      <c r="GM37" s="10"/>
      <c r="GN37" s="10"/>
      <c r="GO37" s="10"/>
      <c r="GP37" s="10"/>
      <c r="GQ37" s="10"/>
      <c r="GR37" s="10"/>
      <c r="GS37" s="10"/>
      <c r="GT37" s="10"/>
      <c r="GU37" s="10"/>
      <c r="GV37" s="10"/>
      <c r="GW37" s="10"/>
      <c r="GX37" s="10"/>
      <c r="GY37" s="10"/>
      <c r="GZ37" s="10"/>
      <c r="HA37" s="10"/>
      <c r="HB37" s="10"/>
      <c r="HC37" s="10"/>
      <c r="HD37" s="10"/>
      <c r="HE37" s="10"/>
      <c r="HF37" s="10"/>
      <c r="HG37" s="10"/>
      <c r="HH37" s="10"/>
      <c r="HI37" s="10"/>
      <c r="HJ37" s="10"/>
      <c r="HK37" s="10"/>
      <c r="HL37" s="10"/>
      <c r="HM37" s="10"/>
      <c r="HN37" s="10"/>
      <c r="HO37" s="10"/>
      <c r="HP37" s="10"/>
      <c r="HQ37" s="10"/>
      <c r="HR37" s="10"/>
      <c r="HS37" s="10"/>
      <c r="HT37" s="10"/>
      <c r="HU37" s="10"/>
      <c r="HV37" s="10"/>
      <c r="HW37" s="10"/>
      <c r="HX37" s="10"/>
      <c r="HY37" s="10"/>
      <c r="HZ37" s="10"/>
      <c r="IA37" s="10"/>
      <c r="IB37" s="10"/>
      <c r="IC37" s="10"/>
      <c r="ID37" s="10"/>
      <c r="IE37" s="10"/>
      <c r="IF37" s="10"/>
      <c r="IG37" s="10"/>
      <c r="IH37" s="10"/>
      <c r="II37" s="10"/>
      <c r="IJ37" s="10"/>
      <c r="IK37" s="10"/>
      <c r="IL37" s="10"/>
      <c r="IM37" s="10"/>
      <c r="IN37" s="10"/>
      <c r="IO37" s="10"/>
      <c r="IP37" s="10"/>
      <c r="IQ37" s="10"/>
      <c r="IR37" s="10"/>
      <c r="IS37" s="10"/>
      <c r="IT37" s="10"/>
      <c r="IU37" s="10"/>
      <c r="IV37" s="10"/>
      <c r="IW37" s="10"/>
      <c r="IX37" s="10"/>
      <c r="IY37" s="10"/>
      <c r="IZ37" s="10"/>
      <c r="JA37" s="10"/>
      <c r="JB37" s="10"/>
      <c r="JC37" s="10"/>
      <c r="JD37" s="10"/>
      <c r="JE37" s="10"/>
      <c r="JF37" s="10"/>
      <c r="JG37" s="10"/>
      <c r="JH37" s="10"/>
      <c r="JI37" s="10"/>
      <c r="JJ37" s="10"/>
      <c r="JK37" s="10"/>
      <c r="JL37" s="10"/>
      <c r="JM37" s="10"/>
      <c r="JN37" s="10"/>
      <c r="JO37" s="10"/>
      <c r="JP37" s="10"/>
      <c r="JQ37" s="10"/>
      <c r="JR37" s="10"/>
      <c r="JS37" s="10"/>
      <c r="JT37" s="10"/>
      <c r="JU37" s="10"/>
      <c r="JV37" s="10"/>
      <c r="JW37" s="10"/>
      <c r="JX37" s="10"/>
      <c r="JY37" s="10"/>
      <c r="JZ37" s="10"/>
      <c r="KA37" s="10"/>
      <c r="KB37" s="10"/>
      <c r="KC37" s="10"/>
      <c r="KD37" s="10"/>
      <c r="KE37" s="10"/>
      <c r="KF37" s="10"/>
      <c r="KG37" s="10"/>
      <c r="KH37" s="10"/>
      <c r="KI37" s="10"/>
      <c r="KJ37" s="10"/>
      <c r="KK37" s="10"/>
      <c r="KL37" s="10"/>
      <c r="KM37" s="10"/>
      <c r="KN37" s="10"/>
      <c r="KO37" s="10"/>
      <c r="KP37" s="10"/>
      <c r="KQ37" s="10"/>
      <c r="KR37" s="10"/>
      <c r="KS37" s="10"/>
      <c r="KT37" s="10"/>
      <c r="KU37" s="10"/>
      <c r="KV37" s="10"/>
      <c r="KW37" s="10"/>
      <c r="KX37" s="10"/>
      <c r="KY37" s="10"/>
      <c r="KZ37" s="10"/>
      <c r="LA37" s="10"/>
      <c r="LB37" s="10"/>
      <c r="LC37" s="10"/>
      <c r="LD37" s="10"/>
      <c r="LE37" s="10"/>
      <c r="LF37" s="10"/>
      <c r="LG37" s="10"/>
      <c r="LH37" s="10"/>
      <c r="LI37" s="10"/>
      <c r="LJ37" s="10"/>
      <c r="LK37" s="10"/>
      <c r="LL37" s="10"/>
      <c r="LM37" s="10"/>
      <c r="LN37" s="10"/>
      <c r="LO37" s="10"/>
      <c r="LP37" s="10"/>
      <c r="LQ37" s="10"/>
      <c r="LR37" s="10"/>
      <c r="LS37" s="10"/>
      <c r="LT37" s="10"/>
      <c r="LU37" s="10"/>
      <c r="LV37" s="10"/>
      <c r="LW37" s="10"/>
      <c r="LX37" s="10"/>
      <c r="LY37" s="10"/>
      <c r="LZ37" s="10"/>
      <c r="MA37" s="10"/>
      <c r="MB37" s="10"/>
      <c r="MC37" s="10"/>
      <c r="MD37" s="10"/>
      <c r="ME37" s="10"/>
    </row>
    <row r="38" customFormat="false" ht="9.75" hidden="false" customHeight="false" outlineLevel="0" collapsed="false">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10"/>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10"/>
      <c r="JP38" s="10"/>
      <c r="JQ38" s="10"/>
      <c r="JR38" s="10"/>
      <c r="JS38" s="10"/>
      <c r="JT38" s="10"/>
      <c r="JU38" s="10"/>
      <c r="JV38" s="10"/>
      <c r="JW38" s="10"/>
      <c r="JX38" s="10"/>
      <c r="JY38" s="10"/>
      <c r="JZ38" s="10"/>
      <c r="KA38" s="10"/>
      <c r="KB38" s="10"/>
      <c r="KC38" s="10"/>
      <c r="KD38" s="10"/>
      <c r="KE38" s="10"/>
      <c r="KF38" s="10"/>
      <c r="KG38" s="10"/>
      <c r="KH38" s="10"/>
      <c r="KI38" s="10"/>
      <c r="KJ38" s="10"/>
      <c r="KK38" s="10"/>
      <c r="KL38" s="10"/>
      <c r="KM38" s="10"/>
      <c r="KN38" s="10"/>
      <c r="KO38" s="10"/>
      <c r="KP38" s="10"/>
      <c r="KQ38" s="10"/>
      <c r="KR38" s="10"/>
      <c r="KS38" s="10"/>
      <c r="KT38" s="10"/>
      <c r="KU38" s="10"/>
      <c r="KV38" s="10"/>
      <c r="KW38" s="10"/>
      <c r="KX38" s="10"/>
      <c r="KY38" s="10"/>
      <c r="KZ38" s="10"/>
      <c r="LA38" s="10"/>
      <c r="LB38" s="10"/>
      <c r="LC38" s="10"/>
      <c r="LD38" s="10"/>
      <c r="LE38" s="10"/>
      <c r="LF38" s="10"/>
      <c r="LG38" s="10"/>
      <c r="LH38" s="10"/>
      <c r="LI38" s="10"/>
      <c r="LJ38" s="10"/>
      <c r="LK38" s="10"/>
      <c r="LL38" s="10"/>
      <c r="LM38" s="10"/>
      <c r="LN38" s="10"/>
      <c r="LO38" s="10"/>
      <c r="LP38" s="10"/>
      <c r="LQ38" s="10"/>
      <c r="LR38" s="10"/>
      <c r="LS38" s="10"/>
      <c r="LT38" s="10"/>
      <c r="LU38" s="10"/>
      <c r="LV38" s="10"/>
      <c r="LW38" s="10"/>
      <c r="LX38" s="10"/>
      <c r="LY38" s="10"/>
      <c r="LZ38" s="10"/>
      <c r="MA38" s="10"/>
      <c r="MB38" s="10"/>
      <c r="MC38" s="10"/>
      <c r="MD38" s="10"/>
      <c r="ME38" s="10"/>
    </row>
    <row r="39" customFormat="false" ht="9.75" hidden="false" customHeight="fals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10"/>
      <c r="HH39" s="10"/>
      <c r="HI39" s="10"/>
      <c r="HJ39" s="10"/>
      <c r="HK39" s="10"/>
      <c r="HL39" s="10"/>
      <c r="HM39" s="10"/>
      <c r="HN39" s="10"/>
      <c r="HO39" s="10"/>
      <c r="HP39" s="10"/>
      <c r="HQ39" s="10"/>
      <c r="HR39" s="10"/>
      <c r="HS39" s="10"/>
      <c r="HT39" s="10"/>
      <c r="HU39" s="10"/>
      <c r="HV39" s="10"/>
      <c r="HW39" s="10"/>
      <c r="HX39" s="10"/>
      <c r="HY39" s="10"/>
      <c r="HZ39" s="10"/>
      <c r="IA39" s="10"/>
      <c r="IB39" s="10"/>
      <c r="IC39" s="10"/>
      <c r="ID39" s="10"/>
      <c r="IE39" s="10"/>
      <c r="IF39" s="10"/>
      <c r="IG39" s="10"/>
      <c r="IH39" s="10"/>
      <c r="II39" s="10"/>
      <c r="IJ39" s="10"/>
      <c r="IK39" s="10"/>
      <c r="IL39" s="10"/>
      <c r="IM39" s="10"/>
      <c r="IN39" s="10"/>
      <c r="IO39" s="10"/>
      <c r="IP39" s="10"/>
      <c r="IQ39" s="10"/>
      <c r="IR39" s="10"/>
      <c r="IS39" s="10"/>
      <c r="IT39" s="10"/>
      <c r="IU39" s="10"/>
      <c r="IV39" s="10"/>
      <c r="IW39" s="10"/>
      <c r="IX39" s="10"/>
      <c r="IY39" s="10"/>
      <c r="IZ39" s="10"/>
      <c r="JA39" s="10"/>
      <c r="JB39" s="10"/>
      <c r="JC39" s="10"/>
      <c r="JD39" s="10"/>
      <c r="JE39" s="10"/>
      <c r="JF39" s="10"/>
      <c r="JG39" s="10"/>
      <c r="JH39" s="10"/>
      <c r="JI39" s="10"/>
      <c r="JJ39" s="10"/>
      <c r="JK39" s="10"/>
      <c r="JL39" s="10"/>
      <c r="JM39" s="10"/>
      <c r="JN39" s="10"/>
      <c r="JO39" s="10"/>
      <c r="JP39" s="10"/>
      <c r="JQ39" s="10"/>
      <c r="JR39" s="10"/>
      <c r="JS39" s="10"/>
      <c r="JT39" s="10"/>
      <c r="JU39" s="10"/>
      <c r="JV39" s="10"/>
      <c r="JW39" s="10"/>
      <c r="JX39" s="10"/>
      <c r="JY39" s="10"/>
      <c r="JZ39" s="10"/>
      <c r="KA39" s="10"/>
      <c r="KB39" s="10"/>
      <c r="KC39" s="10"/>
      <c r="KD39" s="10"/>
      <c r="KE39" s="10"/>
      <c r="KF39" s="10"/>
      <c r="KG39" s="10"/>
      <c r="KH39" s="10"/>
      <c r="KI39" s="10"/>
      <c r="KJ39" s="10"/>
      <c r="KK39" s="10"/>
      <c r="KL39" s="10"/>
      <c r="KM39" s="10"/>
      <c r="KN39" s="10"/>
      <c r="KO39" s="10"/>
      <c r="KP39" s="10"/>
      <c r="KQ39" s="10"/>
      <c r="KR39" s="10"/>
      <c r="KS39" s="10"/>
      <c r="KT39" s="10"/>
      <c r="KU39" s="10"/>
      <c r="KV39" s="10"/>
      <c r="KW39" s="10"/>
      <c r="KX39" s="10"/>
      <c r="KY39" s="10"/>
      <c r="KZ39" s="10"/>
      <c r="LA39" s="10"/>
      <c r="LB39" s="10"/>
      <c r="LC39" s="10"/>
      <c r="LD39" s="10"/>
      <c r="LE39" s="10"/>
      <c r="LF39" s="10"/>
      <c r="LG39" s="10"/>
      <c r="LH39" s="10"/>
      <c r="LI39" s="10"/>
      <c r="LJ39" s="10"/>
      <c r="LK39" s="10"/>
      <c r="LL39" s="10"/>
      <c r="LM39" s="10"/>
      <c r="LN39" s="10"/>
      <c r="LO39" s="10"/>
      <c r="LP39" s="10"/>
      <c r="LQ39" s="10"/>
      <c r="LR39" s="10"/>
      <c r="LS39" s="10"/>
      <c r="LT39" s="10"/>
      <c r="LU39" s="10"/>
      <c r="LV39" s="10"/>
      <c r="LW39" s="10"/>
      <c r="LX39" s="10"/>
      <c r="LY39" s="10"/>
      <c r="LZ39" s="10"/>
      <c r="MA39" s="10"/>
      <c r="MB39" s="10"/>
      <c r="MC39" s="10"/>
      <c r="MD39" s="10"/>
      <c r="ME39" s="10"/>
    </row>
    <row r="40" customFormat="false" ht="9.75" hidden="false" customHeight="fals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10"/>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10"/>
      <c r="JP40" s="10"/>
      <c r="JQ40" s="10"/>
      <c r="JR40" s="10"/>
      <c r="JS40" s="10"/>
      <c r="JT40" s="10"/>
      <c r="JU40" s="10"/>
      <c r="JV40" s="10"/>
      <c r="JW40" s="10"/>
      <c r="JX40" s="10"/>
      <c r="JY40" s="10"/>
      <c r="JZ40" s="10"/>
      <c r="KA40" s="10"/>
      <c r="KB40" s="10"/>
      <c r="KC40" s="10"/>
      <c r="KD40" s="10"/>
      <c r="KE40" s="10"/>
      <c r="KF40" s="10"/>
      <c r="KG40" s="10"/>
      <c r="KH40" s="10"/>
      <c r="KI40" s="10"/>
      <c r="KJ40" s="10"/>
      <c r="KK40" s="10"/>
      <c r="KL40" s="10"/>
      <c r="KM40" s="10"/>
      <c r="KN40" s="10"/>
      <c r="KO40" s="10"/>
      <c r="KP40" s="10"/>
      <c r="KQ40" s="10"/>
      <c r="KR40" s="10"/>
      <c r="KS40" s="10"/>
      <c r="KT40" s="10"/>
      <c r="KU40" s="10"/>
      <c r="KV40" s="10"/>
      <c r="KW40" s="10"/>
      <c r="KX40" s="10"/>
      <c r="KY40" s="10"/>
      <c r="KZ40" s="10"/>
      <c r="LA40" s="10"/>
      <c r="LB40" s="10"/>
      <c r="LC40" s="10"/>
      <c r="LD40" s="10"/>
      <c r="LE40" s="10"/>
      <c r="LF40" s="10"/>
      <c r="LG40" s="10"/>
      <c r="LH40" s="10"/>
      <c r="LI40" s="10"/>
      <c r="LJ40" s="10"/>
      <c r="LK40" s="10"/>
      <c r="LL40" s="10"/>
      <c r="LM40" s="10"/>
      <c r="LN40" s="10"/>
      <c r="LO40" s="10"/>
      <c r="LP40" s="10"/>
      <c r="LQ40" s="10"/>
      <c r="LR40" s="10"/>
      <c r="LS40" s="10"/>
      <c r="LT40" s="10"/>
      <c r="LU40" s="10"/>
      <c r="LV40" s="10"/>
      <c r="LW40" s="10"/>
      <c r="LX40" s="10"/>
      <c r="LY40" s="10"/>
      <c r="LZ40" s="10"/>
      <c r="MA40" s="10"/>
      <c r="MB40" s="10"/>
      <c r="MC40" s="10"/>
      <c r="MD40" s="10"/>
      <c r="ME40" s="10"/>
    </row>
    <row r="41" customFormat="false" ht="9.75" hidden="false" customHeight="fals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c r="IG41" s="10"/>
      <c r="IH41" s="10"/>
      <c r="II41" s="10"/>
      <c r="IJ41" s="10"/>
      <c r="IK41" s="10"/>
      <c r="IL41" s="10"/>
      <c r="IM41" s="10"/>
      <c r="IN41" s="10"/>
      <c r="IO41" s="10"/>
      <c r="IP41" s="10"/>
      <c r="IQ41" s="10"/>
      <c r="IR41" s="10"/>
      <c r="IS41" s="10"/>
      <c r="IT41" s="10"/>
      <c r="IU41" s="10"/>
      <c r="IV41" s="10"/>
      <c r="IW41" s="10"/>
      <c r="IX41" s="10"/>
      <c r="IY41" s="10"/>
      <c r="IZ41" s="10"/>
      <c r="JA41" s="10"/>
      <c r="JB41" s="10"/>
      <c r="JC41" s="10"/>
      <c r="JD41" s="10"/>
      <c r="JE41" s="10"/>
      <c r="JF41" s="10"/>
      <c r="JG41" s="10"/>
      <c r="JH41" s="10"/>
      <c r="JI41" s="10"/>
      <c r="JJ41" s="10"/>
      <c r="JK41" s="10"/>
      <c r="JL41" s="10"/>
      <c r="JM41" s="10"/>
      <c r="JN41" s="10"/>
      <c r="JO41" s="10"/>
      <c r="JP41" s="10"/>
      <c r="JQ41" s="10"/>
      <c r="JR41" s="10"/>
      <c r="JS41" s="10"/>
      <c r="JT41" s="10"/>
      <c r="JU41" s="10"/>
      <c r="JV41" s="10"/>
      <c r="JW41" s="10"/>
      <c r="JX41" s="10"/>
      <c r="JY41" s="10"/>
      <c r="JZ41" s="10"/>
      <c r="KA41" s="10"/>
      <c r="KB41" s="10"/>
      <c r="KC41" s="10"/>
      <c r="KD41" s="10"/>
      <c r="KE41" s="10"/>
      <c r="KF41" s="10"/>
      <c r="KG41" s="10"/>
      <c r="KH41" s="10"/>
      <c r="KI41" s="10"/>
      <c r="KJ41" s="10"/>
      <c r="KK41" s="10"/>
      <c r="KL41" s="10"/>
      <c r="KM41" s="10"/>
      <c r="KN41" s="10"/>
      <c r="KO41" s="10"/>
      <c r="KP41" s="10"/>
      <c r="KQ41" s="10"/>
      <c r="KR41" s="10"/>
      <c r="KS41" s="10"/>
      <c r="KT41" s="10"/>
      <c r="KU41" s="10"/>
      <c r="KV41" s="10"/>
      <c r="KW41" s="10"/>
      <c r="KX41" s="10"/>
      <c r="KY41" s="10"/>
      <c r="KZ41" s="10"/>
      <c r="LA41" s="10"/>
      <c r="LB41" s="10"/>
      <c r="LC41" s="10"/>
      <c r="LD41" s="10"/>
      <c r="LE41" s="10"/>
      <c r="LF41" s="10"/>
      <c r="LG41" s="10"/>
      <c r="LH41" s="10"/>
      <c r="LI41" s="10"/>
      <c r="LJ41" s="10"/>
      <c r="LK41" s="10"/>
      <c r="LL41" s="10"/>
      <c r="LM41" s="10"/>
      <c r="LN41" s="10"/>
      <c r="LO41" s="10"/>
      <c r="LP41" s="10"/>
      <c r="LQ41" s="10"/>
      <c r="LR41" s="10"/>
      <c r="LS41" s="10"/>
      <c r="LT41" s="10"/>
      <c r="LU41" s="10"/>
      <c r="LV41" s="10"/>
      <c r="LW41" s="10"/>
      <c r="LX41" s="10"/>
      <c r="LY41" s="10"/>
      <c r="LZ41" s="10"/>
      <c r="MA41" s="10"/>
      <c r="MB41" s="10"/>
      <c r="MC41" s="10"/>
      <c r="MD41" s="10"/>
      <c r="ME41" s="10"/>
    </row>
    <row r="42" customFormat="false" ht="9.75" hidden="false" customHeight="fals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10"/>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row>
    <row r="43" customFormat="false" ht="9.75" hidden="false" customHeight="fals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10"/>
      <c r="JP43" s="10"/>
      <c r="JQ43" s="10"/>
      <c r="JR43" s="10"/>
      <c r="JS43" s="10"/>
      <c r="JT43" s="10"/>
      <c r="JU43" s="10"/>
      <c r="JV43" s="10"/>
      <c r="JW43" s="10"/>
      <c r="JX43" s="10"/>
      <c r="JY43" s="10"/>
      <c r="JZ43" s="10"/>
      <c r="KA43" s="10"/>
      <c r="KB43" s="10"/>
      <c r="KC43" s="10"/>
      <c r="KD43" s="10"/>
      <c r="KE43" s="10"/>
      <c r="KF43" s="10"/>
      <c r="KG43" s="10"/>
      <c r="KH43" s="10"/>
      <c r="KI43" s="10"/>
      <c r="KJ43" s="10"/>
      <c r="KK43" s="10"/>
      <c r="KL43" s="10"/>
      <c r="KM43" s="10"/>
      <c r="KN43" s="10"/>
      <c r="KO43" s="10"/>
      <c r="KP43" s="10"/>
      <c r="KQ43" s="10"/>
      <c r="KR43" s="10"/>
      <c r="KS43" s="10"/>
      <c r="KT43" s="10"/>
      <c r="KU43" s="10"/>
      <c r="KV43" s="10"/>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c r="LX43" s="10"/>
      <c r="LY43" s="10"/>
      <c r="LZ43" s="10"/>
      <c r="MA43" s="10"/>
      <c r="MB43" s="10"/>
      <c r="MC43" s="10"/>
      <c r="MD43" s="10"/>
      <c r="ME43" s="10"/>
    </row>
    <row r="44" customFormat="false" ht="9.75" hidden="false" customHeight="fals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10"/>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10"/>
      <c r="JP44" s="10"/>
      <c r="JQ44" s="10"/>
      <c r="JR44" s="10"/>
      <c r="JS44" s="10"/>
      <c r="JT44" s="10"/>
      <c r="JU44" s="10"/>
      <c r="JV44" s="10"/>
      <c r="JW44" s="10"/>
      <c r="JX44" s="10"/>
      <c r="JY44" s="10"/>
      <c r="JZ44" s="10"/>
      <c r="KA44" s="10"/>
      <c r="KB44" s="10"/>
      <c r="KC44" s="10"/>
      <c r="KD44" s="10"/>
      <c r="KE44" s="10"/>
      <c r="KF44" s="10"/>
      <c r="KG44" s="10"/>
      <c r="KH44" s="10"/>
      <c r="KI44" s="10"/>
      <c r="KJ44" s="10"/>
      <c r="KK44" s="10"/>
      <c r="KL44" s="10"/>
      <c r="KM44" s="10"/>
      <c r="KN44" s="10"/>
      <c r="KO44" s="10"/>
      <c r="KP44" s="10"/>
      <c r="KQ44" s="10"/>
      <c r="KR44" s="10"/>
      <c r="KS44" s="10"/>
      <c r="KT44" s="10"/>
      <c r="KU44" s="10"/>
      <c r="KV44" s="10"/>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c r="LX44" s="10"/>
      <c r="LY44" s="10"/>
      <c r="LZ44" s="10"/>
      <c r="MA44" s="10"/>
      <c r="MB44" s="10"/>
      <c r="MC44" s="10"/>
      <c r="MD44" s="10"/>
      <c r="ME44" s="10"/>
    </row>
    <row r="45" customFormat="false" ht="9.75" hidden="false" customHeight="fals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row>
    <row r="46" customFormat="false" ht="9.75" hidden="false" customHeight="fals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row>
    <row r="47" customFormat="false" ht="9.75" hidden="false" customHeight="fals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c r="HX47" s="10"/>
      <c r="HY47" s="10"/>
      <c r="HZ47" s="10"/>
      <c r="IA47" s="10"/>
      <c r="IB47" s="10"/>
      <c r="IC47" s="10"/>
      <c r="ID47" s="10"/>
      <c r="IE47" s="10"/>
      <c r="IF47" s="10"/>
      <c r="IG47" s="10"/>
      <c r="IH47" s="10"/>
      <c r="II47" s="10"/>
      <c r="IJ47" s="10"/>
      <c r="IK47" s="10"/>
      <c r="IL47" s="10"/>
      <c r="IM47" s="10"/>
      <c r="IN47" s="10"/>
      <c r="IO47" s="10"/>
      <c r="IP47" s="10"/>
      <c r="IQ47" s="10"/>
      <c r="IR47" s="10"/>
      <c r="IS47" s="10"/>
      <c r="IT47" s="10"/>
      <c r="IU47" s="10"/>
      <c r="IV47" s="10"/>
      <c r="IW47" s="10"/>
      <c r="IX47" s="10"/>
      <c r="IY47" s="10"/>
      <c r="IZ47" s="10"/>
      <c r="JA47" s="10"/>
      <c r="JB47" s="10"/>
      <c r="JC47" s="10"/>
      <c r="JD47" s="10"/>
      <c r="JE47" s="10"/>
      <c r="JF47" s="10"/>
      <c r="JG47" s="10"/>
      <c r="JH47" s="10"/>
      <c r="JI47" s="10"/>
      <c r="JJ47" s="10"/>
      <c r="JK47" s="10"/>
      <c r="JL47" s="10"/>
      <c r="JM47" s="10"/>
      <c r="JN47" s="10"/>
      <c r="JO47" s="10"/>
      <c r="JP47" s="10"/>
      <c r="JQ47" s="10"/>
      <c r="JR47" s="10"/>
      <c r="JS47" s="10"/>
      <c r="JT47" s="10"/>
      <c r="JU47" s="10"/>
      <c r="JV47" s="10"/>
      <c r="JW47" s="10"/>
      <c r="JX47" s="10"/>
      <c r="JY47" s="10"/>
      <c r="JZ47" s="10"/>
      <c r="KA47" s="10"/>
      <c r="KB47" s="10"/>
      <c r="KC47" s="10"/>
      <c r="KD47" s="10"/>
      <c r="KE47" s="10"/>
      <c r="KF47" s="10"/>
      <c r="KG47" s="10"/>
      <c r="KH47" s="10"/>
      <c r="KI47" s="10"/>
      <c r="KJ47" s="10"/>
      <c r="KK47" s="10"/>
      <c r="KL47" s="10"/>
      <c r="KM47" s="10"/>
      <c r="KN47" s="10"/>
      <c r="KO47" s="10"/>
      <c r="KP47" s="10"/>
      <c r="KQ47" s="10"/>
      <c r="KR47" s="10"/>
      <c r="KS47" s="10"/>
      <c r="KT47" s="10"/>
      <c r="KU47" s="10"/>
      <c r="KV47" s="10"/>
      <c r="KW47" s="10"/>
      <c r="KX47" s="10"/>
      <c r="KY47" s="10"/>
      <c r="KZ47" s="10"/>
      <c r="LA47" s="10"/>
      <c r="LB47" s="10"/>
      <c r="LC47" s="10"/>
      <c r="LD47" s="10"/>
      <c r="LE47" s="10"/>
      <c r="LF47" s="10"/>
      <c r="LG47" s="10"/>
      <c r="LH47" s="10"/>
      <c r="LI47" s="10"/>
      <c r="LJ47" s="10"/>
      <c r="LK47" s="10"/>
      <c r="LL47" s="10"/>
      <c r="LM47" s="10"/>
      <c r="LN47" s="10"/>
      <c r="LO47" s="10"/>
      <c r="LP47" s="10"/>
      <c r="LQ47" s="10"/>
      <c r="LR47" s="10"/>
      <c r="LS47" s="10"/>
      <c r="LT47" s="10"/>
      <c r="LU47" s="10"/>
      <c r="LV47" s="10"/>
      <c r="LW47" s="10"/>
      <c r="LX47" s="10"/>
      <c r="LY47" s="10"/>
      <c r="LZ47" s="10"/>
      <c r="MA47" s="10"/>
      <c r="MB47" s="10"/>
      <c r="MC47" s="10"/>
      <c r="MD47" s="10"/>
      <c r="ME47" s="10"/>
    </row>
    <row r="48" customFormat="false" ht="9.75" hidden="false" customHeight="fals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c r="HX48" s="10"/>
      <c r="HY48" s="10"/>
      <c r="HZ48" s="10"/>
      <c r="IA48" s="10"/>
      <c r="IB48" s="10"/>
      <c r="IC48" s="10"/>
      <c r="ID48" s="10"/>
      <c r="IE48" s="10"/>
      <c r="IF48" s="10"/>
      <c r="IG48" s="10"/>
      <c r="IH48" s="10"/>
      <c r="II48" s="10"/>
      <c r="IJ48" s="10"/>
      <c r="IK48" s="10"/>
      <c r="IL48" s="10"/>
      <c r="IM48" s="10"/>
      <c r="IN48" s="10"/>
      <c r="IO48" s="10"/>
      <c r="IP48" s="10"/>
      <c r="IQ48" s="10"/>
      <c r="IR48" s="10"/>
      <c r="IS48" s="10"/>
      <c r="IT48" s="10"/>
      <c r="IU48" s="10"/>
      <c r="IV48" s="10"/>
      <c r="IW48" s="10"/>
      <c r="IX48" s="10"/>
      <c r="IY48" s="10"/>
      <c r="IZ48" s="10"/>
      <c r="JA48" s="10"/>
      <c r="JB48" s="10"/>
      <c r="JC48" s="10"/>
      <c r="JD48" s="10"/>
      <c r="JE48" s="10"/>
      <c r="JF48" s="10"/>
      <c r="JG48" s="10"/>
      <c r="JH48" s="10"/>
      <c r="JI48" s="10"/>
      <c r="JJ48" s="10"/>
      <c r="JK48" s="10"/>
      <c r="JL48" s="10"/>
      <c r="JM48" s="10"/>
      <c r="JN48" s="10"/>
      <c r="JO48" s="10"/>
      <c r="JP48" s="10"/>
      <c r="JQ48" s="10"/>
      <c r="JR48" s="10"/>
      <c r="JS48" s="10"/>
      <c r="JT48" s="10"/>
      <c r="JU48" s="10"/>
      <c r="JV48" s="10"/>
      <c r="JW48" s="10"/>
      <c r="JX48" s="10"/>
      <c r="JY48" s="10"/>
      <c r="JZ48" s="10"/>
      <c r="KA48" s="10"/>
      <c r="KB48" s="10"/>
      <c r="KC48" s="10"/>
      <c r="KD48" s="10"/>
      <c r="KE48" s="10"/>
      <c r="KF48" s="10"/>
      <c r="KG48" s="10"/>
      <c r="KH48" s="10"/>
      <c r="KI48" s="10"/>
      <c r="KJ48" s="10"/>
      <c r="KK48" s="10"/>
      <c r="KL48" s="10"/>
      <c r="KM48" s="10"/>
      <c r="KN48" s="10"/>
      <c r="KO48" s="10"/>
      <c r="KP48" s="10"/>
      <c r="KQ48" s="10"/>
      <c r="KR48" s="10"/>
      <c r="KS48" s="10"/>
      <c r="KT48" s="10"/>
      <c r="KU48" s="10"/>
      <c r="KV48" s="10"/>
      <c r="KW48" s="10"/>
      <c r="KX48" s="10"/>
      <c r="KY48" s="10"/>
      <c r="KZ48" s="10"/>
      <c r="LA48" s="10"/>
      <c r="LB48" s="10"/>
      <c r="LC48" s="10"/>
      <c r="LD48" s="10"/>
      <c r="LE48" s="10"/>
      <c r="LF48" s="10"/>
      <c r="LG48" s="10"/>
      <c r="LH48" s="10"/>
      <c r="LI48" s="10"/>
      <c r="LJ48" s="10"/>
      <c r="LK48" s="10"/>
      <c r="LL48" s="10"/>
      <c r="LM48" s="10"/>
      <c r="LN48" s="10"/>
      <c r="LO48" s="10"/>
      <c r="LP48" s="10"/>
      <c r="LQ48" s="10"/>
      <c r="LR48" s="10"/>
      <c r="LS48" s="10"/>
      <c r="LT48" s="10"/>
      <c r="LU48" s="10"/>
      <c r="LV48" s="10"/>
      <c r="LW48" s="10"/>
      <c r="LX48" s="10"/>
      <c r="LY48" s="10"/>
      <c r="LZ48" s="10"/>
      <c r="MA48" s="10"/>
      <c r="MB48" s="10"/>
      <c r="MC48" s="10"/>
      <c r="MD48" s="10"/>
      <c r="ME48" s="10"/>
    </row>
    <row r="49" customFormat="false" ht="9.75" hidden="false" customHeight="fals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c r="HX49" s="10"/>
      <c r="HY49" s="10"/>
      <c r="HZ49" s="10"/>
      <c r="IA49" s="10"/>
      <c r="IB49" s="10"/>
      <c r="IC49" s="10"/>
      <c r="ID49" s="10"/>
      <c r="IE49" s="10"/>
      <c r="IF49" s="10"/>
      <c r="IG49" s="10"/>
      <c r="IH49" s="10"/>
      <c r="II49" s="10"/>
      <c r="IJ49" s="10"/>
      <c r="IK49" s="10"/>
      <c r="IL49" s="10"/>
      <c r="IM49" s="10"/>
      <c r="IN49" s="10"/>
      <c r="IO49" s="10"/>
      <c r="IP49" s="10"/>
      <c r="IQ49" s="10"/>
      <c r="IR49" s="10"/>
      <c r="IS49" s="10"/>
      <c r="IT49" s="10"/>
      <c r="IU49" s="10"/>
      <c r="IV49" s="10"/>
      <c r="IW49" s="10"/>
      <c r="IX49" s="10"/>
      <c r="IY49" s="10"/>
      <c r="IZ49" s="10"/>
      <c r="JA49" s="10"/>
      <c r="JB49" s="10"/>
      <c r="JC49" s="10"/>
      <c r="JD49" s="10"/>
      <c r="JE49" s="10"/>
      <c r="JF49" s="10"/>
      <c r="JG49" s="10"/>
      <c r="JH49" s="10"/>
      <c r="JI49" s="10"/>
      <c r="JJ49" s="10"/>
      <c r="JK49" s="10"/>
      <c r="JL49" s="10"/>
      <c r="JM49" s="10"/>
      <c r="JN49" s="10"/>
      <c r="JO49" s="10"/>
      <c r="JP49" s="10"/>
      <c r="JQ49" s="10"/>
      <c r="JR49" s="10"/>
      <c r="JS49" s="10"/>
      <c r="JT49" s="10"/>
      <c r="JU49" s="10"/>
      <c r="JV49" s="10"/>
      <c r="JW49" s="10"/>
      <c r="JX49" s="10"/>
      <c r="JY49" s="10"/>
      <c r="JZ49" s="10"/>
      <c r="KA49" s="10"/>
      <c r="KB49" s="10"/>
      <c r="KC49" s="10"/>
      <c r="KD49" s="10"/>
      <c r="KE49" s="10"/>
      <c r="KF49" s="10"/>
      <c r="KG49" s="10"/>
      <c r="KH49" s="10"/>
      <c r="KI49" s="10"/>
      <c r="KJ49" s="10"/>
      <c r="KK49" s="10"/>
      <c r="KL49" s="10"/>
      <c r="KM49" s="10"/>
      <c r="KN49" s="10"/>
      <c r="KO49" s="10"/>
      <c r="KP49" s="10"/>
      <c r="KQ49" s="10"/>
      <c r="KR49" s="10"/>
      <c r="KS49" s="10"/>
      <c r="KT49" s="10"/>
      <c r="KU49" s="10"/>
      <c r="KV49" s="10"/>
      <c r="KW49" s="10"/>
      <c r="KX49" s="10"/>
      <c r="KY49" s="10"/>
      <c r="KZ49" s="10"/>
      <c r="LA49" s="10"/>
      <c r="LB49" s="10"/>
      <c r="LC49" s="10"/>
      <c r="LD49" s="10"/>
      <c r="LE49" s="10"/>
      <c r="LF49" s="10"/>
      <c r="LG49" s="10"/>
      <c r="LH49" s="10"/>
      <c r="LI49" s="10"/>
      <c r="LJ49" s="10"/>
      <c r="LK49" s="10"/>
      <c r="LL49" s="10"/>
      <c r="LM49" s="10"/>
      <c r="LN49" s="10"/>
      <c r="LO49" s="10"/>
      <c r="LP49" s="10"/>
      <c r="LQ49" s="10"/>
      <c r="LR49" s="10"/>
      <c r="LS49" s="10"/>
      <c r="LT49" s="10"/>
      <c r="LU49" s="10"/>
      <c r="LV49" s="10"/>
      <c r="LW49" s="10"/>
      <c r="LX49" s="10"/>
      <c r="LY49" s="10"/>
      <c r="LZ49" s="10"/>
      <c r="MA49" s="10"/>
      <c r="MB49" s="10"/>
      <c r="MC49" s="10"/>
      <c r="MD49" s="10"/>
      <c r="ME49" s="10"/>
    </row>
    <row r="50" customFormat="false" ht="9.75" hidden="false" customHeight="fals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c r="IG50" s="10"/>
      <c r="IH50" s="10"/>
      <c r="II50" s="10"/>
      <c r="IJ50" s="10"/>
      <c r="IK50" s="10"/>
      <c r="IL50" s="10"/>
      <c r="IM50" s="10"/>
      <c r="IN50" s="10"/>
      <c r="IO50" s="10"/>
      <c r="IP50" s="10"/>
      <c r="IQ50" s="10"/>
      <c r="IR50" s="10"/>
      <c r="IS50" s="10"/>
      <c r="IT50" s="10"/>
      <c r="IU50" s="10"/>
      <c r="IV50" s="10"/>
      <c r="IW50" s="10"/>
      <c r="IX50" s="10"/>
      <c r="IY50" s="10"/>
      <c r="IZ50" s="10"/>
      <c r="JA50" s="10"/>
      <c r="JB50" s="10"/>
      <c r="JC50" s="10"/>
      <c r="JD50" s="10"/>
      <c r="JE50" s="10"/>
      <c r="JF50" s="10"/>
      <c r="JG50" s="10"/>
      <c r="JH50" s="10"/>
      <c r="JI50" s="10"/>
      <c r="JJ50" s="10"/>
      <c r="JK50" s="10"/>
      <c r="JL50" s="10"/>
      <c r="JM50" s="10"/>
      <c r="JN50" s="10"/>
      <c r="JO50" s="10"/>
      <c r="JP50" s="10"/>
      <c r="JQ50" s="10"/>
      <c r="JR50" s="10"/>
      <c r="JS50" s="10"/>
      <c r="JT50" s="10"/>
      <c r="JU50" s="10"/>
      <c r="JV50" s="10"/>
      <c r="JW50" s="10"/>
      <c r="JX50" s="10"/>
      <c r="JY50" s="10"/>
      <c r="JZ50" s="10"/>
      <c r="KA50" s="10"/>
      <c r="KB50" s="10"/>
      <c r="KC50" s="10"/>
      <c r="KD50" s="10"/>
      <c r="KE50" s="10"/>
      <c r="KF50" s="10"/>
      <c r="KG50" s="10"/>
      <c r="KH50" s="10"/>
      <c r="KI50" s="10"/>
      <c r="KJ50" s="10"/>
      <c r="KK50" s="10"/>
      <c r="KL50" s="10"/>
      <c r="KM50" s="10"/>
      <c r="KN50" s="10"/>
      <c r="KO50" s="10"/>
      <c r="KP50" s="10"/>
      <c r="KQ50" s="10"/>
      <c r="KR50" s="10"/>
      <c r="KS50" s="10"/>
      <c r="KT50" s="10"/>
      <c r="KU50" s="10"/>
      <c r="KV50" s="10"/>
      <c r="KW50" s="10"/>
      <c r="KX50" s="10"/>
      <c r="KY50" s="10"/>
      <c r="KZ50" s="10"/>
      <c r="LA50" s="10"/>
      <c r="LB50" s="10"/>
      <c r="LC50" s="10"/>
      <c r="LD50" s="10"/>
      <c r="LE50" s="10"/>
      <c r="LF50" s="10"/>
      <c r="LG50" s="10"/>
      <c r="LH50" s="10"/>
      <c r="LI50" s="10"/>
      <c r="LJ50" s="10"/>
      <c r="LK50" s="10"/>
      <c r="LL50" s="10"/>
      <c r="LM50" s="10"/>
      <c r="LN50" s="10"/>
      <c r="LO50" s="10"/>
      <c r="LP50" s="10"/>
      <c r="LQ50" s="10"/>
      <c r="LR50" s="10"/>
      <c r="LS50" s="10"/>
      <c r="LT50" s="10"/>
      <c r="LU50" s="10"/>
      <c r="LV50" s="10"/>
      <c r="LW50" s="10"/>
      <c r="LX50" s="10"/>
      <c r="LY50" s="10"/>
      <c r="LZ50" s="10"/>
      <c r="MA50" s="10"/>
      <c r="MB50" s="10"/>
      <c r="MC50" s="10"/>
      <c r="MD50" s="10"/>
      <c r="ME50" s="10"/>
    </row>
    <row r="51" customFormat="false" ht="9.75" hidden="false" customHeight="fals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c r="HX51" s="10"/>
      <c r="HY51" s="10"/>
      <c r="HZ51" s="10"/>
      <c r="IA51" s="10"/>
      <c r="IB51" s="10"/>
      <c r="IC51" s="10"/>
      <c r="ID51" s="10"/>
      <c r="IE51" s="10"/>
      <c r="IF51" s="10"/>
      <c r="IG51" s="10"/>
      <c r="IH51" s="10"/>
      <c r="II51" s="10"/>
      <c r="IJ51" s="10"/>
      <c r="IK51" s="10"/>
      <c r="IL51" s="10"/>
      <c r="IM51" s="10"/>
      <c r="IN51" s="10"/>
      <c r="IO51" s="10"/>
      <c r="IP51" s="10"/>
      <c r="IQ51" s="10"/>
      <c r="IR51" s="10"/>
      <c r="IS51" s="10"/>
      <c r="IT51" s="10"/>
      <c r="IU51" s="10"/>
      <c r="IV51" s="10"/>
      <c r="IW51" s="10"/>
      <c r="IX51" s="10"/>
      <c r="IY51" s="10"/>
      <c r="IZ51" s="10"/>
      <c r="JA51" s="10"/>
      <c r="JB51" s="10"/>
      <c r="JC51" s="10"/>
      <c r="JD51" s="10"/>
      <c r="JE51" s="10"/>
      <c r="JF51" s="10"/>
      <c r="JG51" s="10"/>
      <c r="JH51" s="10"/>
      <c r="JI51" s="10"/>
      <c r="JJ51" s="10"/>
      <c r="JK51" s="10"/>
      <c r="JL51" s="10"/>
      <c r="JM51" s="10"/>
      <c r="JN51" s="10"/>
      <c r="JO51" s="10"/>
      <c r="JP51" s="10"/>
      <c r="JQ51" s="10"/>
      <c r="JR51" s="10"/>
      <c r="JS51" s="10"/>
      <c r="JT51" s="10"/>
      <c r="JU51" s="10"/>
      <c r="JV51" s="10"/>
      <c r="JW51" s="10"/>
      <c r="JX51" s="10"/>
      <c r="JY51" s="10"/>
      <c r="JZ51" s="10"/>
      <c r="KA51" s="10"/>
      <c r="KB51" s="10"/>
      <c r="KC51" s="10"/>
      <c r="KD51" s="10"/>
      <c r="KE51" s="10"/>
      <c r="KF51" s="10"/>
      <c r="KG51" s="10"/>
      <c r="KH51" s="10"/>
      <c r="KI51" s="10"/>
      <c r="KJ51" s="10"/>
      <c r="KK51" s="10"/>
      <c r="KL51" s="10"/>
      <c r="KM51" s="10"/>
      <c r="KN51" s="10"/>
      <c r="KO51" s="10"/>
      <c r="KP51" s="10"/>
      <c r="KQ51" s="10"/>
      <c r="KR51" s="10"/>
      <c r="KS51" s="10"/>
      <c r="KT51" s="10"/>
      <c r="KU51" s="10"/>
      <c r="KV51" s="10"/>
      <c r="KW51" s="10"/>
      <c r="KX51" s="10"/>
      <c r="KY51" s="10"/>
      <c r="KZ51" s="10"/>
      <c r="LA51" s="10"/>
      <c r="LB51" s="10"/>
      <c r="LC51" s="10"/>
      <c r="LD51" s="10"/>
      <c r="LE51" s="10"/>
      <c r="LF51" s="10"/>
      <c r="LG51" s="10"/>
      <c r="LH51" s="10"/>
      <c r="LI51" s="10"/>
      <c r="LJ51" s="10"/>
      <c r="LK51" s="10"/>
      <c r="LL51" s="10"/>
      <c r="LM51" s="10"/>
      <c r="LN51" s="10"/>
      <c r="LO51" s="10"/>
      <c r="LP51" s="10"/>
      <c r="LQ51" s="10"/>
      <c r="LR51" s="10"/>
      <c r="LS51" s="10"/>
      <c r="LT51" s="10"/>
      <c r="LU51" s="10"/>
      <c r="LV51" s="10"/>
      <c r="LW51" s="10"/>
      <c r="LX51" s="10"/>
      <c r="LY51" s="10"/>
      <c r="LZ51" s="10"/>
      <c r="MA51" s="10"/>
      <c r="MB51" s="10"/>
      <c r="MC51" s="10"/>
      <c r="MD51" s="10"/>
      <c r="ME51" s="10"/>
    </row>
    <row r="52" customFormat="false" ht="9.75" hidden="false" customHeight="fals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c r="HX52" s="10"/>
      <c r="HY52" s="10"/>
      <c r="HZ52" s="10"/>
      <c r="IA52" s="10"/>
      <c r="IB52" s="10"/>
      <c r="IC52" s="10"/>
      <c r="ID52" s="10"/>
      <c r="IE52" s="10"/>
      <c r="IF52" s="10"/>
      <c r="IG52" s="10"/>
      <c r="IH52" s="10"/>
      <c r="II52" s="10"/>
      <c r="IJ52" s="10"/>
      <c r="IK52" s="10"/>
      <c r="IL52" s="10"/>
      <c r="IM52" s="10"/>
      <c r="IN52" s="10"/>
      <c r="IO52" s="10"/>
      <c r="IP52" s="10"/>
      <c r="IQ52" s="10"/>
      <c r="IR52" s="10"/>
      <c r="IS52" s="10"/>
      <c r="IT52" s="10"/>
      <c r="IU52" s="10"/>
      <c r="IV52" s="10"/>
      <c r="IW52" s="10"/>
      <c r="IX52" s="10"/>
      <c r="IY52" s="10"/>
      <c r="IZ52" s="10"/>
      <c r="JA52" s="10"/>
      <c r="JB52" s="10"/>
      <c r="JC52" s="10"/>
      <c r="JD52" s="10"/>
      <c r="JE52" s="10"/>
      <c r="JF52" s="10"/>
      <c r="JG52" s="10"/>
      <c r="JH52" s="10"/>
      <c r="JI52" s="10"/>
      <c r="JJ52" s="10"/>
      <c r="JK52" s="10"/>
      <c r="JL52" s="10"/>
      <c r="JM52" s="10"/>
      <c r="JN52" s="10"/>
      <c r="JO52" s="10"/>
      <c r="JP52" s="10"/>
      <c r="JQ52" s="10"/>
      <c r="JR52" s="10"/>
      <c r="JS52" s="10"/>
      <c r="JT52" s="10"/>
      <c r="JU52" s="10"/>
      <c r="JV52" s="10"/>
      <c r="JW52" s="10"/>
      <c r="JX52" s="10"/>
      <c r="JY52" s="10"/>
      <c r="JZ52" s="10"/>
      <c r="KA52" s="10"/>
      <c r="KB52" s="10"/>
      <c r="KC52" s="10"/>
      <c r="KD52" s="10"/>
      <c r="KE52" s="10"/>
      <c r="KF52" s="10"/>
      <c r="KG52" s="10"/>
      <c r="KH52" s="10"/>
      <c r="KI52" s="10"/>
      <c r="KJ52" s="10"/>
      <c r="KK52" s="10"/>
      <c r="KL52" s="10"/>
      <c r="KM52" s="10"/>
      <c r="KN52" s="10"/>
      <c r="KO52" s="10"/>
      <c r="KP52" s="10"/>
      <c r="KQ52" s="10"/>
      <c r="KR52" s="10"/>
      <c r="KS52" s="10"/>
      <c r="KT52" s="10"/>
      <c r="KU52" s="10"/>
      <c r="KV52" s="10"/>
      <c r="KW52" s="10"/>
      <c r="KX52" s="10"/>
      <c r="KY52" s="10"/>
      <c r="KZ52" s="10"/>
      <c r="LA52" s="10"/>
      <c r="LB52" s="10"/>
      <c r="LC52" s="10"/>
      <c r="LD52" s="10"/>
      <c r="LE52" s="10"/>
      <c r="LF52" s="10"/>
      <c r="LG52" s="10"/>
      <c r="LH52" s="10"/>
      <c r="LI52" s="10"/>
      <c r="LJ52" s="10"/>
      <c r="LK52" s="10"/>
      <c r="LL52" s="10"/>
      <c r="LM52" s="10"/>
      <c r="LN52" s="10"/>
      <c r="LO52" s="10"/>
      <c r="LP52" s="10"/>
      <c r="LQ52" s="10"/>
      <c r="LR52" s="10"/>
      <c r="LS52" s="10"/>
      <c r="LT52" s="10"/>
      <c r="LU52" s="10"/>
      <c r="LV52" s="10"/>
      <c r="LW52" s="10"/>
      <c r="LX52" s="10"/>
      <c r="LY52" s="10"/>
      <c r="LZ52" s="10"/>
      <c r="MA52" s="10"/>
      <c r="MB52" s="10"/>
      <c r="MC52" s="10"/>
      <c r="MD52" s="10"/>
      <c r="ME52" s="10"/>
    </row>
    <row r="53" customFormat="false" ht="9.75" hidden="false" customHeight="fals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c r="HX53" s="10"/>
      <c r="HY53" s="10"/>
      <c r="HZ53" s="10"/>
      <c r="IA53" s="10"/>
      <c r="IB53" s="10"/>
      <c r="IC53" s="10"/>
      <c r="ID53" s="10"/>
      <c r="IE53" s="10"/>
      <c r="IF53" s="10"/>
      <c r="IG53" s="10"/>
      <c r="IH53" s="10"/>
      <c r="II53" s="10"/>
      <c r="IJ53" s="10"/>
      <c r="IK53" s="10"/>
      <c r="IL53" s="10"/>
      <c r="IM53" s="10"/>
      <c r="IN53" s="10"/>
      <c r="IO53" s="10"/>
      <c r="IP53" s="10"/>
      <c r="IQ53" s="10"/>
      <c r="IR53" s="10"/>
      <c r="IS53" s="10"/>
      <c r="IT53" s="10"/>
      <c r="IU53" s="10"/>
      <c r="IV53" s="10"/>
      <c r="IW53" s="10"/>
      <c r="IX53" s="10"/>
      <c r="IY53" s="10"/>
      <c r="IZ53" s="10"/>
      <c r="JA53" s="10"/>
      <c r="JB53" s="10"/>
      <c r="JC53" s="10"/>
      <c r="JD53" s="10"/>
      <c r="JE53" s="10"/>
      <c r="JF53" s="10"/>
      <c r="JG53" s="10"/>
      <c r="JH53" s="10"/>
      <c r="JI53" s="10"/>
      <c r="JJ53" s="10"/>
      <c r="JK53" s="10"/>
      <c r="JL53" s="10"/>
      <c r="JM53" s="10"/>
      <c r="JN53" s="10"/>
      <c r="JO53" s="10"/>
      <c r="JP53" s="10"/>
      <c r="JQ53" s="10"/>
      <c r="JR53" s="10"/>
      <c r="JS53" s="10"/>
      <c r="JT53" s="10"/>
      <c r="JU53" s="10"/>
      <c r="JV53" s="10"/>
      <c r="JW53" s="10"/>
      <c r="JX53" s="10"/>
      <c r="JY53" s="10"/>
      <c r="JZ53" s="10"/>
      <c r="KA53" s="10"/>
      <c r="KB53" s="10"/>
      <c r="KC53" s="10"/>
      <c r="KD53" s="10"/>
      <c r="KE53" s="10"/>
      <c r="KF53" s="10"/>
      <c r="KG53" s="10"/>
      <c r="KH53" s="10"/>
      <c r="KI53" s="10"/>
      <c r="KJ53" s="10"/>
      <c r="KK53" s="10"/>
      <c r="KL53" s="10"/>
      <c r="KM53" s="10"/>
      <c r="KN53" s="10"/>
      <c r="KO53" s="10"/>
      <c r="KP53" s="10"/>
      <c r="KQ53" s="10"/>
      <c r="KR53" s="10"/>
      <c r="KS53" s="10"/>
      <c r="KT53" s="10"/>
      <c r="KU53" s="10"/>
      <c r="KV53" s="10"/>
      <c r="KW53" s="10"/>
      <c r="KX53" s="10"/>
      <c r="KY53" s="10"/>
      <c r="KZ53" s="10"/>
      <c r="LA53" s="10"/>
      <c r="LB53" s="10"/>
      <c r="LC53" s="10"/>
      <c r="LD53" s="10"/>
      <c r="LE53" s="10"/>
      <c r="LF53" s="10"/>
      <c r="LG53" s="10"/>
      <c r="LH53" s="10"/>
      <c r="LI53" s="10"/>
      <c r="LJ53" s="10"/>
      <c r="LK53" s="10"/>
      <c r="LL53" s="10"/>
      <c r="LM53" s="10"/>
      <c r="LN53" s="10"/>
      <c r="LO53" s="10"/>
      <c r="LP53" s="10"/>
      <c r="LQ53" s="10"/>
      <c r="LR53" s="10"/>
      <c r="LS53" s="10"/>
      <c r="LT53" s="10"/>
      <c r="LU53" s="10"/>
      <c r="LV53" s="10"/>
      <c r="LW53" s="10"/>
      <c r="LX53" s="10"/>
      <c r="LY53" s="10"/>
      <c r="LZ53" s="10"/>
      <c r="MA53" s="10"/>
      <c r="MB53" s="10"/>
      <c r="MC53" s="10"/>
      <c r="MD53" s="10"/>
      <c r="ME53" s="10"/>
    </row>
    <row r="54" customFormat="false" ht="9.75" hidden="false" customHeight="fals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c r="HX54" s="10"/>
      <c r="HY54" s="10"/>
      <c r="HZ54" s="10"/>
      <c r="IA54" s="10"/>
      <c r="IB54" s="10"/>
      <c r="IC54" s="10"/>
      <c r="ID54" s="10"/>
      <c r="IE54" s="10"/>
      <c r="IF54" s="10"/>
      <c r="IG54" s="10"/>
      <c r="IH54" s="10"/>
      <c r="II54" s="10"/>
      <c r="IJ54" s="10"/>
      <c r="IK54" s="10"/>
      <c r="IL54" s="10"/>
      <c r="IM54" s="10"/>
      <c r="IN54" s="10"/>
      <c r="IO54" s="10"/>
      <c r="IP54" s="10"/>
      <c r="IQ54" s="10"/>
      <c r="IR54" s="10"/>
      <c r="IS54" s="10"/>
      <c r="IT54" s="10"/>
      <c r="IU54" s="10"/>
      <c r="IV54" s="10"/>
      <c r="IW54" s="10"/>
      <c r="IX54" s="10"/>
      <c r="IY54" s="10"/>
      <c r="IZ54" s="10"/>
      <c r="JA54" s="10"/>
      <c r="JB54" s="10"/>
      <c r="JC54" s="10"/>
      <c r="JD54" s="10"/>
      <c r="JE54" s="10"/>
      <c r="JF54" s="10"/>
      <c r="JG54" s="10"/>
      <c r="JH54" s="10"/>
      <c r="JI54" s="10"/>
      <c r="JJ54" s="10"/>
      <c r="JK54" s="10"/>
      <c r="JL54" s="10"/>
      <c r="JM54" s="10"/>
      <c r="JN54" s="10"/>
      <c r="JO54" s="10"/>
      <c r="JP54" s="10"/>
      <c r="JQ54" s="10"/>
      <c r="JR54" s="10"/>
      <c r="JS54" s="10"/>
      <c r="JT54" s="10"/>
      <c r="JU54" s="10"/>
      <c r="JV54" s="10"/>
      <c r="JW54" s="10"/>
      <c r="JX54" s="10"/>
      <c r="JY54" s="10"/>
      <c r="JZ54" s="10"/>
      <c r="KA54" s="10"/>
      <c r="KB54" s="10"/>
      <c r="KC54" s="10"/>
      <c r="KD54" s="10"/>
      <c r="KE54" s="10"/>
      <c r="KF54" s="10"/>
      <c r="KG54" s="10"/>
      <c r="KH54" s="10"/>
      <c r="KI54" s="10"/>
      <c r="KJ54" s="10"/>
      <c r="KK54" s="10"/>
      <c r="KL54" s="10"/>
      <c r="KM54" s="10"/>
      <c r="KN54" s="10"/>
      <c r="KO54" s="10"/>
      <c r="KP54" s="10"/>
      <c r="KQ54" s="10"/>
      <c r="KR54" s="10"/>
      <c r="KS54" s="10"/>
      <c r="KT54" s="10"/>
      <c r="KU54" s="10"/>
      <c r="KV54" s="10"/>
      <c r="KW54" s="10"/>
      <c r="KX54" s="10"/>
      <c r="KY54" s="10"/>
      <c r="KZ54" s="10"/>
      <c r="LA54" s="10"/>
      <c r="LB54" s="10"/>
      <c r="LC54" s="10"/>
      <c r="LD54" s="10"/>
      <c r="LE54" s="10"/>
      <c r="LF54" s="10"/>
      <c r="LG54" s="10"/>
      <c r="LH54" s="10"/>
      <c r="LI54" s="10"/>
      <c r="LJ54" s="10"/>
      <c r="LK54" s="10"/>
      <c r="LL54" s="10"/>
      <c r="LM54" s="10"/>
      <c r="LN54" s="10"/>
      <c r="LO54" s="10"/>
      <c r="LP54" s="10"/>
      <c r="LQ54" s="10"/>
      <c r="LR54" s="10"/>
      <c r="LS54" s="10"/>
      <c r="LT54" s="10"/>
      <c r="LU54" s="10"/>
      <c r="LV54" s="10"/>
      <c r="LW54" s="10"/>
      <c r="LX54" s="10"/>
      <c r="LY54" s="10"/>
      <c r="LZ54" s="10"/>
      <c r="MA54" s="10"/>
      <c r="MB54" s="10"/>
      <c r="MC54" s="10"/>
      <c r="MD54" s="10"/>
      <c r="ME54" s="10"/>
    </row>
    <row r="55" customFormat="false" ht="9.75" hidden="false" customHeight="fals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0"/>
      <c r="HO55" s="10"/>
      <c r="HP55" s="10"/>
      <c r="HQ55" s="10"/>
      <c r="HR55" s="10"/>
      <c r="HS55" s="10"/>
      <c r="HT55" s="10"/>
      <c r="HU55" s="10"/>
      <c r="HV55" s="10"/>
      <c r="HW55" s="10"/>
      <c r="HX55" s="10"/>
      <c r="HY55" s="10"/>
      <c r="HZ55" s="10"/>
      <c r="IA55" s="10"/>
      <c r="IB55" s="10"/>
      <c r="IC55" s="10"/>
      <c r="ID55" s="10"/>
      <c r="IE55" s="10"/>
      <c r="IF55" s="10"/>
      <c r="IG55" s="10"/>
      <c r="IH55" s="10"/>
      <c r="II55" s="10"/>
      <c r="IJ55" s="10"/>
      <c r="IK55" s="10"/>
      <c r="IL55" s="10"/>
      <c r="IM55" s="10"/>
      <c r="IN55" s="10"/>
      <c r="IO55" s="10"/>
      <c r="IP55" s="10"/>
      <c r="IQ55" s="10"/>
      <c r="IR55" s="10"/>
      <c r="IS55" s="10"/>
      <c r="IT55" s="10"/>
      <c r="IU55" s="10"/>
      <c r="IV55" s="10"/>
      <c r="IW55" s="10"/>
      <c r="IX55" s="10"/>
      <c r="IY55" s="10"/>
      <c r="IZ55" s="10"/>
      <c r="JA55" s="10"/>
      <c r="JB55" s="10"/>
      <c r="JC55" s="10"/>
      <c r="JD55" s="10"/>
      <c r="JE55" s="10"/>
      <c r="JF55" s="10"/>
      <c r="JG55" s="10"/>
      <c r="JH55" s="10"/>
      <c r="JI55" s="10"/>
      <c r="JJ55" s="10"/>
      <c r="JK55" s="10"/>
      <c r="JL55" s="10"/>
      <c r="JM55" s="10"/>
      <c r="JN55" s="10"/>
      <c r="JO55" s="10"/>
      <c r="JP55" s="10"/>
      <c r="JQ55" s="10"/>
      <c r="JR55" s="10"/>
      <c r="JS55" s="10"/>
      <c r="JT55" s="10"/>
      <c r="JU55" s="10"/>
      <c r="JV55" s="10"/>
      <c r="JW55" s="10"/>
      <c r="JX55" s="10"/>
      <c r="JY55" s="10"/>
      <c r="JZ55" s="10"/>
      <c r="KA55" s="10"/>
      <c r="KB55" s="10"/>
      <c r="KC55" s="10"/>
      <c r="KD55" s="10"/>
      <c r="KE55" s="10"/>
      <c r="KF55" s="10"/>
      <c r="KG55" s="10"/>
      <c r="KH55" s="10"/>
      <c r="KI55" s="10"/>
      <c r="KJ55" s="10"/>
      <c r="KK55" s="10"/>
      <c r="KL55" s="10"/>
      <c r="KM55" s="10"/>
      <c r="KN55" s="10"/>
      <c r="KO55" s="10"/>
      <c r="KP55" s="10"/>
      <c r="KQ55" s="10"/>
      <c r="KR55" s="10"/>
      <c r="KS55" s="10"/>
      <c r="KT55" s="10"/>
      <c r="KU55" s="10"/>
      <c r="KV55" s="10"/>
      <c r="KW55" s="10"/>
      <c r="KX55" s="10"/>
      <c r="KY55" s="10"/>
      <c r="KZ55" s="10"/>
      <c r="LA55" s="10"/>
      <c r="LB55" s="10"/>
      <c r="LC55" s="10"/>
      <c r="LD55" s="10"/>
      <c r="LE55" s="10"/>
      <c r="LF55" s="10"/>
      <c r="LG55" s="10"/>
      <c r="LH55" s="10"/>
      <c r="LI55" s="10"/>
      <c r="LJ55" s="10"/>
      <c r="LK55" s="10"/>
      <c r="LL55" s="10"/>
      <c r="LM55" s="10"/>
      <c r="LN55" s="10"/>
      <c r="LO55" s="10"/>
      <c r="LP55" s="10"/>
      <c r="LQ55" s="10"/>
      <c r="LR55" s="10"/>
      <c r="LS55" s="10"/>
      <c r="LT55" s="10"/>
      <c r="LU55" s="10"/>
      <c r="LV55" s="10"/>
      <c r="LW55" s="10"/>
      <c r="LX55" s="10"/>
      <c r="LY55" s="10"/>
      <c r="LZ55" s="10"/>
      <c r="MA55" s="10"/>
      <c r="MB55" s="10"/>
      <c r="MC55" s="10"/>
      <c r="MD55" s="10"/>
      <c r="ME55" s="10"/>
    </row>
    <row r="56" customFormat="false" ht="9.75" hidden="false" customHeight="fals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10"/>
      <c r="GF56" s="10"/>
      <c r="GG56" s="10"/>
      <c r="GH56" s="10"/>
      <c r="GI56" s="10"/>
      <c r="GJ56" s="10"/>
      <c r="GK56" s="10"/>
      <c r="GL56" s="10"/>
      <c r="GM56" s="10"/>
      <c r="GN56" s="10"/>
      <c r="GO56" s="10"/>
      <c r="GP56" s="10"/>
      <c r="GQ56" s="10"/>
      <c r="GR56" s="10"/>
      <c r="GS56" s="10"/>
      <c r="GT56" s="10"/>
      <c r="GU56" s="10"/>
      <c r="GV56" s="10"/>
      <c r="GW56" s="10"/>
      <c r="GX56" s="10"/>
      <c r="GY56" s="10"/>
      <c r="GZ56" s="10"/>
      <c r="HA56" s="10"/>
      <c r="HB56" s="10"/>
      <c r="HC56" s="10"/>
      <c r="HD56" s="10"/>
      <c r="HE56" s="10"/>
      <c r="HF56" s="10"/>
      <c r="HG56" s="10"/>
      <c r="HH56" s="10"/>
      <c r="HI56" s="10"/>
      <c r="HJ56" s="10"/>
      <c r="HK56" s="10"/>
      <c r="HL56" s="10"/>
      <c r="HM56" s="10"/>
      <c r="HN56" s="10"/>
      <c r="HO56" s="10"/>
      <c r="HP56" s="10"/>
      <c r="HQ56" s="10"/>
      <c r="HR56" s="10"/>
      <c r="HS56" s="10"/>
      <c r="HT56" s="10"/>
      <c r="HU56" s="10"/>
      <c r="HV56" s="10"/>
      <c r="HW56" s="10"/>
      <c r="HX56" s="10"/>
      <c r="HY56" s="10"/>
      <c r="HZ56" s="10"/>
      <c r="IA56" s="10"/>
      <c r="IB56" s="10"/>
      <c r="IC56" s="10"/>
      <c r="ID56" s="10"/>
      <c r="IE56" s="10"/>
      <c r="IF56" s="10"/>
      <c r="IG56" s="10"/>
      <c r="IH56" s="10"/>
      <c r="II56" s="10"/>
      <c r="IJ56" s="10"/>
      <c r="IK56" s="10"/>
      <c r="IL56" s="10"/>
      <c r="IM56" s="10"/>
      <c r="IN56" s="10"/>
      <c r="IO56" s="10"/>
      <c r="IP56" s="10"/>
      <c r="IQ56" s="10"/>
      <c r="IR56" s="10"/>
      <c r="IS56" s="10"/>
      <c r="IT56" s="10"/>
      <c r="IU56" s="10"/>
      <c r="IV56" s="10"/>
      <c r="IW56" s="10"/>
      <c r="IX56" s="10"/>
      <c r="IY56" s="10"/>
      <c r="IZ56" s="10"/>
      <c r="JA56" s="10"/>
      <c r="JB56" s="10"/>
      <c r="JC56" s="10"/>
      <c r="JD56" s="10"/>
      <c r="JE56" s="10"/>
      <c r="JF56" s="10"/>
      <c r="JG56" s="10"/>
      <c r="JH56" s="10"/>
      <c r="JI56" s="10"/>
      <c r="JJ56" s="10"/>
      <c r="JK56" s="10"/>
      <c r="JL56" s="10"/>
      <c r="JM56" s="10"/>
      <c r="JN56" s="10"/>
      <c r="JO56" s="10"/>
      <c r="JP56" s="10"/>
      <c r="JQ56" s="10"/>
      <c r="JR56" s="10"/>
      <c r="JS56" s="10"/>
      <c r="JT56" s="10"/>
      <c r="JU56" s="10"/>
      <c r="JV56" s="10"/>
      <c r="JW56" s="10"/>
      <c r="JX56" s="10"/>
      <c r="JY56" s="10"/>
      <c r="JZ56" s="10"/>
      <c r="KA56" s="10"/>
      <c r="KB56" s="10"/>
      <c r="KC56" s="10"/>
      <c r="KD56" s="10"/>
      <c r="KE56" s="10"/>
      <c r="KF56" s="10"/>
      <c r="KG56" s="10"/>
      <c r="KH56" s="10"/>
      <c r="KI56" s="10"/>
      <c r="KJ56" s="10"/>
      <c r="KK56" s="10"/>
      <c r="KL56" s="10"/>
      <c r="KM56" s="10"/>
      <c r="KN56" s="10"/>
      <c r="KO56" s="10"/>
      <c r="KP56" s="10"/>
      <c r="KQ56" s="10"/>
      <c r="KR56" s="10"/>
      <c r="KS56" s="10"/>
      <c r="KT56" s="10"/>
      <c r="KU56" s="10"/>
      <c r="KV56" s="10"/>
      <c r="KW56" s="10"/>
      <c r="KX56" s="10"/>
      <c r="KY56" s="10"/>
      <c r="KZ56" s="10"/>
      <c r="LA56" s="10"/>
      <c r="LB56" s="10"/>
      <c r="LC56" s="10"/>
      <c r="LD56" s="10"/>
      <c r="LE56" s="10"/>
      <c r="LF56" s="10"/>
      <c r="LG56" s="10"/>
      <c r="LH56" s="10"/>
      <c r="LI56" s="10"/>
      <c r="LJ56" s="10"/>
      <c r="LK56" s="10"/>
      <c r="LL56" s="10"/>
      <c r="LM56" s="10"/>
      <c r="LN56" s="10"/>
      <c r="LO56" s="10"/>
      <c r="LP56" s="10"/>
      <c r="LQ56" s="10"/>
      <c r="LR56" s="10"/>
      <c r="LS56" s="10"/>
      <c r="LT56" s="10"/>
      <c r="LU56" s="10"/>
      <c r="LV56" s="10"/>
      <c r="LW56" s="10"/>
      <c r="LX56" s="10"/>
      <c r="LY56" s="10"/>
      <c r="LZ56" s="10"/>
      <c r="MA56" s="10"/>
      <c r="MB56" s="10"/>
      <c r="MC56" s="10"/>
      <c r="MD56" s="10"/>
      <c r="ME56" s="10"/>
    </row>
    <row r="57" customFormat="false" ht="9.75" hidden="false" customHeight="fals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10"/>
      <c r="GF57" s="10"/>
      <c r="GG57" s="10"/>
      <c r="GH57" s="10"/>
      <c r="GI57" s="10"/>
      <c r="GJ57" s="10"/>
      <c r="GK57" s="10"/>
      <c r="GL57" s="10"/>
      <c r="GM57" s="10"/>
      <c r="GN57" s="10"/>
      <c r="GO57" s="10"/>
      <c r="GP57" s="10"/>
      <c r="GQ57" s="10"/>
      <c r="GR57" s="10"/>
      <c r="GS57" s="10"/>
      <c r="GT57" s="10"/>
      <c r="GU57" s="10"/>
      <c r="GV57" s="10"/>
      <c r="GW57" s="10"/>
      <c r="GX57" s="10"/>
      <c r="GY57" s="10"/>
      <c r="GZ57" s="10"/>
      <c r="HA57" s="10"/>
      <c r="HB57" s="10"/>
      <c r="HC57" s="10"/>
      <c r="HD57" s="10"/>
      <c r="HE57" s="10"/>
      <c r="HF57" s="10"/>
      <c r="HG57" s="10"/>
      <c r="HH57" s="10"/>
      <c r="HI57" s="10"/>
      <c r="HJ57" s="10"/>
      <c r="HK57" s="10"/>
      <c r="HL57" s="10"/>
      <c r="HM57" s="10"/>
      <c r="HN57" s="10"/>
      <c r="HO57" s="10"/>
      <c r="HP57" s="10"/>
      <c r="HQ57" s="10"/>
      <c r="HR57" s="10"/>
      <c r="HS57" s="10"/>
      <c r="HT57" s="10"/>
      <c r="HU57" s="10"/>
      <c r="HV57" s="10"/>
      <c r="HW57" s="10"/>
      <c r="HX57" s="10"/>
      <c r="HY57" s="10"/>
      <c r="HZ57" s="10"/>
      <c r="IA57" s="10"/>
      <c r="IB57" s="10"/>
      <c r="IC57" s="10"/>
      <c r="ID57" s="10"/>
      <c r="IE57" s="10"/>
      <c r="IF57" s="10"/>
      <c r="IG57" s="10"/>
      <c r="IH57" s="10"/>
      <c r="II57" s="10"/>
      <c r="IJ57" s="10"/>
      <c r="IK57" s="10"/>
      <c r="IL57" s="10"/>
      <c r="IM57" s="10"/>
      <c r="IN57" s="10"/>
      <c r="IO57" s="10"/>
      <c r="IP57" s="10"/>
      <c r="IQ57" s="10"/>
      <c r="IR57" s="10"/>
      <c r="IS57" s="10"/>
      <c r="IT57" s="10"/>
      <c r="IU57" s="10"/>
      <c r="IV57" s="10"/>
      <c r="IW57" s="10"/>
      <c r="IX57" s="10"/>
      <c r="IY57" s="10"/>
      <c r="IZ57" s="10"/>
      <c r="JA57" s="10"/>
      <c r="JB57" s="10"/>
      <c r="JC57" s="10"/>
      <c r="JD57" s="10"/>
      <c r="JE57" s="10"/>
      <c r="JF57" s="10"/>
      <c r="JG57" s="10"/>
      <c r="JH57" s="10"/>
      <c r="JI57" s="10"/>
      <c r="JJ57" s="10"/>
      <c r="JK57" s="10"/>
      <c r="JL57" s="10"/>
      <c r="JM57" s="10"/>
      <c r="JN57" s="10"/>
      <c r="JO57" s="10"/>
      <c r="JP57" s="10"/>
      <c r="JQ57" s="10"/>
      <c r="JR57" s="10"/>
      <c r="JS57" s="10"/>
      <c r="JT57" s="10"/>
      <c r="JU57" s="10"/>
      <c r="JV57" s="10"/>
      <c r="JW57" s="10"/>
      <c r="JX57" s="10"/>
      <c r="JY57" s="10"/>
      <c r="JZ57" s="10"/>
      <c r="KA57" s="10"/>
      <c r="KB57" s="10"/>
      <c r="KC57" s="10"/>
      <c r="KD57" s="10"/>
      <c r="KE57" s="10"/>
      <c r="KF57" s="10"/>
      <c r="KG57" s="10"/>
      <c r="KH57" s="10"/>
      <c r="KI57" s="10"/>
      <c r="KJ57" s="10"/>
      <c r="KK57" s="10"/>
      <c r="KL57" s="10"/>
      <c r="KM57" s="10"/>
      <c r="KN57" s="10"/>
      <c r="KO57" s="10"/>
      <c r="KP57" s="10"/>
      <c r="KQ57" s="10"/>
      <c r="KR57" s="10"/>
      <c r="KS57" s="10"/>
      <c r="KT57" s="10"/>
      <c r="KU57" s="10"/>
      <c r="KV57" s="10"/>
      <c r="KW57" s="10"/>
      <c r="KX57" s="10"/>
      <c r="KY57" s="10"/>
      <c r="KZ57" s="10"/>
      <c r="LA57" s="10"/>
      <c r="LB57" s="10"/>
      <c r="LC57" s="10"/>
      <c r="LD57" s="10"/>
      <c r="LE57" s="10"/>
      <c r="LF57" s="10"/>
      <c r="LG57" s="10"/>
      <c r="LH57" s="10"/>
      <c r="LI57" s="10"/>
      <c r="LJ57" s="10"/>
      <c r="LK57" s="10"/>
      <c r="LL57" s="10"/>
      <c r="LM57" s="10"/>
      <c r="LN57" s="10"/>
      <c r="LO57" s="10"/>
      <c r="LP57" s="10"/>
      <c r="LQ57" s="10"/>
      <c r="LR57" s="10"/>
      <c r="LS57" s="10"/>
      <c r="LT57" s="10"/>
      <c r="LU57" s="10"/>
      <c r="LV57" s="10"/>
      <c r="LW57" s="10"/>
      <c r="LX57" s="10"/>
      <c r="LY57" s="10"/>
      <c r="LZ57" s="10"/>
      <c r="MA57" s="10"/>
      <c r="MB57" s="10"/>
      <c r="MC57" s="10"/>
      <c r="MD57" s="10"/>
      <c r="ME57" s="10"/>
    </row>
    <row r="58" customFormat="false" ht="9.75" hidden="false" customHeight="fals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c r="FZ58" s="10"/>
      <c r="GA58" s="10"/>
      <c r="GB58" s="10"/>
      <c r="GC58" s="10"/>
      <c r="GD58" s="10"/>
      <c r="GE58" s="10"/>
      <c r="GF58" s="10"/>
      <c r="GG58" s="10"/>
      <c r="GH58" s="10"/>
      <c r="GI58" s="10"/>
      <c r="GJ58" s="10"/>
      <c r="GK58" s="10"/>
      <c r="GL58" s="10"/>
      <c r="GM58" s="10"/>
      <c r="GN58" s="10"/>
      <c r="GO58" s="10"/>
      <c r="GP58" s="10"/>
      <c r="GQ58" s="10"/>
      <c r="GR58" s="10"/>
      <c r="GS58" s="10"/>
      <c r="GT58" s="10"/>
      <c r="GU58" s="10"/>
      <c r="GV58" s="10"/>
      <c r="GW58" s="10"/>
      <c r="GX58" s="10"/>
      <c r="GY58" s="10"/>
      <c r="GZ58" s="10"/>
      <c r="HA58" s="10"/>
      <c r="HB58" s="10"/>
      <c r="HC58" s="10"/>
      <c r="HD58" s="10"/>
      <c r="HE58" s="10"/>
      <c r="HF58" s="10"/>
      <c r="HG58" s="10"/>
      <c r="HH58" s="10"/>
      <c r="HI58" s="10"/>
      <c r="HJ58" s="10"/>
      <c r="HK58" s="10"/>
      <c r="HL58" s="10"/>
      <c r="HM58" s="10"/>
      <c r="HN58" s="10"/>
      <c r="HO58" s="10"/>
      <c r="HP58" s="10"/>
      <c r="HQ58" s="10"/>
      <c r="HR58" s="10"/>
      <c r="HS58" s="10"/>
      <c r="HT58" s="10"/>
      <c r="HU58" s="10"/>
      <c r="HV58" s="10"/>
      <c r="HW58" s="10"/>
      <c r="HX58" s="10"/>
      <c r="HY58" s="10"/>
      <c r="HZ58" s="10"/>
      <c r="IA58" s="10"/>
      <c r="IB58" s="10"/>
      <c r="IC58" s="10"/>
      <c r="ID58" s="10"/>
      <c r="IE58" s="10"/>
      <c r="IF58" s="10"/>
      <c r="IG58" s="10"/>
      <c r="IH58" s="10"/>
      <c r="II58" s="10"/>
      <c r="IJ58" s="10"/>
      <c r="IK58" s="10"/>
      <c r="IL58" s="10"/>
      <c r="IM58" s="10"/>
      <c r="IN58" s="10"/>
      <c r="IO58" s="10"/>
      <c r="IP58" s="10"/>
      <c r="IQ58" s="10"/>
      <c r="IR58" s="10"/>
      <c r="IS58" s="10"/>
      <c r="IT58" s="10"/>
      <c r="IU58" s="10"/>
      <c r="IV58" s="10"/>
      <c r="IW58" s="10"/>
      <c r="IX58" s="10"/>
      <c r="IY58" s="10"/>
      <c r="IZ58" s="10"/>
      <c r="JA58" s="10"/>
      <c r="JB58" s="10"/>
      <c r="JC58" s="10"/>
      <c r="JD58" s="10"/>
      <c r="JE58" s="10"/>
      <c r="JF58" s="10"/>
      <c r="JG58" s="10"/>
      <c r="JH58" s="10"/>
      <c r="JI58" s="10"/>
      <c r="JJ58" s="10"/>
      <c r="JK58" s="10"/>
      <c r="JL58" s="10"/>
      <c r="JM58" s="10"/>
      <c r="JN58" s="10"/>
      <c r="JO58" s="10"/>
      <c r="JP58" s="10"/>
      <c r="JQ58" s="10"/>
      <c r="JR58" s="10"/>
      <c r="JS58" s="10"/>
      <c r="JT58" s="10"/>
      <c r="JU58" s="10"/>
      <c r="JV58" s="10"/>
      <c r="JW58" s="10"/>
      <c r="JX58" s="10"/>
      <c r="JY58" s="10"/>
      <c r="JZ58" s="10"/>
      <c r="KA58" s="10"/>
      <c r="KB58" s="10"/>
      <c r="KC58" s="10"/>
      <c r="KD58" s="10"/>
      <c r="KE58" s="10"/>
      <c r="KF58" s="10"/>
      <c r="KG58" s="10"/>
      <c r="KH58" s="10"/>
      <c r="KI58" s="10"/>
      <c r="KJ58" s="10"/>
      <c r="KK58" s="10"/>
      <c r="KL58" s="10"/>
      <c r="KM58" s="10"/>
      <c r="KN58" s="10"/>
      <c r="KO58" s="10"/>
      <c r="KP58" s="10"/>
      <c r="KQ58" s="10"/>
      <c r="KR58" s="10"/>
      <c r="KS58" s="10"/>
      <c r="KT58" s="10"/>
      <c r="KU58" s="10"/>
      <c r="KV58" s="10"/>
      <c r="KW58" s="10"/>
      <c r="KX58" s="10"/>
      <c r="KY58" s="10"/>
      <c r="KZ58" s="10"/>
      <c r="LA58" s="10"/>
      <c r="LB58" s="10"/>
      <c r="LC58" s="10"/>
      <c r="LD58" s="10"/>
      <c r="LE58" s="10"/>
      <c r="LF58" s="10"/>
      <c r="LG58" s="10"/>
      <c r="LH58" s="10"/>
      <c r="LI58" s="10"/>
      <c r="LJ58" s="10"/>
      <c r="LK58" s="10"/>
      <c r="LL58" s="10"/>
      <c r="LM58" s="10"/>
      <c r="LN58" s="10"/>
      <c r="LO58" s="10"/>
      <c r="LP58" s="10"/>
      <c r="LQ58" s="10"/>
      <c r="LR58" s="10"/>
      <c r="LS58" s="10"/>
      <c r="LT58" s="10"/>
      <c r="LU58" s="10"/>
      <c r="LV58" s="10"/>
      <c r="LW58" s="10"/>
      <c r="LX58" s="10"/>
      <c r="LY58" s="10"/>
      <c r="LZ58" s="10"/>
      <c r="MA58" s="10"/>
      <c r="MB58" s="10"/>
      <c r="MC58" s="10"/>
      <c r="MD58" s="10"/>
      <c r="ME58" s="1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F2F2"/>
    <pageSetUpPr fitToPage="false"/>
  </sheetPr>
  <dimension ref="C5:T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Q13" activeCellId="0" sqref="Q13"/>
    </sheetView>
  </sheetViews>
  <sheetFormatPr defaultColWidth="8.5390625" defaultRowHeight="14.25" zeroHeight="false" outlineLevelRow="0" outlineLevelCol="0"/>
  <cols>
    <col collapsed="false" customWidth="true" hidden="false" outlineLevel="0" max="3" min="3" style="0" width="22.53"/>
    <col collapsed="false" customWidth="true" hidden="false" outlineLevel="0" max="4" min="4" style="358" width="14.53"/>
    <col collapsed="false" customWidth="true" hidden="false" outlineLevel="0" max="14" min="5" style="0" width="14.53"/>
    <col collapsed="false" customWidth="true" hidden="false" outlineLevel="0" max="16" min="16" style="0" width="11"/>
    <col collapsed="false" customWidth="true" hidden="false" outlineLevel="0" max="17" min="17" style="0" width="9.53"/>
    <col collapsed="false" customWidth="true" hidden="false" outlineLevel="0" max="18" min="18" style="0" width="21"/>
    <col collapsed="false" customWidth="true" hidden="false" outlineLevel="0" max="19" min="19" style="0" width="11"/>
    <col collapsed="false" customWidth="true" hidden="false" outlineLevel="0" max="20" min="20" style="0" width="9"/>
  </cols>
  <sheetData>
    <row r="5" s="219" customFormat="true" ht="14.25" hidden="false" customHeight="false" outlineLevel="0" collapsed="false">
      <c r="D5" s="592" t="s">
        <v>23</v>
      </c>
      <c r="E5" s="219" t="n">
        <v>2017</v>
      </c>
      <c r="F5" s="219" t="n">
        <f aca="false">E5+1</f>
        <v>2018</v>
      </c>
      <c r="G5" s="219" t="n">
        <f aca="false">F5+1</f>
        <v>2019</v>
      </c>
      <c r="H5" s="219" t="n">
        <f aca="false">G5+1</f>
        <v>2020</v>
      </c>
      <c r="I5" s="219" t="n">
        <f aca="false">H5+1</f>
        <v>2021</v>
      </c>
      <c r="J5" s="219" t="n">
        <f aca="false">I5+1</f>
        <v>2022</v>
      </c>
      <c r="K5" s="219" t="n">
        <f aca="false">J5+1</f>
        <v>2023</v>
      </c>
      <c r="L5" s="219" t="n">
        <f aca="false">K5+1</f>
        <v>2024</v>
      </c>
      <c r="M5" s="219" t="n">
        <f aca="false">L5+1</f>
        <v>2025</v>
      </c>
      <c r="N5" s="219" t="n">
        <f aca="false">M5+1</f>
        <v>2026</v>
      </c>
      <c r="P5" s="367" t="s">
        <v>263</v>
      </c>
      <c r="Q5" s="368" t="s">
        <v>39</v>
      </c>
      <c r="R5" s="368"/>
    </row>
    <row r="6" customFormat="false" ht="14.25" hidden="false" customHeight="false" outlineLevel="0" collapsed="false">
      <c r="C6" s="0" t="str">
        <f aca="false">IF(Tape!C7="","",Tape!C7)</f>
        <v/>
      </c>
      <c r="D6" s="593" t="n">
        <f aca="false">SUMIFS(Tape!$M$7:$M$36,Tape!$C$7:$C$36,Capex!C6)</f>
        <v>0</v>
      </c>
      <c r="E6" s="252"/>
      <c r="F6" s="252"/>
      <c r="G6" s="252"/>
      <c r="H6" s="252"/>
      <c r="I6" s="252"/>
      <c r="J6" s="252"/>
      <c r="K6" s="252"/>
      <c r="L6" s="252"/>
      <c r="M6" s="252"/>
      <c r="N6" s="252"/>
      <c r="P6" s="355" t="n">
        <f aca="false">SUM(I6:M6)</f>
        <v>0</v>
      </c>
      <c r="Q6" s="594" t="n">
        <f aca="false">IFERROR(P6/D6,0)</f>
        <v>0</v>
      </c>
      <c r="S6" s="252" t="n">
        <f aca="false">MAX(E6:N6)</f>
        <v>0</v>
      </c>
      <c r="T6" s="252" t="n">
        <f aca="false">IFERROR(+S6/D6,0)</f>
        <v>0</v>
      </c>
    </row>
    <row r="7" customFormat="false" ht="14.25" hidden="false" customHeight="false" outlineLevel="0" collapsed="false">
      <c r="C7" s="0" t="str">
        <f aca="false">IF(Tape!C8="","",Tape!C8)</f>
        <v/>
      </c>
      <c r="D7" s="593" t="n">
        <f aca="false">SUMIFS(Tape!$M$7:$M$36,Tape!$C$7:$C$36,Capex!C7)</f>
        <v>0</v>
      </c>
      <c r="E7" s="252"/>
      <c r="F7" s="252"/>
      <c r="G7" s="252"/>
      <c r="H7" s="252"/>
      <c r="I7" s="252"/>
      <c r="J7" s="252"/>
      <c r="K7" s="252"/>
      <c r="L7" s="252"/>
      <c r="M7" s="252"/>
      <c r="N7" s="252"/>
      <c r="P7" s="355" t="n">
        <f aca="false">SUM(I7:M7)</f>
        <v>0</v>
      </c>
      <c r="Q7" s="594" t="n">
        <f aca="false">IFERROR(P7/D7,0)</f>
        <v>0</v>
      </c>
      <c r="S7" s="252" t="n">
        <f aca="false">MAX(E7:N7)</f>
        <v>0</v>
      </c>
      <c r="T7" s="252" t="n">
        <f aca="false">IFERROR(+S7/D7,0)</f>
        <v>0</v>
      </c>
    </row>
    <row r="8" customFormat="false" ht="14.25" hidden="false" customHeight="false" outlineLevel="0" collapsed="false">
      <c r="C8" s="0" t="str">
        <f aca="false">IF(Tape!C9="","",Tape!C9)</f>
        <v/>
      </c>
      <c r="D8" s="593" t="n">
        <f aca="false">SUMIFS(Tape!$M$7:$M$36,Tape!$C$7:$C$36,Capex!C8)</f>
        <v>0</v>
      </c>
      <c r="E8" s="252"/>
      <c r="F8" s="252"/>
      <c r="G8" s="252"/>
      <c r="H8" s="252"/>
      <c r="I8" s="252"/>
      <c r="J8" s="252"/>
      <c r="K8" s="252"/>
      <c r="L8" s="252"/>
      <c r="M8" s="252"/>
      <c r="N8" s="252"/>
      <c r="P8" s="355" t="n">
        <f aca="false">SUM(I8:M8)</f>
        <v>0</v>
      </c>
      <c r="Q8" s="594" t="n">
        <f aca="false">IFERROR(P8/D8,0)</f>
        <v>0</v>
      </c>
      <c r="S8" s="252" t="n">
        <f aca="false">MAX(E8:N8)</f>
        <v>0</v>
      </c>
      <c r="T8" s="252" t="n">
        <f aca="false">IFERROR(+S8/D8,0)</f>
        <v>0</v>
      </c>
    </row>
    <row r="9" customFormat="false" ht="14.25" hidden="false" customHeight="false" outlineLevel="0" collapsed="false">
      <c r="C9" s="0" t="str">
        <f aca="false">IF(Tape!C10="","",Tape!C10)</f>
        <v/>
      </c>
      <c r="D9" s="593" t="n">
        <f aca="false">SUMIFS(Tape!$M$7:$M$36,Tape!$C$7:$C$36,Capex!C9)</f>
        <v>0</v>
      </c>
      <c r="E9" s="252"/>
      <c r="F9" s="252"/>
      <c r="G9" s="252"/>
      <c r="H9" s="252"/>
      <c r="I9" s="252"/>
      <c r="J9" s="252"/>
      <c r="K9" s="252"/>
      <c r="L9" s="252"/>
      <c r="M9" s="252"/>
      <c r="N9" s="252"/>
      <c r="P9" s="355" t="n">
        <f aca="false">SUM(I9:M9)</f>
        <v>0</v>
      </c>
      <c r="Q9" s="594" t="n">
        <f aca="false">IFERROR(P9/D9,0)</f>
        <v>0</v>
      </c>
      <c r="S9" s="252" t="n">
        <f aca="false">MAX(E9:N9)</f>
        <v>0</v>
      </c>
      <c r="T9" s="252" t="n">
        <f aca="false">IFERROR(+S9/D9,0)</f>
        <v>0</v>
      </c>
    </row>
    <row r="10" customFormat="false" ht="14.25" hidden="false" customHeight="false" outlineLevel="0" collapsed="false">
      <c r="C10" s="0" t="str">
        <f aca="false">IF(Tape!C11="","",Tape!C11)</f>
        <v/>
      </c>
      <c r="D10" s="593" t="n">
        <f aca="false">SUMIFS(Tape!$M$7:$M$36,Tape!$C$7:$C$36,Capex!C10)</f>
        <v>0</v>
      </c>
      <c r="E10" s="252"/>
      <c r="F10" s="252"/>
      <c r="G10" s="252"/>
      <c r="H10" s="252"/>
      <c r="I10" s="252"/>
      <c r="J10" s="252"/>
      <c r="K10" s="252"/>
      <c r="L10" s="252"/>
      <c r="M10" s="252"/>
      <c r="N10" s="252"/>
      <c r="P10" s="355" t="n">
        <f aca="false">SUM(I10:M10)</f>
        <v>0</v>
      </c>
      <c r="Q10" s="594" t="n">
        <f aca="false">IFERROR(P10/D10,0)</f>
        <v>0</v>
      </c>
      <c r="S10" s="252" t="n">
        <f aca="false">MAX(E10:N10)</f>
        <v>0</v>
      </c>
      <c r="T10" s="252" t="n">
        <f aca="false">IFERROR(+S10/D10,0)</f>
        <v>0</v>
      </c>
    </row>
    <row r="11" customFormat="false" ht="14.25" hidden="false" customHeight="false" outlineLevel="0" collapsed="false">
      <c r="C11" s="0" t="str">
        <f aca="false">IF(Tape!C12="","",Tape!C12)</f>
        <v/>
      </c>
      <c r="D11" s="593" t="n">
        <f aca="false">SUMIFS(Tape!$M$7:$M$36,Tape!$C$7:$C$36,Capex!C11)</f>
        <v>0</v>
      </c>
      <c r="E11" s="252"/>
      <c r="F11" s="252"/>
      <c r="G11" s="252"/>
      <c r="H11" s="252"/>
      <c r="I11" s="252"/>
      <c r="J11" s="252"/>
      <c r="K11" s="252"/>
      <c r="L11" s="252"/>
      <c r="M11" s="252"/>
      <c r="N11" s="252"/>
      <c r="P11" s="355" t="n">
        <f aca="false">SUM(I11:M11)</f>
        <v>0</v>
      </c>
      <c r="Q11" s="594" t="n">
        <f aca="false">IFERROR(P11/D11,0)</f>
        <v>0</v>
      </c>
      <c r="S11" s="252" t="n">
        <f aca="false">MAX(E11:N11)</f>
        <v>0</v>
      </c>
      <c r="T11" s="252" t="n">
        <f aca="false">IFERROR(+S11/D11,0)</f>
        <v>0</v>
      </c>
    </row>
    <row r="12" customFormat="false" ht="14.25" hidden="false" customHeight="false" outlineLevel="0" collapsed="false">
      <c r="C12" s="0" t="str">
        <f aca="false">IF(Tape!C13="","",Tape!C13)</f>
        <v/>
      </c>
      <c r="D12" s="593" t="n">
        <f aca="false">SUMIFS(Tape!$M$7:$M$36,Tape!$C$7:$C$36,Capex!C12)</f>
        <v>0</v>
      </c>
      <c r="E12" s="252"/>
      <c r="F12" s="252"/>
      <c r="G12" s="252"/>
      <c r="H12" s="252"/>
      <c r="I12" s="252"/>
      <c r="J12" s="252"/>
      <c r="K12" s="252"/>
      <c r="L12" s="252"/>
      <c r="M12" s="252"/>
      <c r="N12" s="252"/>
      <c r="P12" s="355" t="n">
        <f aca="false">SUM(I12:M12)</f>
        <v>0</v>
      </c>
      <c r="Q12" s="594" t="n">
        <f aca="false">IFERROR(P12/D12,0)</f>
        <v>0</v>
      </c>
      <c r="S12" s="252" t="n">
        <f aca="false">MAX(E12:N12)</f>
        <v>0</v>
      </c>
      <c r="T12" s="252" t="n">
        <f aca="false">IFERROR(+S12/D12,0)</f>
        <v>0</v>
      </c>
    </row>
    <row r="13" customFormat="false" ht="14.25" hidden="false" customHeight="false" outlineLevel="0" collapsed="false">
      <c r="C13" s="0" t="str">
        <f aca="false">IF(Tape!C14="","",Tape!C14)</f>
        <v/>
      </c>
      <c r="D13" s="593" t="n">
        <f aca="false">SUMIFS(Tape!$M$7:$M$36,Tape!$C$7:$C$36,Capex!C13)</f>
        <v>0</v>
      </c>
      <c r="E13" s="252"/>
      <c r="F13" s="252"/>
      <c r="G13" s="252"/>
      <c r="H13" s="252"/>
      <c r="I13" s="252"/>
      <c r="J13" s="252"/>
      <c r="K13" s="252"/>
      <c r="L13" s="252"/>
      <c r="M13" s="252"/>
      <c r="N13" s="252"/>
      <c r="P13" s="355" t="n">
        <f aca="false">SUM(I13:M13)</f>
        <v>0</v>
      </c>
      <c r="Q13" s="594" t="n">
        <f aca="false">IFERROR(P13/D13,0)</f>
        <v>0</v>
      </c>
      <c r="S13" s="252" t="n">
        <f aca="false">MAX(E13:N13)</f>
        <v>0</v>
      </c>
      <c r="T13" s="252" t="n">
        <f aca="false">IFERROR(+S13/D13,0)</f>
        <v>0</v>
      </c>
    </row>
    <row r="14" customFormat="false" ht="14.25" hidden="false" customHeight="false" outlineLevel="0" collapsed="false">
      <c r="C14" s="0" t="str">
        <f aca="false">IF(Tape!C15="","",Tape!C15)</f>
        <v/>
      </c>
      <c r="D14" s="593" t="n">
        <f aca="false">SUMIFS(Tape!$M$7:$M$36,Tape!$C$7:$C$36,Capex!C14)</f>
        <v>0</v>
      </c>
      <c r="E14" s="252"/>
      <c r="F14" s="252"/>
      <c r="G14" s="252"/>
      <c r="H14" s="252"/>
      <c r="I14" s="252"/>
      <c r="J14" s="252"/>
      <c r="K14" s="252"/>
      <c r="L14" s="252"/>
      <c r="M14" s="252"/>
      <c r="N14" s="252"/>
      <c r="P14" s="355" t="n">
        <f aca="false">SUM(I14:M14)</f>
        <v>0</v>
      </c>
      <c r="Q14" s="594" t="n">
        <f aca="false">IFERROR(P14/D14,0)</f>
        <v>0</v>
      </c>
      <c r="S14" s="252" t="n">
        <f aca="false">MAX(E14:N14)</f>
        <v>0</v>
      </c>
      <c r="T14" s="252" t="n">
        <f aca="false">IFERROR(+S14/D14,0)</f>
        <v>0</v>
      </c>
    </row>
    <row r="15" customFormat="false" ht="14.25" hidden="false" customHeight="false" outlineLevel="0" collapsed="false">
      <c r="C15" s="0" t="str">
        <f aca="false">IF(Tape!C16="","",Tape!C16)</f>
        <v/>
      </c>
      <c r="D15" s="593" t="n">
        <f aca="false">SUMIFS(Tape!$M$7:$M$36,Tape!$C$7:$C$36,Capex!C15)</f>
        <v>0</v>
      </c>
      <c r="E15" s="252"/>
      <c r="F15" s="252"/>
      <c r="G15" s="252"/>
      <c r="H15" s="252"/>
      <c r="I15" s="252"/>
      <c r="J15" s="252"/>
      <c r="K15" s="252"/>
      <c r="L15" s="252"/>
      <c r="M15" s="252"/>
      <c r="N15" s="252"/>
      <c r="P15" s="355" t="n">
        <f aca="false">SUM(I15:M15)</f>
        <v>0</v>
      </c>
      <c r="Q15" s="594" t="n">
        <f aca="false">IFERROR(P15/D15,0)</f>
        <v>0</v>
      </c>
      <c r="S15" s="252" t="n">
        <f aca="false">MAX(E15:N15)</f>
        <v>0</v>
      </c>
      <c r="T15" s="252" t="n">
        <f aca="false">IFERROR(+S15/D15,0)</f>
        <v>0</v>
      </c>
    </row>
    <row r="16" customFormat="false" ht="14.25" hidden="false" customHeight="false" outlineLevel="0" collapsed="false">
      <c r="C16" s="0" t="str">
        <f aca="false">IF(Tape!C17="","",Tape!C17)</f>
        <v/>
      </c>
      <c r="D16" s="593" t="n">
        <f aca="false">SUMIFS(Tape!$M$7:$M$36,Tape!$C$7:$C$36,Capex!C16)</f>
        <v>0</v>
      </c>
      <c r="E16" s="252"/>
      <c r="F16" s="252"/>
      <c r="G16" s="252"/>
      <c r="H16" s="252"/>
      <c r="I16" s="252"/>
      <c r="J16" s="252"/>
      <c r="K16" s="252"/>
      <c r="L16" s="252"/>
      <c r="M16" s="252"/>
      <c r="N16" s="252"/>
      <c r="P16" s="355" t="n">
        <f aca="false">SUM(I16:M16)</f>
        <v>0</v>
      </c>
      <c r="Q16" s="594" t="n">
        <f aca="false">IFERROR(P16/D16,0)</f>
        <v>0</v>
      </c>
      <c r="S16" s="252" t="n">
        <f aca="false">MAX(E16:N16)</f>
        <v>0</v>
      </c>
      <c r="T16" s="252" t="n">
        <f aca="false">IFERROR(+S16/D16,0)</f>
        <v>0</v>
      </c>
    </row>
    <row r="17" customFormat="false" ht="14.25" hidden="false" customHeight="false" outlineLevel="0" collapsed="false">
      <c r="C17" s="0" t="str">
        <f aca="false">IF(Tape!C18="","",Tape!C18)</f>
        <v/>
      </c>
      <c r="D17" s="593" t="n">
        <f aca="false">SUMIFS(Tape!$M$7:$M$36,Tape!$C$7:$C$36,Capex!C17)</f>
        <v>0</v>
      </c>
      <c r="E17" s="252"/>
      <c r="F17" s="252"/>
      <c r="G17" s="252"/>
      <c r="H17" s="252"/>
      <c r="I17" s="252"/>
      <c r="J17" s="252"/>
      <c r="K17" s="252"/>
      <c r="L17" s="252"/>
      <c r="M17" s="252"/>
      <c r="N17" s="252"/>
      <c r="P17" s="355" t="n">
        <f aca="false">SUM(I17:M17)</f>
        <v>0</v>
      </c>
      <c r="Q17" s="594" t="n">
        <f aca="false">IFERROR(P17/D17,0)</f>
        <v>0</v>
      </c>
      <c r="S17" s="252" t="n">
        <f aca="false">MAX(E17:N17)</f>
        <v>0</v>
      </c>
      <c r="T17" s="252" t="n">
        <f aca="false">IFERROR(+S17/D17,0)</f>
        <v>0</v>
      </c>
    </row>
    <row r="18" customFormat="false" ht="14.25" hidden="false" customHeight="false" outlineLevel="0" collapsed="false">
      <c r="C18" s="0" t="str">
        <f aca="false">IF(Tape!C19="","",Tape!C19)</f>
        <v/>
      </c>
      <c r="D18" s="593" t="n">
        <f aca="false">SUMIFS(Tape!$M$7:$M$36,Tape!$C$7:$C$36,Capex!C18)</f>
        <v>0</v>
      </c>
      <c r="E18" s="252"/>
      <c r="F18" s="252"/>
      <c r="G18" s="252"/>
      <c r="H18" s="252"/>
      <c r="I18" s="252"/>
      <c r="J18" s="252"/>
      <c r="K18" s="252"/>
      <c r="L18" s="252"/>
      <c r="M18" s="252"/>
      <c r="N18" s="252"/>
      <c r="P18" s="355" t="n">
        <f aca="false">SUM(I18:M18)</f>
        <v>0</v>
      </c>
      <c r="Q18" s="594" t="n">
        <f aca="false">IFERROR(P18/D18,0)</f>
        <v>0</v>
      </c>
      <c r="S18" s="252" t="n">
        <f aca="false">MAX(E18:N18)</f>
        <v>0</v>
      </c>
      <c r="T18" s="252" t="n">
        <f aca="false">IFERROR(+S18/D18,0)</f>
        <v>0</v>
      </c>
    </row>
    <row r="19" customFormat="false" ht="14.25" hidden="false" customHeight="false" outlineLevel="0" collapsed="false">
      <c r="C19" s="0" t="str">
        <f aca="false">IF(Tape!C20="","",Tape!C20)</f>
        <v/>
      </c>
      <c r="D19" s="593" t="n">
        <f aca="false">SUMIFS(Tape!$M$7:$M$36,Tape!$C$7:$C$36,Capex!C19)</f>
        <v>0</v>
      </c>
      <c r="E19" s="252"/>
      <c r="F19" s="252"/>
      <c r="G19" s="252"/>
      <c r="H19" s="252"/>
      <c r="I19" s="252"/>
      <c r="J19" s="252"/>
      <c r="K19" s="252"/>
      <c r="L19" s="252"/>
      <c r="M19" s="252"/>
      <c r="N19" s="252"/>
      <c r="P19" s="355" t="n">
        <f aca="false">SUM(I19:M19)</f>
        <v>0</v>
      </c>
      <c r="Q19" s="594" t="n">
        <f aca="false">IFERROR(P19/D19,0)</f>
        <v>0</v>
      </c>
      <c r="S19" s="252" t="n">
        <f aca="false">MAX(E19:N19)</f>
        <v>0</v>
      </c>
      <c r="T19" s="252" t="n">
        <f aca="false">IFERROR(+S19/D19,0)</f>
        <v>0</v>
      </c>
    </row>
    <row r="20" customFormat="false" ht="14.25" hidden="false" customHeight="false" outlineLevel="0" collapsed="false">
      <c r="C20" s="0" t="str">
        <f aca="false">IF(Tape!C21="","",Tape!C21)</f>
        <v/>
      </c>
      <c r="D20" s="593" t="n">
        <f aca="false">SUMIFS(Tape!$M$7:$M$36,Tape!$C$7:$C$36,Capex!C20)</f>
        <v>0</v>
      </c>
      <c r="E20" s="252"/>
      <c r="F20" s="252"/>
      <c r="G20" s="252"/>
      <c r="H20" s="252"/>
      <c r="I20" s="252"/>
      <c r="J20" s="252"/>
      <c r="K20" s="252"/>
      <c r="L20" s="252"/>
      <c r="M20" s="252"/>
      <c r="N20" s="252"/>
      <c r="P20" s="355" t="n">
        <f aca="false">SUM(I20:M20)</f>
        <v>0</v>
      </c>
      <c r="Q20" s="594" t="n">
        <f aca="false">IFERROR(P20/D20,0)</f>
        <v>0</v>
      </c>
      <c r="S20" s="252" t="n">
        <f aca="false">MAX(E20:N20)</f>
        <v>0</v>
      </c>
      <c r="T20" s="252" t="n">
        <f aca="false">IFERROR(+S20/D20,0)</f>
        <v>0</v>
      </c>
    </row>
    <row r="21" customFormat="false" ht="14.25" hidden="false" customHeight="false" outlineLevel="0" collapsed="false">
      <c r="C21" s="0" t="str">
        <f aca="false">IF(Tape!C22="","",Tape!C22)</f>
        <v/>
      </c>
      <c r="D21" s="593" t="n">
        <f aca="false">SUMIFS(Tape!$M$7:$M$36,Tape!$C$7:$C$36,Capex!C21)</f>
        <v>0</v>
      </c>
      <c r="E21" s="252"/>
      <c r="F21" s="252"/>
      <c r="G21" s="252"/>
      <c r="H21" s="252"/>
      <c r="I21" s="252"/>
      <c r="J21" s="252"/>
      <c r="K21" s="252"/>
      <c r="L21" s="252"/>
      <c r="M21" s="252"/>
      <c r="N21" s="252"/>
      <c r="P21" s="355" t="n">
        <f aca="false">SUM(I21:M21)</f>
        <v>0</v>
      </c>
      <c r="Q21" s="594" t="n">
        <f aca="false">IFERROR(P21/D21,0)</f>
        <v>0</v>
      </c>
      <c r="S21" s="252" t="n">
        <f aca="false">MAX(E21:N21)</f>
        <v>0</v>
      </c>
      <c r="T21" s="252" t="n">
        <f aca="false">IFERROR(+S21/D21,0)</f>
        <v>0</v>
      </c>
    </row>
    <row r="22" customFormat="false" ht="14.25" hidden="false" customHeight="false" outlineLevel="0" collapsed="false">
      <c r="C22" s="0" t="str">
        <f aca="false">IF(Tape!C23="","",Tape!C23)</f>
        <v/>
      </c>
      <c r="D22" s="593" t="n">
        <f aca="false">SUMIFS(Tape!$M$7:$M$36,Tape!$C$7:$C$36,Capex!C22)</f>
        <v>0</v>
      </c>
      <c r="E22" s="252"/>
      <c r="F22" s="252"/>
      <c r="G22" s="252"/>
      <c r="H22" s="252"/>
      <c r="I22" s="252"/>
      <c r="J22" s="252"/>
      <c r="K22" s="252"/>
      <c r="L22" s="252"/>
      <c r="M22" s="252"/>
      <c r="N22" s="252"/>
      <c r="P22" s="355" t="n">
        <f aca="false">SUM(I22:M22)</f>
        <v>0</v>
      </c>
      <c r="Q22" s="594" t="n">
        <f aca="false">IFERROR(P22/D22,0)</f>
        <v>0</v>
      </c>
      <c r="S22" s="252" t="n">
        <f aca="false">MAX(E22:N22)</f>
        <v>0</v>
      </c>
      <c r="T22" s="252" t="n">
        <f aca="false">IFERROR(+S22/D22,0)</f>
        <v>0</v>
      </c>
    </row>
    <row r="23" customFormat="false" ht="14.25" hidden="false" customHeight="false" outlineLevel="0" collapsed="false">
      <c r="C23" s="0" t="str">
        <f aca="false">IF(Tape!C24="","",Tape!C24)</f>
        <v/>
      </c>
      <c r="D23" s="593" t="n">
        <f aca="false">SUMIFS(Tape!$M$7:$M$36,Tape!$C$7:$C$36,Capex!C23)</f>
        <v>0</v>
      </c>
      <c r="E23" s="252"/>
      <c r="F23" s="252"/>
      <c r="G23" s="252"/>
      <c r="H23" s="252"/>
      <c r="I23" s="252"/>
      <c r="J23" s="252"/>
      <c r="K23" s="252"/>
      <c r="L23" s="252"/>
      <c r="M23" s="252"/>
      <c r="N23" s="252"/>
      <c r="P23" s="355" t="n">
        <f aca="false">SUM(I23:M23)</f>
        <v>0</v>
      </c>
      <c r="Q23" s="594" t="n">
        <f aca="false">IFERROR(P23/D23,0)</f>
        <v>0</v>
      </c>
      <c r="S23" s="252" t="n">
        <f aca="false">MAX(E23:N23)</f>
        <v>0</v>
      </c>
      <c r="T23" s="252" t="n">
        <f aca="false">IFERROR(+S23/D23,0)</f>
        <v>0</v>
      </c>
    </row>
    <row r="24" customFormat="false" ht="14.25" hidden="false" customHeight="false" outlineLevel="0" collapsed="false">
      <c r="C24" s="595" t="str">
        <f aca="false">IF(Tape!C25="","",Tape!C25)</f>
        <v/>
      </c>
      <c r="D24" s="593" t="n">
        <f aca="false">SUMIFS(Tape!$M$7:$M$36,Tape!$C$7:$C$36,Capex!C24)</f>
        <v>0</v>
      </c>
      <c r="E24" s="252"/>
      <c r="F24" s="252"/>
      <c r="G24" s="252"/>
      <c r="H24" s="252"/>
      <c r="I24" s="252"/>
      <c r="J24" s="252"/>
      <c r="K24" s="252"/>
      <c r="L24" s="252"/>
      <c r="M24" s="252"/>
      <c r="N24" s="252"/>
      <c r="P24" s="355" t="n">
        <f aca="false">SUM(I24:M24)</f>
        <v>0</v>
      </c>
      <c r="Q24" s="594" t="n">
        <f aca="false">IFERROR(P24/D24,0)</f>
        <v>0</v>
      </c>
      <c r="S24" s="252" t="n">
        <f aca="false">MAX(E24:N24)</f>
        <v>0</v>
      </c>
      <c r="T24" s="252" t="n">
        <f aca="false">IFERROR(+S24/D24,0)</f>
        <v>0</v>
      </c>
    </row>
    <row r="25" customFormat="false" ht="14.25" hidden="false" customHeight="false" outlineLevel="0" collapsed="false">
      <c r="C25" s="0" t="str">
        <f aca="false">IF(Tape!C26="","",Tape!C26)</f>
        <v/>
      </c>
      <c r="D25" s="593" t="n">
        <f aca="false">SUMIFS(Tape!$M$7:$M$36,Tape!$C$7:$C$36,Capex!C25)</f>
        <v>0</v>
      </c>
      <c r="E25" s="252"/>
      <c r="F25" s="252"/>
      <c r="G25" s="252"/>
      <c r="H25" s="252"/>
      <c r="I25" s="252"/>
      <c r="J25" s="252"/>
      <c r="K25" s="252"/>
      <c r="L25" s="252"/>
      <c r="M25" s="252"/>
      <c r="N25" s="252"/>
      <c r="P25" s="355" t="n">
        <f aca="false">SUM(I25:M25)</f>
        <v>0</v>
      </c>
      <c r="Q25" s="594" t="n">
        <f aca="false">IFERROR(P25/D25,0)</f>
        <v>0</v>
      </c>
      <c r="S25" s="252" t="n">
        <f aca="false">MAX(E25:N25)</f>
        <v>0</v>
      </c>
      <c r="T25" s="252" t="n">
        <f aca="false">IFERROR(+S25/D25,0)</f>
        <v>0</v>
      </c>
    </row>
    <row r="26" customFormat="false" ht="14.25" hidden="false" customHeight="false" outlineLevel="0" collapsed="false">
      <c r="C26" s="0" t="str">
        <f aca="false">IF(Tape!C27="","",Tape!C27)</f>
        <v/>
      </c>
      <c r="D26" s="593" t="n">
        <f aca="false">SUMIFS(Tape!$M$7:$M$36,Tape!$C$7:$C$36,Capex!C26)</f>
        <v>0</v>
      </c>
      <c r="E26" s="252"/>
      <c r="F26" s="252"/>
      <c r="G26" s="252"/>
      <c r="H26" s="252"/>
      <c r="I26" s="252"/>
      <c r="J26" s="252"/>
      <c r="K26" s="252"/>
      <c r="L26" s="252"/>
      <c r="M26" s="252"/>
      <c r="N26" s="252"/>
      <c r="P26" s="355" t="n">
        <f aca="false">SUM(I26:M26)</f>
        <v>0</v>
      </c>
      <c r="Q26" s="594" t="n">
        <f aca="false">IFERROR(P26/D26,0)</f>
        <v>0</v>
      </c>
      <c r="S26" s="252" t="n">
        <f aca="false">MAX(E26:N26)</f>
        <v>0</v>
      </c>
      <c r="T26" s="252" t="n">
        <f aca="false">IFERROR(+S26/D26,0)</f>
        <v>0</v>
      </c>
    </row>
    <row r="27" customFormat="false" ht="14.25" hidden="false" customHeight="false" outlineLevel="0" collapsed="false">
      <c r="C27" s="0" t="str">
        <f aca="false">IF(Tape!C28="","",Tape!C28)</f>
        <v/>
      </c>
      <c r="D27" s="593" t="n">
        <f aca="false">SUMIFS(Tape!$M$7:$M$36,Tape!$C$7:$C$36,Capex!C27)</f>
        <v>0</v>
      </c>
      <c r="E27" s="252"/>
      <c r="F27" s="252"/>
      <c r="G27" s="252"/>
      <c r="H27" s="252"/>
      <c r="I27" s="252"/>
      <c r="J27" s="252"/>
      <c r="K27" s="252"/>
      <c r="L27" s="252"/>
      <c r="M27" s="252"/>
      <c r="N27" s="252"/>
      <c r="P27" s="355" t="n">
        <f aca="false">SUM(I27:M27)</f>
        <v>0</v>
      </c>
      <c r="Q27" s="594" t="n">
        <f aca="false">IFERROR(P27/D27,0)</f>
        <v>0</v>
      </c>
      <c r="S27" s="252" t="n">
        <f aca="false">MAX(E27:N27)</f>
        <v>0</v>
      </c>
      <c r="T27" s="252" t="n">
        <f aca="false">IFERROR(+S27/D27,0)</f>
        <v>0</v>
      </c>
    </row>
    <row r="28" customFormat="false" ht="14.25" hidden="false" customHeight="false" outlineLevel="0" collapsed="false">
      <c r="C28" s="0" t="str">
        <f aca="false">IF(Tape!C29="","",Tape!C29)</f>
        <v/>
      </c>
      <c r="D28" s="593" t="n">
        <f aca="false">SUMIFS(Tape!$M$7:$M$36,Tape!$C$7:$C$36,Capex!C28)</f>
        <v>0</v>
      </c>
      <c r="E28" s="252"/>
      <c r="F28" s="252"/>
      <c r="G28" s="252"/>
      <c r="H28" s="252"/>
      <c r="I28" s="252"/>
      <c r="J28" s="252"/>
      <c r="K28" s="252"/>
      <c r="L28" s="252"/>
      <c r="M28" s="252"/>
      <c r="N28" s="252"/>
      <c r="P28" s="355" t="n">
        <f aca="false">SUM(I28:M28)</f>
        <v>0</v>
      </c>
      <c r="Q28" s="594" t="n">
        <f aca="false">IFERROR(P28/D28,0)</f>
        <v>0</v>
      </c>
      <c r="S28" s="252" t="n">
        <f aca="false">MAX(E28:N28)</f>
        <v>0</v>
      </c>
      <c r="T28" s="252" t="n">
        <f aca="false">IFERROR(+S28/D28,0)</f>
        <v>0</v>
      </c>
    </row>
    <row r="29" customFormat="false" ht="14.25" hidden="false" customHeight="false" outlineLevel="0" collapsed="false">
      <c r="C29" s="0" t="str">
        <f aca="false">IF(Tape!C30="","",Tape!C30)</f>
        <v/>
      </c>
      <c r="D29" s="593" t="n">
        <f aca="false">SUMIFS(Tape!$M$7:$M$36,Tape!$C$7:$C$36,Capex!C29)</f>
        <v>0</v>
      </c>
      <c r="E29" s="252"/>
      <c r="F29" s="252"/>
      <c r="G29" s="252"/>
      <c r="H29" s="252"/>
      <c r="I29" s="252"/>
      <c r="J29" s="252"/>
      <c r="K29" s="252"/>
      <c r="L29" s="252"/>
      <c r="M29" s="252"/>
      <c r="N29" s="252"/>
      <c r="P29" s="355" t="n">
        <f aca="false">SUM(I29:M29)</f>
        <v>0</v>
      </c>
      <c r="Q29" s="594" t="n">
        <f aca="false">IFERROR(P29/D29,0)</f>
        <v>0</v>
      </c>
      <c r="S29" s="252" t="n">
        <f aca="false">MAX(E29:N29)</f>
        <v>0</v>
      </c>
      <c r="T29" s="252" t="n">
        <f aca="false">IFERROR(+S29/D29,0)</f>
        <v>0</v>
      </c>
    </row>
    <row r="30" customFormat="false" ht="14.25" hidden="false" customHeight="false" outlineLevel="0" collapsed="false">
      <c r="C30" s="0" t="str">
        <f aca="false">IF(Tape!C31="","",Tape!C31)</f>
        <v/>
      </c>
      <c r="D30" s="593" t="n">
        <f aca="false">SUMIFS(Tape!$M$7:$M$36,Tape!$C$7:$C$36,Capex!C30)</f>
        <v>0</v>
      </c>
      <c r="E30" s="252"/>
      <c r="F30" s="252"/>
      <c r="G30" s="252"/>
      <c r="H30" s="252"/>
      <c r="I30" s="252"/>
      <c r="J30" s="252"/>
      <c r="K30" s="252"/>
      <c r="L30" s="252"/>
      <c r="M30" s="252"/>
      <c r="N30" s="252"/>
      <c r="P30" s="355" t="n">
        <f aca="false">SUM(I30:M30)</f>
        <v>0</v>
      </c>
      <c r="Q30" s="594" t="n">
        <f aca="false">IFERROR(P30/D30,0)</f>
        <v>0</v>
      </c>
      <c r="S30" s="252" t="n">
        <f aca="false">MAX(E30:N30)</f>
        <v>0</v>
      </c>
      <c r="T30" s="252" t="n">
        <f aca="false">IFERROR(+S30/D30,0)</f>
        <v>0</v>
      </c>
    </row>
    <row r="31" customFormat="false" ht="14.25" hidden="false" customHeight="false" outlineLevel="0" collapsed="false">
      <c r="C31" s="0" t="str">
        <f aca="false">IF(Tape!C32="","",Tape!C32)</f>
        <v/>
      </c>
      <c r="D31" s="593" t="n">
        <f aca="false">SUMIFS(Tape!$M$7:$M$36,Tape!$C$7:$C$36,Capex!C31)</f>
        <v>0</v>
      </c>
      <c r="E31" s="252"/>
      <c r="F31" s="252"/>
      <c r="G31" s="252"/>
      <c r="H31" s="252"/>
      <c r="I31" s="252"/>
      <c r="J31" s="252"/>
      <c r="K31" s="252"/>
      <c r="L31" s="252"/>
      <c r="M31" s="252"/>
      <c r="N31" s="252"/>
      <c r="P31" s="355" t="n">
        <f aca="false">SUM(I31:M31)</f>
        <v>0</v>
      </c>
      <c r="Q31" s="594" t="n">
        <f aca="false">IFERROR(P31/D31,0)</f>
        <v>0</v>
      </c>
      <c r="S31" s="252" t="n">
        <f aca="false">MAX(E31:N31)</f>
        <v>0</v>
      </c>
      <c r="T31" s="252" t="n">
        <f aca="false">IFERROR(+S31/D31,0)</f>
        <v>0</v>
      </c>
    </row>
    <row r="32" customFormat="false" ht="14.25" hidden="false" customHeight="false" outlineLevel="0" collapsed="false">
      <c r="C32" s="0" t="str">
        <f aca="false">IF(Tape!C33="","",Tape!C33)</f>
        <v/>
      </c>
      <c r="D32" s="593" t="n">
        <f aca="false">SUMIFS(Tape!$M$7:$M$36,Tape!$C$7:$C$36,Capex!C32)</f>
        <v>0</v>
      </c>
      <c r="E32" s="252"/>
      <c r="F32" s="252"/>
      <c r="G32" s="252"/>
      <c r="H32" s="252"/>
      <c r="I32" s="252"/>
      <c r="J32" s="252"/>
      <c r="K32" s="252"/>
      <c r="L32" s="252"/>
      <c r="M32" s="252"/>
      <c r="N32" s="252"/>
      <c r="P32" s="355" t="n">
        <f aca="false">SUM(I32:M32)</f>
        <v>0</v>
      </c>
      <c r="Q32" s="594" t="n">
        <f aca="false">IFERROR(P32/D32,0)</f>
        <v>0</v>
      </c>
      <c r="S32" s="252" t="n">
        <f aca="false">MAX(E32:N32)</f>
        <v>0</v>
      </c>
      <c r="T32" s="252" t="n">
        <f aca="false">IFERROR(+S32/D32,0)</f>
        <v>0</v>
      </c>
    </row>
    <row r="33" customFormat="false" ht="14.25" hidden="false" customHeight="false" outlineLevel="0" collapsed="false">
      <c r="C33" s="0" t="str">
        <f aca="false">IF(Tape!C34="","",Tape!C34)</f>
        <v/>
      </c>
      <c r="D33" s="593" t="n">
        <f aca="false">SUMIFS(Tape!$M$7:$M$36,Tape!$C$7:$C$36,Capex!C33)</f>
        <v>0</v>
      </c>
      <c r="E33" s="252"/>
      <c r="F33" s="252"/>
      <c r="G33" s="252"/>
      <c r="H33" s="252"/>
      <c r="I33" s="252"/>
      <c r="J33" s="252"/>
      <c r="K33" s="252"/>
      <c r="L33" s="252"/>
      <c r="M33" s="252"/>
      <c r="N33" s="252"/>
      <c r="P33" s="355" t="n">
        <f aca="false">SUM(I33:M33)</f>
        <v>0</v>
      </c>
      <c r="Q33" s="594" t="n">
        <f aca="false">IFERROR(P33/D33,0)</f>
        <v>0</v>
      </c>
      <c r="S33" s="252" t="n">
        <f aca="false">MAX(E33:N33)</f>
        <v>0</v>
      </c>
      <c r="T33" s="252" t="n">
        <f aca="false">IFERROR(+S33/D33,0)</f>
        <v>0</v>
      </c>
    </row>
    <row r="34" customFormat="false" ht="14.25" hidden="false" customHeight="false" outlineLevel="0" collapsed="false">
      <c r="C34" s="0" t="str">
        <f aca="false">IF(Tape!C35="","",Tape!C35)</f>
        <v/>
      </c>
      <c r="D34" s="593" t="n">
        <f aca="false">SUMIFS(Tape!$M$7:$M$36,Tape!$C$7:$C$36,Capex!C34)</f>
        <v>0</v>
      </c>
      <c r="E34" s="252"/>
      <c r="F34" s="252"/>
      <c r="G34" s="252"/>
      <c r="H34" s="252"/>
      <c r="I34" s="252"/>
      <c r="J34" s="252"/>
      <c r="K34" s="252"/>
      <c r="L34" s="252"/>
      <c r="M34" s="252"/>
      <c r="N34" s="252"/>
      <c r="P34" s="355" t="n">
        <f aca="false">SUM(I34:M34)</f>
        <v>0</v>
      </c>
      <c r="Q34" s="594" t="n">
        <f aca="false">IFERROR(P34/D34,0)</f>
        <v>0</v>
      </c>
      <c r="S34" s="252" t="n">
        <f aca="false">MAX(E34:N34)</f>
        <v>0</v>
      </c>
      <c r="T34" s="252" t="n">
        <f aca="false">IFERROR(+S34/D34,0)</f>
        <v>0</v>
      </c>
    </row>
    <row r="35" customFormat="false" ht="14.25" hidden="false" customHeight="false" outlineLevel="0" collapsed="false">
      <c r="C35" s="0" t="str">
        <f aca="false">IF(Tape!C36="","",Tape!C36)</f>
        <v/>
      </c>
      <c r="D35" s="593" t="n">
        <f aca="false">SUMIFS(Tape!$M$7:$M$36,Tape!$C$7:$C$36,Capex!C35)</f>
        <v>0</v>
      </c>
      <c r="E35" s="252"/>
      <c r="F35" s="252"/>
      <c r="G35" s="252"/>
      <c r="H35" s="252"/>
      <c r="I35" s="252"/>
      <c r="J35" s="252"/>
      <c r="K35" s="252"/>
      <c r="L35" s="252"/>
      <c r="M35" s="252"/>
      <c r="N35" s="252"/>
      <c r="P35" s="355" t="n">
        <f aca="false">SUM(I35:M35)</f>
        <v>0</v>
      </c>
      <c r="Q35" s="594" t="n">
        <f aca="false">IFERROR(P35/D35,0)</f>
        <v>0</v>
      </c>
      <c r="S35" s="252" t="n">
        <f aca="false">MAX(E35:N35)</f>
        <v>0</v>
      </c>
      <c r="T35" s="252" t="n">
        <f aca="false">IFERROR(+S35/D35,0)</f>
        <v>0</v>
      </c>
    </row>
    <row r="36" customFormat="false" ht="14.25" hidden="false" customHeight="false" outlineLevel="0" collapsed="false">
      <c r="C36" s="595" t="s">
        <v>58</v>
      </c>
      <c r="D36" s="596" t="n">
        <f aca="false">SUM(D6:D35)</f>
        <v>0</v>
      </c>
      <c r="E36" s="597" t="n">
        <f aca="false">SUM(E6:E35)</f>
        <v>0</v>
      </c>
      <c r="F36" s="597" t="n">
        <f aca="false">SUM(F6:F35)</f>
        <v>0</v>
      </c>
      <c r="G36" s="597" t="n">
        <f aca="false">SUM(G6:G35)</f>
        <v>0</v>
      </c>
      <c r="H36" s="597" t="n">
        <f aca="false">SUM(H6:H35)</f>
        <v>0</v>
      </c>
      <c r="I36" s="597" t="n">
        <f aca="false">SUM(I6:I35)</f>
        <v>0</v>
      </c>
      <c r="J36" s="597" t="n">
        <f aca="false">SUM(J6:J35)</f>
        <v>0</v>
      </c>
      <c r="K36" s="597" t="n">
        <f aca="false">SUM(K6:K35)</f>
        <v>0</v>
      </c>
      <c r="L36" s="597" t="n">
        <f aca="false">SUM(L6:L35)</f>
        <v>0</v>
      </c>
      <c r="M36" s="597" t="n">
        <f aca="false">SUM(M6:M35)</f>
        <v>0</v>
      </c>
      <c r="N36" s="598" t="n">
        <f aca="false">SUM(N6:N35)</f>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2026-05-05T17:18:43Z</dcterms:created>
  <dc:creator>Russell, Charlie</dc:creator>
  <dc:description/>
  <dc:language>en-US</dc:language>
  <cp:lastModifiedBy>Jennings, Paul</cp:lastModifiedBy>
  <dcterms:modified xsi:type="dcterms:W3CDTF">2026-09-25T13:50:08Z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