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Piece Summary" sheetId="1" state="visible" r:id="rId1"/>
    <sheet xmlns:r="http://schemas.openxmlformats.org/officeDocument/2006/relationships" name="Cla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9">
    <font>
      <name val="Calibri"/>
      <family val="2"/>
      <color theme="1"/>
      <sz val="11"/>
      <scheme val="minor"/>
    </font>
    <font>
      <name val="Calibri"/>
      <b val="1"/>
      <color rgb="000F2F51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00FF"/>
      <sz val="10"/>
      <u val="single"/>
    </font>
    <font>
      <name val="Calibri"/>
      <i val="1"/>
      <color rgb="00808080"/>
      <sz val="10"/>
    </font>
    <font>
      <name val="Calibri"/>
      <color rgb="00008000"/>
      <sz val="10"/>
    </font>
    <font>
      <name val="Calibri"/>
      <b val="1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5" fontId="2" fillId="2" borderId="0" applyAlignment="1" pivotButton="0" quotePrefix="0" xfId="0">
      <alignment horizontal="center"/>
    </xf>
    <xf numFmtId="0" fontId="8" fillId="0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1693368/000153949717000183/n840_x13-424b2.htm" TargetMode="External" Id="rId1"/><Relationship Type="http://schemas.openxmlformats.org/officeDocument/2006/relationships/hyperlink" Target="https://www.sec.gov/Archives/edgar/data/1720748/000153949717002158/n1090_424b2-x15.htm" TargetMode="External" Id="rId2"/><Relationship Type="http://schemas.openxmlformats.org/officeDocument/2006/relationships/hyperlink" Target="https://www.sec.gov/Archives/edgar/data/1718304/000153949717001896/n1069_424b2-x12.htm" TargetMode="External" Id="rId3"/><Relationship Type="http://schemas.openxmlformats.org/officeDocument/2006/relationships/hyperlink" Target="https://www.sec.gov/Archives/edgar/data/1706403/000153949717001065/n935_424b2-x13.htm" TargetMode="External" Id="rId4"/><Relationship Type="http://schemas.openxmlformats.org/officeDocument/2006/relationships/hyperlink" Target="https://www.sec.gov/Archives/edgar/data/1704459/000153949717000852/n927_x20-424b2.htm" TargetMode="External" Id="rId5"/><Relationship Type="http://schemas.openxmlformats.org/officeDocument/2006/relationships/hyperlink" Target="https://www.sec.gov/Archives/edgar/data/1718483/000153949717002169/n1091_424b2-x20.htm" TargetMode="External" Id="rId6"/><Relationship Type="http://schemas.openxmlformats.org/officeDocument/2006/relationships/hyperlink" Target="https://www.sec.gov/Archives/edgar/data/1716186/000153949717001903/n1063_424b2-x11.htm" TargetMode="External" Id="rId7"/><Relationship Type="http://schemas.openxmlformats.org/officeDocument/2006/relationships/hyperlink" Target="https://www.sec.gov/Archives/edgar/data/1577670/000115752317002253/a51617139ex99_1.htm" TargetMode="External" Id="rId8"/><Relationship Type="http://schemas.openxmlformats.org/officeDocument/2006/relationships/hyperlink" Target="https://www.sec.gov/Archives/edgar/data/1702746/000153949717000693/n910_424b2-x14.htm" TargetMode="External" Id="rId9"/><Relationship Type="http://schemas.openxmlformats.org/officeDocument/2006/relationships/hyperlink" Target="https://www.sec.gov/Archives/edgar/data/1711142/000153949717001423/n987_424b.htm" TargetMode="External" Id="rId10"/><Relationship Type="http://schemas.openxmlformats.org/officeDocument/2006/relationships/hyperlink" Target="https://www.sec.gov/Archives/edgar/data/1713226/000153949717001480/n1007_424b2-x18.htm" TargetMode="External" Id="rId11"/><Relationship Type="http://schemas.openxmlformats.org/officeDocument/2006/relationships/hyperlink" Target="https://www.sec.gov/Archives/edgar/data/1719195/000153949717002068/n1077_x19-424b2.htm" TargetMode="External" Id="rId12"/><Relationship Type="http://schemas.openxmlformats.org/officeDocument/2006/relationships/hyperlink" Target="https://www.sec.gov/Archives/edgar/data/1734103/000153949718000575/n1201_424b2-x14.htm" TargetMode="External" Id="rId13"/><Relationship Type="http://schemas.openxmlformats.org/officeDocument/2006/relationships/hyperlink" Target="https://www.sec.gov/Archives/edgar/data/1751874/000153949718001592/n1368_424b2-x11.htm" TargetMode="External" Id="rId14"/><Relationship Type="http://schemas.openxmlformats.org/officeDocument/2006/relationships/hyperlink" Target="https://www.sec.gov/Archives/edgar/data/1757925/000153949718001992/n1425_424b2-x11.htm" TargetMode="External" Id="rId15"/><Relationship Type="http://schemas.openxmlformats.org/officeDocument/2006/relationships/hyperlink" Target="https://www.sec.gov/Archives/edgar/data/1751743/000153949718001686/n1384_424b2-x14.htm" TargetMode="External" Id="rId16"/><Relationship Type="http://schemas.openxmlformats.org/officeDocument/2006/relationships/hyperlink" Target="https://www.sec.gov/Archives/edgar/data/1744982/000153949718001388/n1323_424b2-x13.htm" TargetMode="External" Id="rId17"/><Relationship Type="http://schemas.openxmlformats.org/officeDocument/2006/relationships/hyperlink" Target="https://www.sec.gov/Archives/edgar/data/1749360/000153949718001624/n1366_424b2-x11.htm" TargetMode="External" Id="rId18"/><Relationship Type="http://schemas.openxmlformats.org/officeDocument/2006/relationships/hyperlink" Target="https://www.sec.gov/Archives/edgar/data/1760337/000153949718002084/n1449_424b2-x13.htm" TargetMode="External" Id="rId19"/><Relationship Type="http://schemas.openxmlformats.org/officeDocument/2006/relationships/hyperlink" Target="https://www.sec.gov/Archives/edgar/data/1727836/000153949718000293/n1167_424b2-x16.htm" TargetMode="External" Id="rId20"/><Relationship Type="http://schemas.openxmlformats.org/officeDocument/2006/relationships/hyperlink" Target="https://www.sec.gov/Archives/edgar/data/1729832/000153949718000523/n1195_424b2-x18.htm" TargetMode="External" Id="rId21"/><Relationship Type="http://schemas.openxmlformats.org/officeDocument/2006/relationships/hyperlink" Target="https://www.sec.gov/Archives/edgar/data/1753233/000153949718001697/n1382_x16-424b2.htm" TargetMode="External" Id="rId22"/><Relationship Type="http://schemas.openxmlformats.org/officeDocument/2006/relationships/hyperlink" Target="https://www.sec.gov/Archives/edgar/data/1772527/000153949719000926/n1608-x11_424b2.htm" TargetMode="External" Id="rId23"/><Relationship Type="http://schemas.openxmlformats.org/officeDocument/2006/relationships/hyperlink" Target="https://www.sec.gov/Archives/edgar/data/1763207/000153949719000339/n1496_424b2-x20.htm" TargetMode="External" Id="rId24"/><Relationship Type="http://schemas.openxmlformats.org/officeDocument/2006/relationships/hyperlink" Target="https://www.sec.gov/Archives/edgar/data/1773339/000153949719001017/n1601-x15_424b2.htm" TargetMode="External" Id="rId25"/><Relationship Type="http://schemas.openxmlformats.org/officeDocument/2006/relationships/hyperlink" Target="https://www.sec.gov/Archives/edgar/data/1769322/000153949719000601/n1550-x18_424b2.htm" TargetMode="External" Id="rId26"/><Relationship Type="http://schemas.openxmlformats.org/officeDocument/2006/relationships/hyperlink" Target="https://www.sec.gov/Archives/edgar/data/1763001/000153949719000379/n1501_424b2-x15.htm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93368/000153949717000183/n840_x13-424b2.htm" TargetMode="External" Id="rId1"/><Relationship Type="http://schemas.openxmlformats.org/officeDocument/2006/relationships/hyperlink" Target="https://www.sec.gov/Archives/edgar/data/1693368/000153949717000183/n840_x13-424b2.htm" TargetMode="External" Id="rId2"/><Relationship Type="http://schemas.openxmlformats.org/officeDocument/2006/relationships/hyperlink" Target="https://www.sec.gov/Archives/edgar/data/1693368/000153949717000183/n840_x13-424b2.htm" TargetMode="External" Id="rId3"/><Relationship Type="http://schemas.openxmlformats.org/officeDocument/2006/relationships/hyperlink" Target="https://www.sec.gov/Archives/edgar/data/1720748/000153949717002158/n1090_424b2-x15.htm" TargetMode="External" Id="rId4"/><Relationship Type="http://schemas.openxmlformats.org/officeDocument/2006/relationships/hyperlink" Target="https://www.sec.gov/Archives/edgar/data/1720748/000153949717002158/n1090_424b2-x15.htm" TargetMode="External" Id="rId5"/><Relationship Type="http://schemas.openxmlformats.org/officeDocument/2006/relationships/hyperlink" Target="https://www.sec.gov/Archives/edgar/data/1720748/000153949717002158/n1090_424b2-x15.htm" TargetMode="External" Id="rId6"/><Relationship Type="http://schemas.openxmlformats.org/officeDocument/2006/relationships/hyperlink" Target="https://www.sec.gov/Archives/edgar/data/1720748/000153949717002158/n1090_424b2-x15.htm" TargetMode="External" Id="rId7"/><Relationship Type="http://schemas.openxmlformats.org/officeDocument/2006/relationships/hyperlink" Target="https://www.sec.gov/Archives/edgar/data/1720748/000153949717002158/n1090_424b2-x15.htm" TargetMode="External" Id="rId8"/><Relationship Type="http://schemas.openxmlformats.org/officeDocument/2006/relationships/hyperlink" Target="https://www.sec.gov/Archives/edgar/data/1718304/000153949717001896/n1069_424b2-x12.htm" TargetMode="External" Id="rId9"/><Relationship Type="http://schemas.openxmlformats.org/officeDocument/2006/relationships/hyperlink" Target="https://www.sec.gov/Archives/edgar/data/1718304/000153949717001896/n1069_424b2-x12.htm" TargetMode="External" Id="rId10"/><Relationship Type="http://schemas.openxmlformats.org/officeDocument/2006/relationships/hyperlink" Target="https://www.sec.gov/Archives/edgar/data/1718304/000153949717001896/n1069_424b2-x12.htm" TargetMode="External" Id="rId11"/><Relationship Type="http://schemas.openxmlformats.org/officeDocument/2006/relationships/hyperlink" Target="https://www.sec.gov/Archives/edgar/data/1718304/000153949717001896/n1069_424b2-x12.htm" TargetMode="External" Id="rId12"/><Relationship Type="http://schemas.openxmlformats.org/officeDocument/2006/relationships/hyperlink" Target="https://www.sec.gov/Archives/edgar/data/1718304/000153949717001896/n1069_424b2-x12.htm" TargetMode="External" Id="rId13"/><Relationship Type="http://schemas.openxmlformats.org/officeDocument/2006/relationships/hyperlink" Target="https://www.sec.gov/Archives/edgar/data/1706403/000153949717001065/n935_424b2-x13.htm" TargetMode="External" Id="rId14"/><Relationship Type="http://schemas.openxmlformats.org/officeDocument/2006/relationships/hyperlink" Target="https://www.sec.gov/Archives/edgar/data/1706403/000153949717001065/n935_424b2-x13.htm" TargetMode="External" Id="rId15"/><Relationship Type="http://schemas.openxmlformats.org/officeDocument/2006/relationships/hyperlink" Target="https://www.sec.gov/Archives/edgar/data/1706403/000153949717001065/n935_424b2-x13.htm" TargetMode="External" Id="rId16"/><Relationship Type="http://schemas.openxmlformats.org/officeDocument/2006/relationships/hyperlink" Target="https://www.sec.gov/Archives/edgar/data/1704459/000153949717000852/n927_x20-424b2.htm" TargetMode="External" Id="rId17"/><Relationship Type="http://schemas.openxmlformats.org/officeDocument/2006/relationships/hyperlink" Target="https://www.sec.gov/Archives/edgar/data/1704459/000153949717000852/n927_x20-424b2.htm" TargetMode="External" Id="rId18"/><Relationship Type="http://schemas.openxmlformats.org/officeDocument/2006/relationships/hyperlink" Target="https://www.sec.gov/Archives/edgar/data/1704459/000153949717000852/n927_x20-424b2.htm" TargetMode="External" Id="rId19"/><Relationship Type="http://schemas.openxmlformats.org/officeDocument/2006/relationships/hyperlink" Target="https://www.sec.gov/Archives/edgar/data/1718483/000153949717002169/n1091_424b2-x20.htm" TargetMode="External" Id="rId20"/><Relationship Type="http://schemas.openxmlformats.org/officeDocument/2006/relationships/hyperlink" Target="https://www.sec.gov/Archives/edgar/data/1718483/000153949717002169/n1091_424b2-x20.htm" TargetMode="External" Id="rId21"/><Relationship Type="http://schemas.openxmlformats.org/officeDocument/2006/relationships/hyperlink" Target="https://www.sec.gov/Archives/edgar/data/1718483/000153949717002169/n1091_424b2-x20.htm" TargetMode="External" Id="rId22"/><Relationship Type="http://schemas.openxmlformats.org/officeDocument/2006/relationships/hyperlink" Target="https://www.sec.gov/Archives/edgar/data/1718483/000153949717002169/n1091_424b2-x20.htm" TargetMode="External" Id="rId23"/><Relationship Type="http://schemas.openxmlformats.org/officeDocument/2006/relationships/hyperlink" Target="https://www.sec.gov/Archives/edgar/data/1716186/000153949717001903/n1063_424b2-x11.htm" TargetMode="External" Id="rId24"/><Relationship Type="http://schemas.openxmlformats.org/officeDocument/2006/relationships/hyperlink" Target="https://www.sec.gov/Archives/edgar/data/1716186/000153949717001903/n1063_424b2-x11.htm" TargetMode="External" Id="rId25"/><Relationship Type="http://schemas.openxmlformats.org/officeDocument/2006/relationships/hyperlink" Target="https://www.sec.gov/Archives/edgar/data/1716186/000153949717001903/n1063_424b2-x11.htm" TargetMode="External" Id="rId26"/><Relationship Type="http://schemas.openxmlformats.org/officeDocument/2006/relationships/hyperlink" Target="https://www.sec.gov/Archives/edgar/data/1702746/000153949717000693/n910_424b2-x14.htm" TargetMode="External" Id="rId27"/><Relationship Type="http://schemas.openxmlformats.org/officeDocument/2006/relationships/hyperlink" Target="https://www.sec.gov/Archives/edgar/data/1702746/000153949717000693/n910_424b2-x14.htm" TargetMode="External" Id="rId28"/><Relationship Type="http://schemas.openxmlformats.org/officeDocument/2006/relationships/hyperlink" Target="https://www.sec.gov/Archives/edgar/data/1702746/000153949717000693/n910_424b2-x14.htm" TargetMode="External" Id="rId29"/><Relationship Type="http://schemas.openxmlformats.org/officeDocument/2006/relationships/hyperlink" Target="https://www.sec.gov/Archives/edgar/data/1711142/000153949717001423/n987_424b.htm" TargetMode="External" Id="rId30"/><Relationship Type="http://schemas.openxmlformats.org/officeDocument/2006/relationships/hyperlink" Target="https://www.sec.gov/Archives/edgar/data/1711142/000153949717001423/n987_424b.htm" TargetMode="External" Id="rId31"/><Relationship Type="http://schemas.openxmlformats.org/officeDocument/2006/relationships/hyperlink" Target="https://www.sec.gov/Archives/edgar/data/1711142/000153949717001423/n987_424b.htm" TargetMode="External" Id="rId32"/><Relationship Type="http://schemas.openxmlformats.org/officeDocument/2006/relationships/hyperlink" Target="https://www.sec.gov/Archives/edgar/data/1711142/000153949717001423/n987_424b.htm" TargetMode="External" Id="rId33"/><Relationship Type="http://schemas.openxmlformats.org/officeDocument/2006/relationships/hyperlink" Target="https://www.sec.gov/Archives/edgar/data/1711142/000153949717001423/n987_424b.htm" TargetMode="External" Id="rId34"/><Relationship Type="http://schemas.openxmlformats.org/officeDocument/2006/relationships/hyperlink" Target="https://www.sec.gov/Archives/edgar/data/1711142/000153949717001423/n987_424b.htm" TargetMode="External" Id="rId35"/><Relationship Type="http://schemas.openxmlformats.org/officeDocument/2006/relationships/hyperlink" Target="https://www.sec.gov/Archives/edgar/data/1713226/000153949717001480/n1007_424b2-x18.htm" TargetMode="External" Id="rId36"/><Relationship Type="http://schemas.openxmlformats.org/officeDocument/2006/relationships/hyperlink" Target="https://www.sec.gov/Archives/edgar/data/1713226/000153949717001480/n1007_424b2-x18.htm" TargetMode="External" Id="rId37"/><Relationship Type="http://schemas.openxmlformats.org/officeDocument/2006/relationships/hyperlink" Target="https://www.sec.gov/Archives/edgar/data/1713226/000153949717001480/n1007_424b2-x18.htm" TargetMode="External" Id="rId38"/><Relationship Type="http://schemas.openxmlformats.org/officeDocument/2006/relationships/hyperlink" Target="https://www.sec.gov/Archives/edgar/data/1713226/000153949717001480/n1007_424b2-x18.htm" TargetMode="External" Id="rId39"/><Relationship Type="http://schemas.openxmlformats.org/officeDocument/2006/relationships/hyperlink" Target="https://www.sec.gov/Archives/edgar/data/1713226/000153949717001480/n1007_424b2-x18.htm" TargetMode="External" Id="rId40"/><Relationship Type="http://schemas.openxmlformats.org/officeDocument/2006/relationships/hyperlink" Target="https://www.sec.gov/Archives/edgar/data/1719195/000153949717002068/n1077_x19-424b2.htm" TargetMode="External" Id="rId41"/><Relationship Type="http://schemas.openxmlformats.org/officeDocument/2006/relationships/hyperlink" Target="https://www.sec.gov/Archives/edgar/data/1719195/000153949717002068/n1077_x19-424b2.htm" TargetMode="External" Id="rId42"/><Relationship Type="http://schemas.openxmlformats.org/officeDocument/2006/relationships/hyperlink" Target="https://www.sec.gov/Archives/edgar/data/1719195/000153949717002068/n1077_x19-424b2.htm" TargetMode="External" Id="rId43"/><Relationship Type="http://schemas.openxmlformats.org/officeDocument/2006/relationships/hyperlink" Target="https://www.sec.gov/Archives/edgar/data/1719195/000153949717002068/n1077_x19-424b2.htm" TargetMode="External" Id="rId44"/><Relationship Type="http://schemas.openxmlformats.org/officeDocument/2006/relationships/hyperlink" Target="https://www.sec.gov/Archives/edgar/data/1719195/000153949717002068/n1077_x19-424b2.htm" TargetMode="External" Id="rId45"/><Relationship Type="http://schemas.openxmlformats.org/officeDocument/2006/relationships/hyperlink" Target="https://www.sec.gov/Archives/edgar/data/1734103/000153949718000575/n1201_424b2-x14.htm" TargetMode="External" Id="rId46"/><Relationship Type="http://schemas.openxmlformats.org/officeDocument/2006/relationships/hyperlink" Target="https://www.sec.gov/Archives/edgar/data/1734103/000153949718000575/n1201_424b2-x14.htm" TargetMode="External" Id="rId47"/><Relationship Type="http://schemas.openxmlformats.org/officeDocument/2006/relationships/hyperlink" Target="https://www.sec.gov/Archives/edgar/data/1734103/000153949718000575/n1201_424b2-x14.htm" TargetMode="External" Id="rId48"/><Relationship Type="http://schemas.openxmlformats.org/officeDocument/2006/relationships/hyperlink" Target="https://www.sec.gov/Archives/edgar/data/1734103/000153949718000575/n1201_424b2-x14.htm" TargetMode="External" Id="rId49"/><Relationship Type="http://schemas.openxmlformats.org/officeDocument/2006/relationships/hyperlink" Target="https://www.sec.gov/Archives/edgar/data/1734103/000153949718000575/n1201_424b2-x14.htm" TargetMode="External" Id="rId50"/><Relationship Type="http://schemas.openxmlformats.org/officeDocument/2006/relationships/hyperlink" Target="https://www.sec.gov/Archives/edgar/data/1751874/000153949718001592/n1368_424b2-x11.htm" TargetMode="External" Id="rId51"/><Relationship Type="http://schemas.openxmlformats.org/officeDocument/2006/relationships/hyperlink" Target="https://www.sec.gov/Archives/edgar/data/1751874/000153949718001592/n1368_424b2-x11.htm" TargetMode="External" Id="rId52"/><Relationship Type="http://schemas.openxmlformats.org/officeDocument/2006/relationships/hyperlink" Target="https://www.sec.gov/Archives/edgar/data/1751874/000153949718001592/n1368_424b2-x11.htm" TargetMode="External" Id="rId53"/><Relationship Type="http://schemas.openxmlformats.org/officeDocument/2006/relationships/hyperlink" Target="https://www.sec.gov/Archives/edgar/data/1751874/000153949718001592/n1368_424b2-x11.htm" TargetMode="External" Id="rId54"/><Relationship Type="http://schemas.openxmlformats.org/officeDocument/2006/relationships/hyperlink" Target="https://www.sec.gov/Archives/edgar/data/1757925/000153949718001992/n1425_424b2-x11.htm" TargetMode="External" Id="rId55"/><Relationship Type="http://schemas.openxmlformats.org/officeDocument/2006/relationships/hyperlink" Target="https://www.sec.gov/Archives/edgar/data/1757925/000153949718001992/n1425_424b2-x11.htm" TargetMode="External" Id="rId56"/><Relationship Type="http://schemas.openxmlformats.org/officeDocument/2006/relationships/hyperlink" Target="https://www.sec.gov/Archives/edgar/data/1757925/000153949718001992/n1425_424b2-x11.htm" TargetMode="External" Id="rId57"/><Relationship Type="http://schemas.openxmlformats.org/officeDocument/2006/relationships/hyperlink" Target="https://www.sec.gov/Archives/edgar/data/1757925/000153949718001992/n1425_424b2-x11.htm" TargetMode="External" Id="rId58"/><Relationship Type="http://schemas.openxmlformats.org/officeDocument/2006/relationships/hyperlink" Target="https://www.sec.gov/Archives/edgar/data/1757925/000153949718001992/n1425_424b2-x11.htm" TargetMode="External" Id="rId59"/><Relationship Type="http://schemas.openxmlformats.org/officeDocument/2006/relationships/hyperlink" Target="https://www.sec.gov/Archives/edgar/data/1757925/000153949718001992/n1425_424b2-x11.htm" TargetMode="External" Id="rId60"/><Relationship Type="http://schemas.openxmlformats.org/officeDocument/2006/relationships/hyperlink" Target="https://www.sec.gov/Archives/edgar/data/1751743/000153949718001686/n1384_424b2-x14.htm" TargetMode="External" Id="rId61"/><Relationship Type="http://schemas.openxmlformats.org/officeDocument/2006/relationships/hyperlink" Target="https://www.sec.gov/Archives/edgar/data/1751743/000153949718001686/n1384_424b2-x14.htm" TargetMode="External" Id="rId62"/><Relationship Type="http://schemas.openxmlformats.org/officeDocument/2006/relationships/hyperlink" Target="https://www.sec.gov/Archives/edgar/data/1751743/000153949718001686/n1384_424b2-x14.htm" TargetMode="External" Id="rId63"/><Relationship Type="http://schemas.openxmlformats.org/officeDocument/2006/relationships/hyperlink" Target="https://www.sec.gov/Archives/edgar/data/1751743/000153949718001686/n1384_424b2-x14.htm" TargetMode="External" Id="rId64"/><Relationship Type="http://schemas.openxmlformats.org/officeDocument/2006/relationships/hyperlink" Target="https://www.sec.gov/Archives/edgar/data/1744982/000153949718001388/n1323_424b2-x13.htm" TargetMode="External" Id="rId65"/><Relationship Type="http://schemas.openxmlformats.org/officeDocument/2006/relationships/hyperlink" Target="https://www.sec.gov/Archives/edgar/data/1744982/000153949718001388/n1323_424b2-x13.htm" TargetMode="External" Id="rId66"/><Relationship Type="http://schemas.openxmlformats.org/officeDocument/2006/relationships/hyperlink" Target="https://www.sec.gov/Archives/edgar/data/1744982/000153949718001388/n1323_424b2-x13.htm" TargetMode="External" Id="rId67"/><Relationship Type="http://schemas.openxmlformats.org/officeDocument/2006/relationships/hyperlink" Target="https://www.sec.gov/Archives/edgar/data/1744982/000153949718001388/n1323_424b2-x13.htm" TargetMode="External" Id="rId68"/><Relationship Type="http://schemas.openxmlformats.org/officeDocument/2006/relationships/hyperlink" Target="https://www.sec.gov/Archives/edgar/data/1744982/000153949718001388/n1323_424b2-x13.htm" TargetMode="External" Id="rId69"/><Relationship Type="http://schemas.openxmlformats.org/officeDocument/2006/relationships/hyperlink" Target="https://www.sec.gov/Archives/edgar/data/1749360/000153949718001624/n1366_424b2-x11.htm" TargetMode="External" Id="rId70"/><Relationship Type="http://schemas.openxmlformats.org/officeDocument/2006/relationships/hyperlink" Target="https://www.sec.gov/Archives/edgar/data/1749360/000153949718001624/n1366_424b2-x11.htm" TargetMode="External" Id="rId71"/><Relationship Type="http://schemas.openxmlformats.org/officeDocument/2006/relationships/hyperlink" Target="https://www.sec.gov/Archives/edgar/data/1749360/000153949718001624/n1366_424b2-x11.htm" TargetMode="External" Id="rId72"/><Relationship Type="http://schemas.openxmlformats.org/officeDocument/2006/relationships/hyperlink" Target="https://www.sec.gov/Archives/edgar/data/1749360/000153949718001624/n1366_424b2-x11.htm" TargetMode="External" Id="rId73"/><Relationship Type="http://schemas.openxmlformats.org/officeDocument/2006/relationships/hyperlink" Target="https://www.sec.gov/Archives/edgar/data/1749360/000153949718001624/n1366_424b2-x11.htm" TargetMode="External" Id="rId74"/><Relationship Type="http://schemas.openxmlformats.org/officeDocument/2006/relationships/hyperlink" Target="https://www.sec.gov/Archives/edgar/data/1760337/000153949718002084/n1449_424b2-x13.htm" TargetMode="External" Id="rId75"/><Relationship Type="http://schemas.openxmlformats.org/officeDocument/2006/relationships/hyperlink" Target="https://www.sec.gov/Archives/edgar/data/1760337/000153949718002084/n1449_424b2-x13.htm" TargetMode="External" Id="rId76"/><Relationship Type="http://schemas.openxmlformats.org/officeDocument/2006/relationships/hyperlink" Target="https://www.sec.gov/Archives/edgar/data/1760337/000153949718002084/n1449_424b2-x13.htm" TargetMode="External" Id="rId77"/><Relationship Type="http://schemas.openxmlformats.org/officeDocument/2006/relationships/hyperlink" Target="https://www.sec.gov/Archives/edgar/data/1760337/000153949718002084/n1449_424b2-x13.htm" TargetMode="External" Id="rId78"/><Relationship Type="http://schemas.openxmlformats.org/officeDocument/2006/relationships/hyperlink" Target="https://www.sec.gov/Archives/edgar/data/1760337/000153949718002084/n1449_424b2-x13.htm" TargetMode="External" Id="rId79"/><Relationship Type="http://schemas.openxmlformats.org/officeDocument/2006/relationships/hyperlink" Target="https://www.sec.gov/Archives/edgar/data/1727836/000153949718000293/n1167_424b2-x16.htm" TargetMode="External" Id="rId80"/><Relationship Type="http://schemas.openxmlformats.org/officeDocument/2006/relationships/hyperlink" Target="https://www.sec.gov/Archives/edgar/data/1727836/000153949718000293/n1167_424b2-x16.htm" TargetMode="External" Id="rId81"/><Relationship Type="http://schemas.openxmlformats.org/officeDocument/2006/relationships/hyperlink" Target="https://www.sec.gov/Archives/edgar/data/1727836/000153949718000293/n1167_424b2-x16.htm" TargetMode="External" Id="rId82"/><Relationship Type="http://schemas.openxmlformats.org/officeDocument/2006/relationships/hyperlink" Target="https://www.sec.gov/Archives/edgar/data/1727836/000153949718000293/n1167_424b2-x16.htm" TargetMode="External" Id="rId83"/><Relationship Type="http://schemas.openxmlformats.org/officeDocument/2006/relationships/hyperlink" Target="https://www.sec.gov/Archives/edgar/data/1729832/000153949718000523/n1195_424b2-x18.htm" TargetMode="External" Id="rId84"/><Relationship Type="http://schemas.openxmlformats.org/officeDocument/2006/relationships/hyperlink" Target="https://www.sec.gov/Archives/edgar/data/1729832/000153949718000523/n1195_424b2-x18.htm" TargetMode="External" Id="rId85"/><Relationship Type="http://schemas.openxmlformats.org/officeDocument/2006/relationships/hyperlink" Target="https://www.sec.gov/Archives/edgar/data/1729832/000153949718000523/n1195_424b2-x18.htm" TargetMode="External" Id="rId86"/><Relationship Type="http://schemas.openxmlformats.org/officeDocument/2006/relationships/hyperlink" Target="https://www.sec.gov/Archives/edgar/data/1753233/000153949718001697/n1382_x16-424b2.htm" TargetMode="External" Id="rId87"/><Relationship Type="http://schemas.openxmlformats.org/officeDocument/2006/relationships/hyperlink" Target="https://www.sec.gov/Archives/edgar/data/1753233/000153949718001697/n1382_x16-424b2.htm" TargetMode="External" Id="rId88"/><Relationship Type="http://schemas.openxmlformats.org/officeDocument/2006/relationships/hyperlink" Target="https://www.sec.gov/Archives/edgar/data/1753233/000153949718001697/n1382_x16-424b2.htm" TargetMode="External" Id="rId89"/><Relationship Type="http://schemas.openxmlformats.org/officeDocument/2006/relationships/hyperlink" Target="https://www.sec.gov/Archives/edgar/data/1753233/000153949718001697/n1382_x16-424b2.htm" TargetMode="External" Id="rId90"/><Relationship Type="http://schemas.openxmlformats.org/officeDocument/2006/relationships/hyperlink" Target="https://www.sec.gov/Archives/edgar/data/1753233/000153949718001697/n1382_x16-424b2.htm" TargetMode="External" Id="rId91"/><Relationship Type="http://schemas.openxmlformats.org/officeDocument/2006/relationships/hyperlink" Target="https://www.sec.gov/Archives/edgar/data/1772527/000153949719000926/n1608-x11_424b2.htm" TargetMode="External" Id="rId92"/><Relationship Type="http://schemas.openxmlformats.org/officeDocument/2006/relationships/hyperlink" Target="https://www.sec.gov/Archives/edgar/data/1772527/000153949719000926/n1608-x11_424b2.htm" TargetMode="External" Id="rId93"/><Relationship Type="http://schemas.openxmlformats.org/officeDocument/2006/relationships/hyperlink" Target="https://www.sec.gov/Archives/edgar/data/1772527/000153949719000926/n1608-x11_424b2.htm" TargetMode="External" Id="rId94"/><Relationship Type="http://schemas.openxmlformats.org/officeDocument/2006/relationships/hyperlink" Target="https://www.sec.gov/Archives/edgar/data/1772527/000153949719000926/n1608-x11_424b2.htm" TargetMode="External" Id="rId95"/><Relationship Type="http://schemas.openxmlformats.org/officeDocument/2006/relationships/hyperlink" Target="https://www.sec.gov/Archives/edgar/data/1772527/000153949719000926/n1608-x11_424b2.htm" TargetMode="External" Id="rId96"/><Relationship Type="http://schemas.openxmlformats.org/officeDocument/2006/relationships/hyperlink" Target="https://www.sec.gov/Archives/edgar/data/1763207/000153949719000339/n1496_424b2-x20.htm" TargetMode="External" Id="rId97"/><Relationship Type="http://schemas.openxmlformats.org/officeDocument/2006/relationships/hyperlink" Target="https://www.sec.gov/Archives/edgar/data/1763207/000153949719000339/n1496_424b2-x20.htm" TargetMode="External" Id="rId98"/><Relationship Type="http://schemas.openxmlformats.org/officeDocument/2006/relationships/hyperlink" Target="https://www.sec.gov/Archives/edgar/data/1763207/000153949719000339/n1496_424b2-x20.htm" TargetMode="External" Id="rId99"/><Relationship Type="http://schemas.openxmlformats.org/officeDocument/2006/relationships/hyperlink" Target="https://www.sec.gov/Archives/edgar/data/1763207/000153949719000339/n1496_424b2-x20.htm" TargetMode="External" Id="rId100"/><Relationship Type="http://schemas.openxmlformats.org/officeDocument/2006/relationships/hyperlink" Target="https://www.sec.gov/Archives/edgar/data/1763207/000153949719000339/n1496_424b2-x20.htm" TargetMode="External" Id="rId101"/><Relationship Type="http://schemas.openxmlformats.org/officeDocument/2006/relationships/hyperlink" Target="https://www.sec.gov/Archives/edgar/data/1773339/000153949719001017/n1601-x15_424b2.htm" TargetMode="External" Id="rId102"/><Relationship Type="http://schemas.openxmlformats.org/officeDocument/2006/relationships/hyperlink" Target="https://www.sec.gov/Archives/edgar/data/1773339/000153949719001017/n1601-x15_424b2.htm" TargetMode="External" Id="rId103"/><Relationship Type="http://schemas.openxmlformats.org/officeDocument/2006/relationships/hyperlink" Target="https://www.sec.gov/Archives/edgar/data/1773339/000153949719001017/n1601-x15_424b2.htm" TargetMode="External" Id="rId104"/><Relationship Type="http://schemas.openxmlformats.org/officeDocument/2006/relationships/hyperlink" Target="https://www.sec.gov/Archives/edgar/data/1773339/000153949719001017/n1601-x15_424b2.htm" TargetMode="External" Id="rId105"/><Relationship Type="http://schemas.openxmlformats.org/officeDocument/2006/relationships/hyperlink" Target="https://www.sec.gov/Archives/edgar/data/1773339/000153949719001017/n1601-x15_424b2.htm" TargetMode="External" Id="rId106"/><Relationship Type="http://schemas.openxmlformats.org/officeDocument/2006/relationships/hyperlink" Target="https://www.sec.gov/Archives/edgar/data/1773339/000153949719001017/n1601-x15_424b2.htm" TargetMode="External" Id="rId107"/><Relationship Type="http://schemas.openxmlformats.org/officeDocument/2006/relationships/hyperlink" Target="https://www.sec.gov/Archives/edgar/data/1769322/000153949719000601/n1550-x18_424b2.htm" TargetMode="External" Id="rId108"/><Relationship Type="http://schemas.openxmlformats.org/officeDocument/2006/relationships/hyperlink" Target="https://www.sec.gov/Archives/edgar/data/1769322/000153949719000601/n1550-x18_424b2.htm" TargetMode="External" Id="rId109"/><Relationship Type="http://schemas.openxmlformats.org/officeDocument/2006/relationships/hyperlink" Target="https://www.sec.gov/Archives/edgar/data/1769322/000153949719000601/n1550-x18_424b2.htm" TargetMode="External" Id="rId110"/><Relationship Type="http://schemas.openxmlformats.org/officeDocument/2006/relationships/hyperlink" Target="https://www.sec.gov/Archives/edgar/data/1769322/000153949719000601/n1550-x18_424b2.htm" TargetMode="External" Id="rId111"/><Relationship Type="http://schemas.openxmlformats.org/officeDocument/2006/relationships/hyperlink" Target="https://www.sec.gov/Archives/edgar/data/1769322/000153949719000601/n1550-x18_424b2.htm" TargetMode="External" Id="rId112"/><Relationship Type="http://schemas.openxmlformats.org/officeDocument/2006/relationships/hyperlink" Target="https://www.sec.gov/Archives/edgar/data/1769322/000153949719000601/n1550-x18_424b2.htm" TargetMode="External" Id="rId113"/><Relationship Type="http://schemas.openxmlformats.org/officeDocument/2006/relationships/hyperlink" Target="https://www.sec.gov/Archives/edgar/data/1763001/000153949719000379/n1501_424b2-x15.htm" TargetMode="External" Id="rId114"/><Relationship Type="http://schemas.openxmlformats.org/officeDocument/2006/relationships/hyperlink" Target="https://www.sec.gov/Archives/edgar/data/1763001/000153949719000379/n1501_424b2-x15.htm" TargetMode="External" Id="rId115"/><Relationship Type="http://schemas.openxmlformats.org/officeDocument/2006/relationships/hyperlink" Target="https://www.sec.gov/Archives/edgar/data/1763001/000153949719000379/n1501_424b2-x15.htm" TargetMode="External" Id="rId116"/><Relationship Type="http://schemas.openxmlformats.org/officeDocument/2006/relationships/hyperlink" Target="https://www.sec.gov/Archives/edgar/data/1763001/000153949719000379/n1501_424b2-x15.htm" TargetMode="External" Id="rId117"/><Relationship Type="http://schemas.openxmlformats.org/officeDocument/2006/relationships/hyperlink" Target="https://www.sec.gov/Archives/edgar/data/1763001/000153949719000379/n1501_424b2-x15.htm" TargetMode="External" Id="rId118"/><Relationship Type="http://schemas.openxmlformats.org/officeDocument/2006/relationships/hyperlink" Target="https://www.sec.gov/Archives/edgar/data/1763001/000153949719000379/n1501_424b2-x15.htm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  <col width="15" customWidth="1" min="4" max="4"/>
    <col width="20" customWidth="1" min="5" max="5"/>
    <col width="24" customWidth="1" min="6" max="6"/>
    <col width="30" customWidth="1" min="7" max="7"/>
    <col width="15" customWidth="1" min="8" max="8"/>
    <col width="10" customWidth="1" min="9" max="9"/>
    <col width="14" customWidth="1" min="10" max="10"/>
    <col width="11" customWidth="1" min="11" max="11"/>
    <col width="22" customWidth="1" min="12" max="12"/>
  </cols>
  <sheetData>
    <row r="2">
      <c r="B2" s="1" t="inlineStr">
        <is>
          <t>CONDUIT CMBS B-PIECE ORIGINAL BALANCES</t>
        </is>
      </c>
    </row>
    <row r="3">
      <c r="B3" s="2" t="inlineStr">
        <is>
          <t>Source: Final prospectus (Form 424B2) for each transaction on SEC EDGAR; B-piece defined as the eligible horizontal residual interest (HRR) classes purchased by the third party purchaser at closing.</t>
        </is>
      </c>
    </row>
    <row r="5" ht="28" customHeight="1">
      <c r="B5" s="3" t="inlineStr">
        <is>
          <t>Deal</t>
        </is>
      </c>
      <c r="C5" s="3" t="inlineStr">
        <is>
          <t>Prospectus Date</t>
        </is>
      </c>
      <c r="D5" s="3" t="inlineStr">
        <is>
          <t>Pool Balance ($)</t>
        </is>
      </c>
      <c r="E5" s="3" t="inlineStr">
        <is>
          <t>Retention Structure</t>
        </is>
      </c>
      <c r="F5" s="3" t="inlineStr">
        <is>
          <t>B-Piece Buyer</t>
        </is>
      </c>
      <c r="G5" s="3" t="inlineStr">
        <is>
          <t>B-Piece Classes</t>
        </is>
      </c>
      <c r="H5" s="3" t="inlineStr">
        <is>
          <t>Original B-Piece Balance ($)</t>
        </is>
      </c>
      <c r="I5" s="3" t="inlineStr">
        <is>
          <t>B-Piece % of Pool</t>
        </is>
      </c>
      <c r="J5" s="3" t="inlineStr">
        <is>
          <t>Purchase Price ($)</t>
        </is>
      </c>
      <c r="K5" s="3" t="inlineStr">
        <is>
          <t>Purchase Price (% of Par)</t>
        </is>
      </c>
      <c r="L5" s="3" t="inlineStr">
        <is>
          <t>Prospectus Link</t>
        </is>
      </c>
    </row>
    <row r="6">
      <c r="B6" s="4" t="inlineStr">
        <is>
          <t>CD 2017-CD3</t>
        </is>
      </c>
      <c r="C6" s="5" t="inlineStr">
        <is>
          <t>2017-02-14</t>
        </is>
      </c>
      <c r="D6" s="6" t="n">
        <v>1327484158</v>
      </c>
      <c r="E6" s="7" t="inlineStr">
        <is>
          <t>L-Shaped (VRR + HRR)</t>
        </is>
      </c>
      <c r="F6" s="8" t="inlineStr">
        <is>
          <t>KKR Real Estate Credit Opportunity Partners</t>
        </is>
      </c>
      <c r="G6" s="7" t="inlineStr">
        <is>
          <t>E, F, G</t>
        </is>
      </c>
      <c r="H6" s="9">
        <f>SUMIFS('Class Detail'!$D$5:$D$123,'Class Detail'!$B$5:$B$123,B6)</f>
        <v/>
      </c>
      <c r="I6" s="10">
        <f>IFERROR(H6/D6,0)</f>
        <v/>
      </c>
      <c r="J6" s="6" t="n">
        <v>43347451</v>
      </c>
      <c r="K6" s="10">
        <f>IFERROR(J6/H6,0)</f>
        <v/>
      </c>
      <c r="L6" s="11" t="inlineStr">
        <is>
          <t>Final prospectus (424B2)</t>
        </is>
      </c>
    </row>
    <row r="7">
      <c r="B7" s="12" t="inlineStr">
        <is>
          <t>CCUBS 2017-C1</t>
        </is>
      </c>
      <c r="C7" s="13" t="inlineStr">
        <is>
          <t>2017-11-30</t>
        </is>
      </c>
      <c r="D7" s="14" t="n">
        <v>696746122</v>
      </c>
      <c r="E7" s="15" t="inlineStr">
        <is>
          <t>Horizontal</t>
        </is>
      </c>
      <c r="F7" s="16" t="inlineStr">
        <is>
          <t>KKR Real Estate Credit Opportunity Partners</t>
        </is>
      </c>
      <c r="G7" s="15" t="inlineStr">
        <is>
          <t>D-RR, E-RR, F-RR, G-RR, NR-RR</t>
        </is>
      </c>
      <c r="H7" s="17">
        <f>SUMIFS('Class Detail'!$D$5:$D$123,'Class Detail'!$B$5:$B$123,B7)</f>
        <v/>
      </c>
      <c r="I7" s="18">
        <f>IFERROR(H7/D7,0)</f>
        <v/>
      </c>
      <c r="J7" s="14" t="n">
        <v>35569494</v>
      </c>
      <c r="K7" s="18">
        <f>IFERROR(J7/H7,0)</f>
        <v/>
      </c>
      <c r="L7" s="19" t="inlineStr">
        <is>
          <t>Final prospectus (424B2)</t>
        </is>
      </c>
    </row>
    <row r="8">
      <c r="B8" s="4" t="inlineStr">
        <is>
          <t>CGCMT 2017-C4</t>
        </is>
      </c>
      <c r="C8" s="5" t="inlineStr">
        <is>
          <t>2017-10-31</t>
        </is>
      </c>
      <c r="D8" s="6" t="n">
        <v>977059894</v>
      </c>
      <c r="E8" s="7" t="inlineStr">
        <is>
          <t>Horizontal</t>
        </is>
      </c>
      <c r="F8" s="8" t="inlineStr">
        <is>
          <t>KKR Real Estate Credit Opportunity Partners</t>
        </is>
      </c>
      <c r="G8" s="7" t="inlineStr">
        <is>
          <t>E-RR, F-RR, G-RR, H-RR, J-RR</t>
        </is>
      </c>
      <c r="H8" s="9">
        <f>SUMIFS('Class Detail'!$D$5:$D$123,'Class Detail'!$B$5:$B$123,B8)</f>
        <v/>
      </c>
      <c r="I8" s="10">
        <f>IFERROR(H8/D8,0)</f>
        <v/>
      </c>
      <c r="J8" s="6" t="n">
        <v>50142415</v>
      </c>
      <c r="K8" s="10">
        <f>IFERROR(J8/H8,0)</f>
        <v/>
      </c>
      <c r="L8" s="11" t="inlineStr">
        <is>
          <t>Final prospectus (424B2)</t>
        </is>
      </c>
    </row>
    <row r="9">
      <c r="B9" s="12" t="inlineStr">
        <is>
          <t>DBJPM 2017-C6</t>
        </is>
      </c>
      <c r="C9" s="13" t="inlineStr">
        <is>
          <t>2017-06-29</t>
        </is>
      </c>
      <c r="D9" s="14" t="n">
        <v>1132400405</v>
      </c>
      <c r="E9" s="15" t="inlineStr">
        <is>
          <t>L-Shaped (VRR + HRR)</t>
        </is>
      </c>
      <c r="F9" s="16" t="inlineStr">
        <is>
          <t>KKR Real Estate Credit Opportunity Partners</t>
        </is>
      </c>
      <c r="G9" s="15" t="inlineStr">
        <is>
          <t>E-RR, F-RR, G-RR</t>
        </is>
      </c>
      <c r="H9" s="17">
        <f>SUMIFS('Class Detail'!$D$5:$D$123,'Class Detail'!$B$5:$B$123,B9)</f>
        <v/>
      </c>
      <c r="I9" s="18">
        <f>IFERROR(H9/D9,0)</f>
        <v/>
      </c>
      <c r="J9" s="14" t="n">
        <v>28683816</v>
      </c>
      <c r="K9" s="18">
        <f>IFERROR(J9/H9,0)</f>
        <v/>
      </c>
      <c r="L9" s="19" t="inlineStr">
        <is>
          <t>Final prospectus (424B2)</t>
        </is>
      </c>
    </row>
    <row r="10">
      <c r="B10" s="4" t="inlineStr">
        <is>
          <t>GSMS 2017-GS6</t>
        </is>
      </c>
      <c r="C10" s="5" t="inlineStr">
        <is>
          <t>2017-05-31</t>
        </is>
      </c>
      <c r="D10" s="6" t="n">
        <v>959131421</v>
      </c>
      <c r="E10" s="7" t="inlineStr">
        <is>
          <t>L-Shaped (VRR + HRR)</t>
        </is>
      </c>
      <c r="F10" s="8" t="inlineStr">
        <is>
          <t>KKR Real Estate Credit Opportunity Partners</t>
        </is>
      </c>
      <c r="G10" s="7" t="inlineStr">
        <is>
          <t>E, F, G</t>
        </is>
      </c>
      <c r="H10" s="9">
        <f>SUMIFS('Class Detail'!$D$5:$D$123,'Class Detail'!$B$5:$B$123,B10)</f>
        <v/>
      </c>
      <c r="I10" s="10">
        <f>IFERROR(H10/D10,0)</f>
        <v/>
      </c>
      <c r="J10" s="6" t="n">
        <v>25197303</v>
      </c>
      <c r="K10" s="10">
        <f>IFERROR(J10/H10,0)</f>
        <v/>
      </c>
      <c r="L10" s="11" t="inlineStr">
        <is>
          <t>Final prospectus (424B2)</t>
        </is>
      </c>
    </row>
    <row r="11">
      <c r="B11" s="12" t="inlineStr">
        <is>
          <t>GSMS 2017-GS8</t>
        </is>
      </c>
      <c r="C11" s="13" t="inlineStr">
        <is>
          <t>2017-11-30</t>
        </is>
      </c>
      <c r="D11" s="14" t="n">
        <v>1020392386</v>
      </c>
      <c r="E11" s="15" t="inlineStr">
        <is>
          <t>Horizontal</t>
        </is>
      </c>
      <c r="F11" s="16" t="inlineStr">
        <is>
          <t>KKR Real Estate Credit Opportunity Partners</t>
        </is>
      </c>
      <c r="G11" s="15" t="inlineStr">
        <is>
          <t>E-RR, F-RR, G-RR, H-RR</t>
        </is>
      </c>
      <c r="H11" s="17">
        <f>SUMIFS('Class Detail'!$D$5:$D$123,'Class Detail'!$B$5:$B$123,B11)</f>
        <v/>
      </c>
      <c r="I11" s="18">
        <f>IFERROR(H11/D11,0)</f>
        <v/>
      </c>
      <c r="J11" s="14" t="n">
        <v>52373515</v>
      </c>
      <c r="K11" s="18">
        <f>IFERROR(J11/H11,0)</f>
        <v/>
      </c>
      <c r="L11" s="19" t="inlineStr">
        <is>
          <t>Final prospectus (424B2)</t>
        </is>
      </c>
    </row>
    <row r="12">
      <c r="B12" s="4" t="inlineStr">
        <is>
          <t>JPMDB 2017-C7</t>
        </is>
      </c>
      <c r="C12" s="5" t="inlineStr">
        <is>
          <t>2017-10-31</t>
        </is>
      </c>
      <c r="D12" s="6" t="n">
        <v>1105333296</v>
      </c>
      <c r="E12" s="7" t="inlineStr">
        <is>
          <t>L-Shaped (VRR + HRR)</t>
        </is>
      </c>
      <c r="F12" s="8" t="inlineStr">
        <is>
          <t>KKR Real Estate Credit Opportunity Partners</t>
        </is>
      </c>
      <c r="G12" s="7" t="inlineStr">
        <is>
          <t>E-RR, F-RR, G-RR</t>
        </is>
      </c>
      <c r="H12" s="9">
        <f>SUMIFS('Class Detail'!$D$5:$D$123,'Class Detail'!$B$5:$B$123,B12)</f>
        <v/>
      </c>
      <c r="I12" s="10">
        <f>IFERROR(H12/D12,0)</f>
        <v/>
      </c>
      <c r="J12" s="6" t="n">
        <v>26162797</v>
      </c>
      <c r="K12" s="10">
        <f>IFERROR(J12/H12,0)</f>
        <v/>
      </c>
      <c r="L12" s="11" t="inlineStr">
        <is>
          <t>Final prospectus (424B2)</t>
        </is>
      </c>
    </row>
    <row r="13">
      <c r="B13" s="12" t="inlineStr">
        <is>
          <t>LCCM 2017-LC26</t>
        </is>
      </c>
      <c r="C13" s="20" t="inlineStr">
        <is>
          <t>n/a</t>
        </is>
      </c>
      <c r="D13" s="21" t="n"/>
      <c r="E13" s="22" t="inlineStr">
        <is>
          <t>Vertical (Ladder, ~2%) + Horizontal (~3% FV)</t>
        </is>
      </c>
      <c r="F13" s="12" t="inlineStr">
        <is>
          <t>Third party purchaser (not disclosed)</t>
        </is>
      </c>
      <c r="G13" s="22" t="inlineStr">
        <is>
          <t>Not public: Rule 144A deal</t>
        </is>
      </c>
      <c r="H13" s="21" t="n"/>
      <c r="I13" s="18" t="n"/>
      <c r="J13" s="21" t="n"/>
      <c r="K13" s="18" t="n"/>
      <c r="L13" s="19" t="inlineStr">
        <is>
          <t>Ladder 8-K (Aug 2017)</t>
        </is>
      </c>
    </row>
    <row r="14">
      <c r="B14" s="4" t="inlineStr">
        <is>
          <t>MSBAM 2017-C33</t>
        </is>
      </c>
      <c r="C14" s="5" t="inlineStr">
        <is>
          <t>2017-05-12</t>
        </is>
      </c>
      <c r="D14" s="6" t="n">
        <v>702573982</v>
      </c>
      <c r="E14" s="7" t="inlineStr">
        <is>
          <t>L-Shaped (VRR + HRR)</t>
        </is>
      </c>
      <c r="F14" s="8" t="inlineStr">
        <is>
          <t>KKR Real Estate Credit Opportunity Partners</t>
        </is>
      </c>
      <c r="G14" s="7" t="inlineStr">
        <is>
          <t>E, F, G</t>
        </is>
      </c>
      <c r="H14" s="9">
        <f>SUMIFS('Class Detail'!$D$5:$D$123,'Class Detail'!$B$5:$B$123,B14)</f>
        <v/>
      </c>
      <c r="I14" s="10">
        <f>IFERROR(H14/D14,0)</f>
        <v/>
      </c>
      <c r="J14" s="6" t="n">
        <v>19989258</v>
      </c>
      <c r="K14" s="10">
        <f>IFERROR(J14/H14,0)</f>
        <v/>
      </c>
      <c r="L14" s="11" t="inlineStr">
        <is>
          <t>Final prospectus (424B2)</t>
        </is>
      </c>
    </row>
    <row r="15">
      <c r="B15" s="12" t="inlineStr">
        <is>
          <t>UBSCM 2017-C2</t>
        </is>
      </c>
      <c r="C15" s="13" t="inlineStr">
        <is>
          <t>2017-08-17</t>
        </is>
      </c>
      <c r="D15" s="14" t="n">
        <v>898681592</v>
      </c>
      <c r="E15" s="15" t="inlineStr">
        <is>
          <t>Horizontal</t>
        </is>
      </c>
      <c r="F15" s="16" t="inlineStr">
        <is>
          <t>KKR Real Estate Credit Opportunity Partners</t>
        </is>
      </c>
      <c r="G15" s="15" t="inlineStr">
        <is>
          <t>D-RR, E-RR, F-RR, G-RR, H-RR, NR-RR</t>
        </is>
      </c>
      <c r="H15" s="17">
        <f>SUMIFS('Class Detail'!$D$5:$D$123,'Class Detail'!$B$5:$B$123,B15)</f>
        <v/>
      </c>
      <c r="I15" s="18">
        <f>IFERROR(H15/D15,0)</f>
        <v/>
      </c>
      <c r="J15" s="14" t="n">
        <v>46811027</v>
      </c>
      <c r="K15" s="18">
        <f>IFERROR(J15/H15,0)</f>
        <v/>
      </c>
      <c r="L15" s="19" t="inlineStr">
        <is>
          <t>Final prospectus (424B2)</t>
        </is>
      </c>
    </row>
    <row r="16">
      <c r="B16" s="4" t="inlineStr">
        <is>
          <t>UBSCM 2017-C3</t>
        </is>
      </c>
      <c r="C16" s="5" t="inlineStr">
        <is>
          <t>2017-08-31</t>
        </is>
      </c>
      <c r="D16" s="6" t="n">
        <v>708626196</v>
      </c>
      <c r="E16" s="7" t="inlineStr">
        <is>
          <t>Horizontal</t>
        </is>
      </c>
      <c r="F16" s="8" t="inlineStr">
        <is>
          <t>KKR Real Estate Credit Opportunity Partners</t>
        </is>
      </c>
      <c r="G16" s="7" t="inlineStr">
        <is>
          <t>D-RR, E-RR, F-RR, G-RR, NR-RR</t>
        </is>
      </c>
      <c r="H16" s="9">
        <f>SUMIFS('Class Detail'!$D$5:$D$123,'Class Detail'!$B$5:$B$123,B16)</f>
        <v/>
      </c>
      <c r="I16" s="10">
        <f>IFERROR(H16/D16,0)</f>
        <v/>
      </c>
      <c r="J16" s="6" t="n">
        <v>38157487</v>
      </c>
      <c r="K16" s="10">
        <f>IFERROR(J16/H16,0)</f>
        <v/>
      </c>
      <c r="L16" s="11" t="inlineStr">
        <is>
          <t>Final prospectus (424B2)</t>
        </is>
      </c>
    </row>
    <row r="17">
      <c r="B17" s="12" t="inlineStr">
        <is>
          <t>UBSCM 2017-C5</t>
        </is>
      </c>
      <c r="C17" s="13" t="inlineStr">
        <is>
          <t>2017-11-16</t>
        </is>
      </c>
      <c r="D17" s="14" t="n">
        <v>743403651</v>
      </c>
      <c r="E17" s="15" t="inlineStr">
        <is>
          <t>Horizontal</t>
        </is>
      </c>
      <c r="F17" s="16" t="inlineStr">
        <is>
          <t>KKR Real Estate Credit Opportunity Partners</t>
        </is>
      </c>
      <c r="G17" s="15" t="inlineStr">
        <is>
          <t>D-RR, E-RR, F-RR, G-RR, NR-RR</t>
        </is>
      </c>
      <c r="H17" s="17">
        <f>SUMIFS('Class Detail'!$D$5:$D$123,'Class Detail'!$B$5:$B$123,B17)</f>
        <v/>
      </c>
      <c r="I17" s="18">
        <f>IFERROR(H17/D17,0)</f>
        <v/>
      </c>
      <c r="J17" s="14" t="n">
        <v>38300901</v>
      </c>
      <c r="K17" s="18">
        <f>IFERROR(J17/H17,0)</f>
        <v/>
      </c>
      <c r="L17" s="19" t="inlineStr">
        <is>
          <t>Final prospectus (424B2)</t>
        </is>
      </c>
    </row>
    <row r="18">
      <c r="B18" s="4" t="inlineStr">
        <is>
          <t>BMARK 2018-B3</t>
        </is>
      </c>
      <c r="C18" s="5" t="inlineStr">
        <is>
          <t>2018-04-10</t>
        </is>
      </c>
      <c r="D18" s="6" t="n">
        <v>1092537712</v>
      </c>
      <c r="E18" s="7" t="inlineStr">
        <is>
          <t>Horizontal</t>
        </is>
      </c>
      <c r="F18" s="8" t="inlineStr">
        <is>
          <t>KKR Real Estate Credit Opportunity Partners</t>
        </is>
      </c>
      <c r="G18" s="7" t="inlineStr">
        <is>
          <t>E-RR, F-RR, G-RR, H-RR, NR-RR</t>
        </is>
      </c>
      <c r="H18" s="9">
        <f>SUMIFS('Class Detail'!$D$5:$D$123,'Class Detail'!$B$5:$B$123,B18)</f>
        <v/>
      </c>
      <c r="I18" s="10">
        <f>IFERROR(H18/D18,0)</f>
        <v/>
      </c>
      <c r="J18" s="6" t="n">
        <v>55125852</v>
      </c>
      <c r="K18" s="10">
        <f>IFERROR(J18/H18,0)</f>
        <v/>
      </c>
      <c r="L18" s="11" t="inlineStr">
        <is>
          <t>Final prospectus (424B2)</t>
        </is>
      </c>
    </row>
    <row r="19">
      <c r="B19" s="12" t="inlineStr">
        <is>
          <t>BMARK 2018-B6</t>
        </is>
      </c>
      <c r="C19" s="13" t="inlineStr">
        <is>
          <t>2018-10-09</t>
        </is>
      </c>
      <c r="D19" s="14" t="n">
        <v>1147029582</v>
      </c>
      <c r="E19" s="15" t="inlineStr">
        <is>
          <t>L-Shaped (VRR + HRR)</t>
        </is>
      </c>
      <c r="F19" s="16" t="inlineStr">
        <is>
          <t>KKR Real Estate Credit Opportunity Partners</t>
        </is>
      </c>
      <c r="G19" s="15" t="inlineStr">
        <is>
          <t>F-RR, G-RR, J-RR, NR-RR</t>
        </is>
      </c>
      <c r="H19" s="17">
        <f>SUMIFS('Class Detail'!$D$5:$D$123,'Class Detail'!$B$5:$B$123,B19)</f>
        <v/>
      </c>
      <c r="I19" s="18">
        <f>IFERROR(H19/D19,0)</f>
        <v/>
      </c>
      <c r="J19" s="14" t="n">
        <v>28797132</v>
      </c>
      <c r="K19" s="18">
        <f>IFERROR(J19/H19,0)</f>
        <v/>
      </c>
      <c r="L19" s="19" t="inlineStr">
        <is>
          <t>Final prospectus (424B2)</t>
        </is>
      </c>
    </row>
    <row r="20">
      <c r="B20" s="4" t="inlineStr">
        <is>
          <t>CGCMT 2018-C6</t>
        </is>
      </c>
      <c r="C20" s="5" t="inlineStr">
        <is>
          <t>2018-12-11</t>
        </is>
      </c>
      <c r="D20" s="6" t="n">
        <v>736399174</v>
      </c>
      <c r="E20" s="7" t="inlineStr">
        <is>
          <t>Horizontal</t>
        </is>
      </c>
      <c r="F20" s="8" t="inlineStr">
        <is>
          <t>KKR Real Estate Credit Opportunity Partners</t>
        </is>
      </c>
      <c r="G20" s="7" t="inlineStr">
        <is>
          <t>E-RR, F-RR, G-RR, J-RR, K-RR, NR-RR</t>
        </is>
      </c>
      <c r="H20" s="9">
        <f>SUMIFS('Class Detail'!$D$5:$D$123,'Class Detail'!$B$5:$B$123,B20)</f>
        <v/>
      </c>
      <c r="I20" s="10">
        <f>IFERROR(H20/D20,0)</f>
        <v/>
      </c>
      <c r="J20" s="6" t="n">
        <v>38590822</v>
      </c>
      <c r="K20" s="10">
        <f>IFERROR(J20/H20,0)</f>
        <v/>
      </c>
      <c r="L20" s="11" t="inlineStr">
        <is>
          <t>Final prospectus (424B2)</t>
        </is>
      </c>
    </row>
    <row r="21">
      <c r="B21" s="12" t="inlineStr">
        <is>
          <t>MSC 2018-L1</t>
        </is>
      </c>
      <c r="C21" s="13" t="inlineStr">
        <is>
          <t>2018-10-23</t>
        </is>
      </c>
      <c r="D21" s="14" t="n">
        <v>900598709</v>
      </c>
      <c r="E21" s="15" t="inlineStr">
        <is>
          <t>L-Shaped (VRR + HRR)</t>
        </is>
      </c>
      <c r="F21" s="16" t="inlineStr">
        <is>
          <t>KKR Real Estate Credit Opportunity Partners</t>
        </is>
      </c>
      <c r="G21" s="15" t="inlineStr">
        <is>
          <t>F-RR, G-RR, H-RR, J-RR</t>
        </is>
      </c>
      <c r="H21" s="17">
        <f>SUMIFS('Class Detail'!$D$5:$D$123,'Class Detail'!$B$5:$B$123,B21)</f>
        <v/>
      </c>
      <c r="I21" s="18">
        <f>IFERROR(H21/D21,0)</f>
        <v/>
      </c>
      <c r="J21" s="14" t="n">
        <v>24782457</v>
      </c>
      <c r="K21" s="18">
        <f>IFERROR(J21/H21,0)</f>
        <v/>
      </c>
      <c r="L21" s="19" t="inlineStr">
        <is>
          <t>Final prospectus (424B2)</t>
        </is>
      </c>
    </row>
    <row r="22">
      <c r="B22" s="4" t="inlineStr">
        <is>
          <t>UBSCM 2018-C12</t>
        </is>
      </c>
      <c r="C22" s="5" t="inlineStr">
        <is>
          <t>2018-08-28</t>
        </is>
      </c>
      <c r="D22" s="6" t="n">
        <v>804938824</v>
      </c>
      <c r="E22" s="7" t="inlineStr">
        <is>
          <t>Horizontal</t>
        </is>
      </c>
      <c r="F22" s="8" t="inlineStr">
        <is>
          <t>KKR Real Estate Credit Opportunity Partners</t>
        </is>
      </c>
      <c r="G22" s="7" t="inlineStr">
        <is>
          <t>D-RR, E-RR, F-RR, G-RR, NR-RR</t>
        </is>
      </c>
      <c r="H22" s="9">
        <f>SUMIFS('Class Detail'!$D$5:$D$123,'Class Detail'!$B$5:$B$123,B22)</f>
        <v/>
      </c>
      <c r="I22" s="10">
        <f>IFERROR(H22/D22,0)</f>
        <v/>
      </c>
      <c r="J22" s="6" t="n">
        <v>41157452</v>
      </c>
      <c r="K22" s="10">
        <f>IFERROR(J22/H22,0)</f>
        <v/>
      </c>
      <c r="L22" s="11" t="inlineStr">
        <is>
          <t>Final prospectus (424B2)</t>
        </is>
      </c>
    </row>
    <row r="23">
      <c r="B23" s="12" t="inlineStr">
        <is>
          <t>UBSCM 2018-C13</t>
        </is>
      </c>
      <c r="C23" s="13" t="inlineStr">
        <is>
          <t>2018-10-11</t>
        </is>
      </c>
      <c r="D23" s="14" t="n">
        <v>714880368</v>
      </c>
      <c r="E23" s="15" t="inlineStr">
        <is>
          <t>Horizontal</t>
        </is>
      </c>
      <c r="F23" s="16" t="inlineStr">
        <is>
          <t>KKR Real Estate Credit Opportunity Partners</t>
        </is>
      </c>
      <c r="G23" s="15" t="inlineStr">
        <is>
          <t>D-RR, E-RR, F-RR, G-RR, NR-RR</t>
        </is>
      </c>
      <c r="H23" s="17">
        <f>SUMIFS('Class Detail'!$D$5:$D$123,'Class Detail'!$B$5:$B$123,B23)</f>
        <v/>
      </c>
      <c r="I23" s="18">
        <f>IFERROR(H23/D23,0)</f>
        <v/>
      </c>
      <c r="J23" s="14" t="n">
        <v>36689696</v>
      </c>
      <c r="K23" s="18">
        <f>IFERROR(J23/H23,0)</f>
        <v/>
      </c>
      <c r="L23" s="19" t="inlineStr">
        <is>
          <t>Final prospectus (424B2)</t>
        </is>
      </c>
    </row>
    <row r="24">
      <c r="B24" s="4" t="inlineStr">
        <is>
          <t>UBSCM 2018-C15</t>
        </is>
      </c>
      <c r="C24" s="5" t="inlineStr">
        <is>
          <t>2018-12-28</t>
        </is>
      </c>
      <c r="D24" s="6" t="n">
        <v>646477345</v>
      </c>
      <c r="E24" s="7" t="inlineStr">
        <is>
          <t>Horizontal</t>
        </is>
      </c>
      <c r="F24" s="8" t="inlineStr">
        <is>
          <t>KKR Real Estate Credit Opportunity Partners</t>
        </is>
      </c>
      <c r="G24" s="7" t="inlineStr">
        <is>
          <t>D-RR, E-RR, F-RR, G-RR, NR-RR</t>
        </is>
      </c>
      <c r="H24" s="9">
        <f>SUMIFS('Class Detail'!$D$5:$D$123,'Class Detail'!$B$5:$B$123,B24)</f>
        <v/>
      </c>
      <c r="I24" s="10">
        <f>IFERROR(H24/D24,0)</f>
        <v/>
      </c>
      <c r="J24" s="6" t="n">
        <v>33161211</v>
      </c>
      <c r="K24" s="10">
        <f>IFERROR(J24/H24,0)</f>
        <v/>
      </c>
      <c r="L24" s="11" t="inlineStr">
        <is>
          <t>Final prospectus (424B2)</t>
        </is>
      </c>
    </row>
    <row r="25">
      <c r="B25" s="12" t="inlineStr">
        <is>
          <t>UBSCM 2018-C8</t>
        </is>
      </c>
      <c r="C25" s="13" t="inlineStr">
        <is>
          <t>2018-02-27</t>
        </is>
      </c>
      <c r="D25" s="14" t="n">
        <v>1045167892</v>
      </c>
      <c r="E25" s="15" t="inlineStr">
        <is>
          <t>Horizontal</t>
        </is>
      </c>
      <c r="F25" s="16" t="inlineStr">
        <is>
          <t>KKR Real Estate Credit Opportunity Partners</t>
        </is>
      </c>
      <c r="G25" s="15" t="inlineStr">
        <is>
          <t>D-RR, E-RR, F-RR, NR-RR</t>
        </is>
      </c>
      <c r="H25" s="17">
        <f>SUMIFS('Class Detail'!$D$5:$D$123,'Class Detail'!$B$5:$B$123,B25)</f>
        <v/>
      </c>
      <c r="I25" s="18">
        <f>IFERROR(H25/D25,0)</f>
        <v/>
      </c>
      <c r="J25" s="14" t="n">
        <v>53204082</v>
      </c>
      <c r="K25" s="18">
        <f>IFERROR(J25/H25,0)</f>
        <v/>
      </c>
      <c r="L25" s="19" t="inlineStr">
        <is>
          <t>Final prospectus (424B2)</t>
        </is>
      </c>
    </row>
    <row r="26">
      <c r="B26" s="4" t="inlineStr">
        <is>
          <t>WFCM 2018-C43</t>
        </is>
      </c>
      <c r="C26" s="5" t="inlineStr">
        <is>
          <t>2018-03-28</t>
        </is>
      </c>
      <c r="D26" s="6" t="n">
        <v>722448985</v>
      </c>
      <c r="E26" s="7" t="inlineStr">
        <is>
          <t>L-Shaped (VRR + HRR)</t>
        </is>
      </c>
      <c r="F26" s="8" t="inlineStr">
        <is>
          <t>KKR Real Estate Credit Opportunity Partners</t>
        </is>
      </c>
      <c r="G26" s="7" t="inlineStr">
        <is>
          <t>E, F, G</t>
        </is>
      </c>
      <c r="H26" s="9">
        <f>SUMIFS('Class Detail'!$D$5:$D$123,'Class Detail'!$B$5:$B$123,B26)</f>
        <v/>
      </c>
      <c r="I26" s="10">
        <f>IFERROR(H26/D26,0)</f>
        <v/>
      </c>
      <c r="J26" s="6" t="n">
        <v>20066514</v>
      </c>
      <c r="K26" s="10">
        <f>IFERROR(J26/H26,0)</f>
        <v/>
      </c>
      <c r="L26" s="11" t="inlineStr">
        <is>
          <t>Final prospectus (424B2)</t>
        </is>
      </c>
    </row>
    <row r="27">
      <c r="B27" s="12" t="inlineStr">
        <is>
          <t>WFCM 2018-C47</t>
        </is>
      </c>
      <c r="C27" s="13" t="inlineStr">
        <is>
          <t>2018-10-25</t>
        </is>
      </c>
      <c r="D27" s="14" t="n">
        <v>951555654</v>
      </c>
      <c r="E27" s="15" t="inlineStr">
        <is>
          <t>Horizontal</t>
        </is>
      </c>
      <c r="F27" s="16" t="inlineStr">
        <is>
          <t>KKR Real Estate Credit Opportunity Partners</t>
        </is>
      </c>
      <c r="G27" s="15" t="inlineStr">
        <is>
          <t>E-RR, F-RR, G-RR, H-RR, J-RR</t>
        </is>
      </c>
      <c r="H27" s="17">
        <f>SUMIFS('Class Detail'!$D$5:$D$123,'Class Detail'!$B$5:$B$123,B27)</f>
        <v/>
      </c>
      <c r="I27" s="18">
        <f>IFERROR(H27/D27,0)</f>
        <v/>
      </c>
      <c r="J27" s="14" t="n">
        <v>48654543</v>
      </c>
      <c r="K27" s="18">
        <f>IFERROR(J27/H27,0)</f>
        <v/>
      </c>
      <c r="L27" s="19" t="inlineStr">
        <is>
          <t>Final prospectus (424B2)</t>
        </is>
      </c>
    </row>
    <row r="28">
      <c r="B28" s="4" t="inlineStr">
        <is>
          <t>BBCMS 2019-C3</t>
        </is>
      </c>
      <c r="C28" s="5" t="inlineStr">
        <is>
          <t>2019-06-11</t>
        </is>
      </c>
      <c r="D28" s="6" t="n">
        <v>936649542</v>
      </c>
      <c r="E28" s="7" t="inlineStr">
        <is>
          <t>Horizontal</t>
        </is>
      </c>
      <c r="F28" s="8" t="inlineStr">
        <is>
          <t>KKR Real Estate Credit Opportunity Partners</t>
        </is>
      </c>
      <c r="G28" s="7" t="inlineStr">
        <is>
          <t>E-RR, F-RR, G-RR, H-RR, J-RR</t>
        </is>
      </c>
      <c r="H28" s="9">
        <f>SUMIFS('Class Detail'!$D$5:$D$123,'Class Detail'!$B$5:$B$123,B28)</f>
        <v/>
      </c>
      <c r="I28" s="10">
        <f>IFERROR(H28/D28,0)</f>
        <v/>
      </c>
      <c r="J28" s="6" t="n">
        <v>49580194</v>
      </c>
      <c r="K28" s="10">
        <f>IFERROR(J28/H28,0)</f>
        <v/>
      </c>
      <c r="L28" s="11" t="inlineStr">
        <is>
          <t>Final prospectus (424B2)</t>
        </is>
      </c>
    </row>
    <row r="29">
      <c r="B29" s="12" t="inlineStr">
        <is>
          <t>GSMS 2019-GC38</t>
        </is>
      </c>
      <c r="C29" s="13" t="inlineStr">
        <is>
          <t>2019-02-27</t>
        </is>
      </c>
      <c r="D29" s="14" t="n">
        <v>756444365</v>
      </c>
      <c r="E29" s="15" t="inlineStr">
        <is>
          <t>Horizontal</t>
        </is>
      </c>
      <c r="F29" s="16" t="inlineStr">
        <is>
          <t>KKR Real Estate Credit Opportunity Partners</t>
        </is>
      </c>
      <c r="G29" s="15" t="inlineStr">
        <is>
          <t>E-RR, F-RR, G-RR, H-RR, I-RR</t>
        </is>
      </c>
      <c r="H29" s="17">
        <f>SUMIFS('Class Detail'!$D$5:$D$123,'Class Detail'!$B$5:$B$123,B29)</f>
        <v/>
      </c>
      <c r="I29" s="18">
        <f>IFERROR(H29/D29,0)</f>
        <v/>
      </c>
      <c r="J29" s="14" t="n">
        <v>39335516</v>
      </c>
      <c r="K29" s="18">
        <f>IFERROR(J29/H29,0)</f>
        <v/>
      </c>
      <c r="L29" s="19" t="inlineStr">
        <is>
          <t>Final prospectus (424B2)</t>
        </is>
      </c>
    </row>
    <row r="30">
      <c r="B30" s="4" t="inlineStr">
        <is>
          <t>MSC 2019-H6</t>
        </is>
      </c>
      <c r="C30" s="5" t="inlineStr">
        <is>
          <t>2019-06-19</t>
        </is>
      </c>
      <c r="D30" s="6" t="n">
        <v>686832759</v>
      </c>
      <c r="E30" s="7" t="inlineStr">
        <is>
          <t>Horizontal</t>
        </is>
      </c>
      <c r="F30" s="8" t="inlineStr">
        <is>
          <t>KKR Real Estate Credit Opportunity Partners</t>
        </is>
      </c>
      <c r="G30" s="7" t="inlineStr">
        <is>
          <t>E-RR, F-RR, G-RR, H-RR, J-RR, K-RR</t>
        </is>
      </c>
      <c r="H30" s="9">
        <f>SUMIFS('Class Detail'!$D$5:$D$123,'Class Detail'!$B$5:$B$123,B30)</f>
        <v/>
      </c>
      <c r="I30" s="10">
        <f>IFERROR(H30/D30,0)</f>
        <v/>
      </c>
      <c r="J30" s="6" t="n">
        <v>36246073</v>
      </c>
      <c r="K30" s="10">
        <f>IFERROR(J30/H30,0)</f>
        <v/>
      </c>
      <c r="L30" s="11" t="inlineStr">
        <is>
          <t>Final prospectus (424B2)</t>
        </is>
      </c>
    </row>
    <row r="31">
      <c r="B31" s="12" t="inlineStr">
        <is>
          <t>UBSCM 2019-C16</t>
        </is>
      </c>
      <c r="C31" s="13" t="inlineStr">
        <is>
          <t>2019-04-16</t>
        </is>
      </c>
      <c r="D31" s="14" t="n">
        <v>682672051</v>
      </c>
      <c r="E31" s="15" t="inlineStr">
        <is>
          <t>Horizontal</t>
        </is>
      </c>
      <c r="F31" s="16" t="inlineStr">
        <is>
          <t>KKR Real Estate Credit Opportunity Partners</t>
        </is>
      </c>
      <c r="G31" s="15" t="inlineStr">
        <is>
          <t>D-RR, E-RR, F-RR, G-RR, H-RR, NR-RR</t>
        </is>
      </c>
      <c r="H31" s="17">
        <f>SUMIFS('Class Detail'!$D$5:$D$123,'Class Detail'!$B$5:$B$123,B31)</f>
        <v/>
      </c>
      <c r="I31" s="18">
        <f>IFERROR(H31/D31,0)</f>
        <v/>
      </c>
      <c r="J31" s="14" t="n">
        <v>36638887</v>
      </c>
      <c r="K31" s="18">
        <f>IFERROR(J31/H31,0)</f>
        <v/>
      </c>
      <c r="L31" s="19" t="inlineStr">
        <is>
          <t>Final prospectus (424B2)</t>
        </is>
      </c>
    </row>
    <row r="32">
      <c r="B32" s="4" t="inlineStr">
        <is>
          <t>WFCM 2019-C49</t>
        </is>
      </c>
      <c r="C32" s="5" t="inlineStr">
        <is>
          <t>2019-03-05</t>
        </is>
      </c>
      <c r="D32" s="6" t="n">
        <v>774228768</v>
      </c>
      <c r="E32" s="7" t="inlineStr">
        <is>
          <t>Horizontal</t>
        </is>
      </c>
      <c r="F32" s="8" t="inlineStr">
        <is>
          <t>KKR Real Estate Credit Opportunity Partners</t>
        </is>
      </c>
      <c r="G32" s="7" t="inlineStr">
        <is>
          <t>E-RR, F-RR, G-RR, H-RR, J-RR, K-RR</t>
        </is>
      </c>
      <c r="H32" s="9">
        <f>SUMIFS('Class Detail'!$D$5:$D$123,'Class Detail'!$B$5:$B$123,B32)</f>
        <v/>
      </c>
      <c r="I32" s="10">
        <f>IFERROR(H32/D32,0)</f>
        <v/>
      </c>
      <c r="J32" s="6" t="n">
        <v>40530203</v>
      </c>
      <c r="K32" s="10">
        <f>IFERROR(J32/H32,0)</f>
        <v/>
      </c>
      <c r="L32" s="11" t="inlineStr">
        <is>
          <t>Final prospectus (424B2)</t>
        </is>
      </c>
    </row>
    <row r="33">
      <c r="B33" s="23" t="inlineStr">
        <is>
          <t>Total / Wtd. Avg.</t>
        </is>
      </c>
      <c r="C33" s="24" t="n"/>
      <c r="D33" s="25">
        <f>SUM(D6:D32)</f>
        <v/>
      </c>
      <c r="E33" s="24" t="n"/>
      <c r="F33" s="24" t="n"/>
      <c r="G33" s="24" t="n"/>
      <c r="H33" s="25">
        <f>SUM(H6:H32)</f>
        <v/>
      </c>
      <c r="I33" s="26">
        <f>IFERROR(SUMIFS(H6:H32,D6:D32,"&gt;0")/D33,0)</f>
        <v/>
      </c>
      <c r="J33" s="25">
        <f>SUM(J6:J32)</f>
        <v/>
      </c>
      <c r="K33" s="26">
        <f>IFERROR(J33/H33,0)</f>
        <v/>
      </c>
      <c r="L33" s="24" t="n"/>
    </row>
    <row r="35">
      <c r="B35" s="27" t="inlineStr">
        <is>
          <t>Notes:</t>
        </is>
      </c>
    </row>
    <row r="36">
      <c r="B36" s="2" t="inlineStr">
        <is>
          <t>Original balances are the initial certificate balances of the HRR classes as stated in each final prospectus; class level detail is on the Class Detail tab.</t>
        </is>
      </c>
    </row>
    <row r="37">
      <c r="B37" s="2" t="inlineStr">
        <is>
          <t>In L-shaped deals, the sponsors also retained a vertical (VRR) interest, so the HRR is sized to roughly 2.5% of fair value rather than 5.0%, and HRR balances exclude the VRR interest.</t>
        </is>
      </c>
    </row>
    <row r="38">
      <c r="B38" s="2" t="inlineStr">
        <is>
          <t>Purchase price is the aggregate HRR purchase price or fair value at closing disclosed in the prospectus, excluding accrued interest.</t>
        </is>
      </c>
    </row>
    <row r="39">
      <c r="B39" s="2" t="inlineStr">
        <is>
          <t>LCCM 2017-LC26 was a Rule 144A transaction not filed on EDGAR; Ladder's 8-K discloses a $625.7M trust with a ~2% retained vertical interest and a ~3% (fair value) horizontal interest sold to a third party purchaser, but no class balances.</t>
        </is>
      </c>
    </row>
    <row r="40">
      <c r="B40" s="2" t="inlineStr">
        <is>
          <t>Excludes any non HRR classes (e.g., excess interest or Class S/V/Z certificates) the B-piece buyer may also have received.</t>
        </is>
      </c>
    </row>
  </sheetData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9" customWidth="1" min="3" max="3"/>
    <col width="18" customWidth="1" min="4" max="4"/>
    <col width="24" customWidth="1" min="5" max="5"/>
  </cols>
  <sheetData>
    <row r="2">
      <c r="B2" s="1" t="inlineStr">
        <is>
          <t>ORIGINAL B-PIECE (HRR) CLASS BALANCES BY DEAL</t>
        </is>
      </c>
    </row>
    <row r="4">
      <c r="B4" s="3" t="inlineStr">
        <is>
          <t>Deal</t>
        </is>
      </c>
      <c r="C4" s="3" t="inlineStr">
        <is>
          <t>Class</t>
        </is>
      </c>
      <c r="D4" s="3" t="inlineStr">
        <is>
          <t>Original Balance ($)</t>
        </is>
      </c>
      <c r="E4" s="3" t="inlineStr">
        <is>
          <t>Source</t>
        </is>
      </c>
    </row>
    <row r="5">
      <c r="B5" s="28" t="inlineStr">
        <is>
          <t>CD 2017-CD3</t>
        </is>
      </c>
      <c r="C5" s="29" t="inlineStr">
        <is>
          <t>E</t>
        </is>
      </c>
      <c r="D5" s="30" t="n">
        <v>35812000</v>
      </c>
      <c r="E5" s="31" t="inlineStr">
        <is>
          <t>Final prospectus (424B2)</t>
        </is>
      </c>
    </row>
    <row r="6">
      <c r="B6" s="28" t="inlineStr">
        <is>
          <t>CD 2017-CD3</t>
        </is>
      </c>
      <c r="C6" s="29" t="inlineStr">
        <is>
          <t>F</t>
        </is>
      </c>
      <c r="D6" s="30" t="n">
        <v>14651000</v>
      </c>
      <c r="E6" s="31" t="inlineStr">
        <is>
          <t>Final prospectus (424B2)</t>
        </is>
      </c>
    </row>
    <row r="7">
      <c r="B7" s="28" t="inlineStr">
        <is>
          <t>CD 2017-CD3</t>
        </is>
      </c>
      <c r="C7" s="29" t="inlineStr">
        <is>
          <t>G</t>
        </is>
      </c>
      <c r="D7" s="30" t="n">
        <v>60229959</v>
      </c>
      <c r="E7" s="31" t="inlineStr">
        <is>
          <t>Final prospectus (424B2)</t>
        </is>
      </c>
    </row>
    <row r="8">
      <c r="B8" s="32" t="inlineStr">
        <is>
          <t>CCUBS 2017-C1</t>
        </is>
      </c>
      <c r="C8" s="33" t="inlineStr">
        <is>
          <t>D-RR</t>
        </is>
      </c>
      <c r="D8" s="34" t="n">
        <v>21007000</v>
      </c>
      <c r="E8" s="35" t="inlineStr">
        <is>
          <t>Final prospectus (424B2)</t>
        </is>
      </c>
    </row>
    <row r="9">
      <c r="B9" s="32" t="inlineStr">
        <is>
          <t>CCUBS 2017-C1</t>
        </is>
      </c>
      <c r="C9" s="33" t="inlineStr">
        <is>
          <t>E-RR</t>
        </is>
      </c>
      <c r="D9" s="34" t="n">
        <v>8709000</v>
      </c>
      <c r="E9" s="35" t="inlineStr">
        <is>
          <t>Final prospectus (424B2)</t>
        </is>
      </c>
    </row>
    <row r="10">
      <c r="B10" s="32" t="inlineStr">
        <is>
          <t>CCUBS 2017-C1</t>
        </is>
      </c>
      <c r="C10" s="33" t="inlineStr">
        <is>
          <t>F-RR</t>
        </is>
      </c>
      <c r="D10" s="34" t="n">
        <v>7838000</v>
      </c>
      <c r="E10" s="35" t="inlineStr">
        <is>
          <t>Final prospectus (424B2)</t>
        </is>
      </c>
    </row>
    <row r="11">
      <c r="B11" s="32" t="inlineStr">
        <is>
          <t>CCUBS 2017-C1</t>
        </is>
      </c>
      <c r="C11" s="33" t="inlineStr">
        <is>
          <t>G-RR</t>
        </is>
      </c>
      <c r="D11" s="34" t="n">
        <v>8710000</v>
      </c>
      <c r="E11" s="35" t="inlineStr">
        <is>
          <t>Final prospectus (424B2)</t>
        </is>
      </c>
    </row>
    <row r="12">
      <c r="B12" s="32" t="inlineStr">
        <is>
          <t>CCUBS 2017-C1</t>
        </is>
      </c>
      <c r="C12" s="33" t="inlineStr">
        <is>
          <t>NR-RR</t>
        </is>
      </c>
      <c r="D12" s="34" t="n">
        <v>26128121</v>
      </c>
      <c r="E12" s="35" t="inlineStr">
        <is>
          <t>Final prospectus (424B2)</t>
        </is>
      </c>
    </row>
    <row r="13">
      <c r="B13" s="28" t="inlineStr">
        <is>
          <t>CGCMT 2017-C4</t>
        </is>
      </c>
      <c r="C13" s="29" t="inlineStr">
        <is>
          <t>E-RR</t>
        </is>
      </c>
      <c r="D13" s="30" t="n">
        <v>21984000</v>
      </c>
      <c r="E13" s="31" t="inlineStr">
        <is>
          <t>Final prospectus (424B2)</t>
        </is>
      </c>
    </row>
    <row r="14">
      <c r="B14" s="28" t="inlineStr">
        <is>
          <t>CGCMT 2017-C4</t>
        </is>
      </c>
      <c r="C14" s="29" t="inlineStr">
        <is>
          <t>F-RR</t>
        </is>
      </c>
      <c r="D14" s="30" t="n">
        <v>12214000</v>
      </c>
      <c r="E14" s="31" t="inlineStr">
        <is>
          <t>Final prospectus (424B2)</t>
        </is>
      </c>
    </row>
    <row r="15">
      <c r="B15" s="28" t="inlineStr">
        <is>
          <t>CGCMT 2017-C4</t>
        </is>
      </c>
      <c r="C15" s="29" t="inlineStr">
        <is>
          <t>G-RR</t>
        </is>
      </c>
      <c r="D15" s="30" t="n">
        <v>12213000</v>
      </c>
      <c r="E15" s="31" t="inlineStr">
        <is>
          <t>Final prospectus (424B2)</t>
        </is>
      </c>
    </row>
    <row r="16">
      <c r="B16" s="28" t="inlineStr">
        <is>
          <t>CGCMT 2017-C4</t>
        </is>
      </c>
      <c r="C16" s="29" t="inlineStr">
        <is>
          <t>H-RR</t>
        </is>
      </c>
      <c r="D16" s="30" t="n">
        <v>9770000</v>
      </c>
      <c r="E16" s="31" t="inlineStr">
        <is>
          <t>Final prospectus (424B2)</t>
        </is>
      </c>
    </row>
    <row r="17">
      <c r="B17" s="28" t="inlineStr">
        <is>
          <t>CGCMT 2017-C4</t>
        </is>
      </c>
      <c r="C17" s="29" t="inlineStr">
        <is>
          <t>J-RR</t>
        </is>
      </c>
      <c r="D17" s="30" t="n">
        <v>48853893</v>
      </c>
      <c r="E17" s="31" t="inlineStr">
        <is>
          <t>Final prospectus (424B2)</t>
        </is>
      </c>
    </row>
    <row r="18">
      <c r="B18" s="32" t="inlineStr">
        <is>
          <t>DBJPM 2017-C6</t>
        </is>
      </c>
      <c r="C18" s="33" t="inlineStr">
        <is>
          <t>E-RR</t>
        </is>
      </c>
      <c r="D18" s="34" t="n">
        <v>26168000</v>
      </c>
      <c r="E18" s="35" t="inlineStr">
        <is>
          <t>Final prospectus (424B2)</t>
        </is>
      </c>
    </row>
    <row r="19">
      <c r="B19" s="32" t="inlineStr">
        <is>
          <t>DBJPM 2017-C6</t>
        </is>
      </c>
      <c r="C19" s="33" t="inlineStr">
        <is>
          <t>F-RR</t>
        </is>
      </c>
      <c r="D19" s="34" t="n">
        <v>11018000</v>
      </c>
      <c r="E19" s="35" t="inlineStr">
        <is>
          <t>Final prospectus (424B2)</t>
        </is>
      </c>
    </row>
    <row r="20">
      <c r="B20" s="32" t="inlineStr">
        <is>
          <t>DBJPM 2017-C6</t>
        </is>
      </c>
      <c r="C20" s="33" t="inlineStr">
        <is>
          <t>G-RR</t>
        </is>
      </c>
      <c r="D20" s="34" t="n">
        <v>37187594</v>
      </c>
      <c r="E20" s="35" t="inlineStr">
        <is>
          <t>Final prospectus (424B2)</t>
        </is>
      </c>
    </row>
    <row r="21">
      <c r="B21" s="28" t="inlineStr">
        <is>
          <t>GSMS 2017-GS6</t>
        </is>
      </c>
      <c r="C21" s="29" t="inlineStr">
        <is>
          <t>E</t>
        </is>
      </c>
      <c r="D21" s="30" t="n">
        <v>17530000</v>
      </c>
      <c r="E21" s="31" t="inlineStr">
        <is>
          <t>Final prospectus (424B2)</t>
        </is>
      </c>
    </row>
    <row r="22">
      <c r="B22" s="28" t="inlineStr">
        <is>
          <t>GSMS 2017-GS6</t>
        </is>
      </c>
      <c r="C22" s="29" t="inlineStr">
        <is>
          <t>F</t>
        </is>
      </c>
      <c r="D22" s="30" t="n">
        <v>10518000</v>
      </c>
      <c r="E22" s="31" t="inlineStr">
        <is>
          <t>Final prospectus (424B2)</t>
        </is>
      </c>
    </row>
    <row r="23">
      <c r="B23" s="28" t="inlineStr">
        <is>
          <t>GSMS 2017-GS6</t>
        </is>
      </c>
      <c r="C23" s="29" t="inlineStr">
        <is>
          <t>G</t>
        </is>
      </c>
      <c r="D23" s="30" t="n">
        <v>33893308</v>
      </c>
      <c r="E23" s="31" t="inlineStr">
        <is>
          <t>Final prospectus (424B2)</t>
        </is>
      </c>
    </row>
    <row r="24">
      <c r="B24" s="32" t="inlineStr">
        <is>
          <t>GSMS 2017-GS8</t>
        </is>
      </c>
      <c r="C24" s="33" t="inlineStr">
        <is>
          <t>E-RR</t>
        </is>
      </c>
      <c r="D24" s="34" t="n">
        <v>27142000</v>
      </c>
      <c r="E24" s="35" t="inlineStr">
        <is>
          <t>Final prospectus (424B2)</t>
        </is>
      </c>
    </row>
    <row r="25">
      <c r="B25" s="32" t="inlineStr">
        <is>
          <t>GSMS 2017-GS8</t>
        </is>
      </c>
      <c r="C25" s="33" t="inlineStr">
        <is>
          <t>F-RR</t>
        </is>
      </c>
      <c r="D25" s="34" t="n">
        <v>26786000</v>
      </c>
      <c r="E25" s="35" t="inlineStr">
        <is>
          <t>Final prospectus (424B2)</t>
        </is>
      </c>
    </row>
    <row r="26">
      <c r="B26" s="32" t="inlineStr">
        <is>
          <t>GSMS 2017-GS8</t>
        </is>
      </c>
      <c r="C26" s="33" t="inlineStr">
        <is>
          <t>G-RR</t>
        </is>
      </c>
      <c r="D26" s="34" t="n">
        <v>10204000</v>
      </c>
      <c r="E26" s="35" t="inlineStr">
        <is>
          <t>Final prospectus (424B2)</t>
        </is>
      </c>
    </row>
    <row r="27">
      <c r="B27" s="32" t="inlineStr">
        <is>
          <t>GSMS 2017-GS8</t>
        </is>
      </c>
      <c r="C27" s="33" t="inlineStr">
        <is>
          <t>H-RR</t>
        </is>
      </c>
      <c r="D27" s="34" t="n">
        <v>42091386</v>
      </c>
      <c r="E27" s="35" t="inlineStr">
        <is>
          <t>Final prospectus (424B2)</t>
        </is>
      </c>
    </row>
    <row r="28">
      <c r="B28" s="28" t="inlineStr">
        <is>
          <t>JPMDB 2017-C7</t>
        </is>
      </c>
      <c r="C28" s="29" t="inlineStr">
        <is>
          <t>E-RR</t>
        </is>
      </c>
      <c r="D28" s="30" t="n">
        <v>21499000</v>
      </c>
      <c r="E28" s="31" t="inlineStr">
        <is>
          <t>Final prospectus (424B2)</t>
        </is>
      </c>
    </row>
    <row r="29">
      <c r="B29" s="28" t="inlineStr">
        <is>
          <t>JPMDB 2017-C7</t>
        </is>
      </c>
      <c r="C29" s="29" t="inlineStr">
        <is>
          <t>F-RR</t>
        </is>
      </c>
      <c r="D29" s="30" t="n">
        <v>12093000</v>
      </c>
      <c r="E29" s="31" t="inlineStr">
        <is>
          <t>Final prospectus (424B2)</t>
        </is>
      </c>
    </row>
    <row r="30">
      <c r="B30" s="28" t="inlineStr">
        <is>
          <t>JPMDB 2017-C7</t>
        </is>
      </c>
      <c r="C30" s="29" t="inlineStr">
        <is>
          <t>G-RR</t>
        </is>
      </c>
      <c r="D30" s="30" t="n">
        <v>36279296</v>
      </c>
      <c r="E30" s="31" t="inlineStr">
        <is>
          <t>Final prospectus (424B2)</t>
        </is>
      </c>
    </row>
    <row r="31">
      <c r="B31" s="32" t="inlineStr">
        <is>
          <t>MSBAM 2017-C33</t>
        </is>
      </c>
      <c r="C31" s="33" t="inlineStr">
        <is>
          <t>E</t>
        </is>
      </c>
      <c r="D31" s="34" t="n">
        <v>14564000</v>
      </c>
      <c r="E31" s="35" t="inlineStr">
        <is>
          <t>Final prospectus (424B2)</t>
        </is>
      </c>
    </row>
    <row r="32">
      <c r="B32" s="32" t="inlineStr">
        <is>
          <t>MSBAM 2017-C33</t>
        </is>
      </c>
      <c r="C32" s="33" t="inlineStr">
        <is>
          <t>F</t>
        </is>
      </c>
      <c r="D32" s="34" t="n">
        <v>6854000</v>
      </c>
      <c r="E32" s="35" t="inlineStr">
        <is>
          <t>Final prospectus (424B2)</t>
        </is>
      </c>
    </row>
    <row r="33">
      <c r="B33" s="32" t="inlineStr">
        <is>
          <t>MSBAM 2017-C33</t>
        </is>
      </c>
      <c r="C33" s="33" t="inlineStr">
        <is>
          <t>G</t>
        </is>
      </c>
      <c r="D33" s="34" t="n">
        <v>26557919</v>
      </c>
      <c r="E33" s="35" t="inlineStr">
        <is>
          <t>Final prospectus (424B2)</t>
        </is>
      </c>
    </row>
    <row r="34">
      <c r="B34" s="28" t="inlineStr">
        <is>
          <t>UBSCM 2017-C2</t>
        </is>
      </c>
      <c r="C34" s="29" t="inlineStr">
        <is>
          <t>D-RR</t>
        </is>
      </c>
      <c r="D34" s="30" t="n">
        <v>14514000</v>
      </c>
      <c r="E34" s="31" t="inlineStr">
        <is>
          <t>Final prospectus (424B2)</t>
        </is>
      </c>
    </row>
    <row r="35">
      <c r="B35" s="28" t="inlineStr">
        <is>
          <t>UBSCM 2017-C2</t>
        </is>
      </c>
      <c r="C35" s="29" t="inlineStr">
        <is>
          <t>E-RR</t>
        </is>
      </c>
      <c r="D35" s="30" t="n">
        <v>8987000</v>
      </c>
      <c r="E35" s="31" t="inlineStr">
        <is>
          <t>Final prospectus (424B2)</t>
        </is>
      </c>
    </row>
    <row r="36">
      <c r="B36" s="28" t="inlineStr">
        <is>
          <t>UBSCM 2017-C2</t>
        </is>
      </c>
      <c r="C36" s="29" t="inlineStr">
        <is>
          <t>F-RR</t>
        </is>
      </c>
      <c r="D36" s="30" t="n">
        <v>16850000</v>
      </c>
      <c r="E36" s="31" t="inlineStr">
        <is>
          <t>Final prospectus (424B2)</t>
        </is>
      </c>
    </row>
    <row r="37">
      <c r="B37" s="28" t="inlineStr">
        <is>
          <t>UBSCM 2017-C2</t>
        </is>
      </c>
      <c r="C37" s="29" t="inlineStr">
        <is>
          <t>G-RR</t>
        </is>
      </c>
      <c r="D37" s="30" t="n">
        <v>16850000</v>
      </c>
      <c r="E37" s="31" t="inlineStr">
        <is>
          <t>Final prospectus (424B2)</t>
        </is>
      </c>
    </row>
    <row r="38">
      <c r="B38" s="28" t="inlineStr">
        <is>
          <t>UBSCM 2017-C2</t>
        </is>
      </c>
      <c r="C38" s="29" t="inlineStr">
        <is>
          <t>H-RR</t>
        </is>
      </c>
      <c r="D38" s="30" t="n">
        <v>8987000</v>
      </c>
      <c r="E38" s="31" t="inlineStr">
        <is>
          <t>Final prospectus (424B2)</t>
        </is>
      </c>
    </row>
    <row r="39">
      <c r="B39" s="28" t="inlineStr">
        <is>
          <t>UBSCM 2017-C2</t>
        </is>
      </c>
      <c r="C39" s="29" t="inlineStr">
        <is>
          <t>NR-RR</t>
        </is>
      </c>
      <c r="D39" s="30" t="n">
        <v>28084591</v>
      </c>
      <c r="E39" s="31" t="inlineStr">
        <is>
          <t>Final prospectus (424B2)</t>
        </is>
      </c>
    </row>
    <row r="40">
      <c r="B40" s="32" t="inlineStr">
        <is>
          <t>UBSCM 2017-C3</t>
        </is>
      </c>
      <c r="C40" s="33" t="inlineStr">
        <is>
          <t>D-RR</t>
        </is>
      </c>
      <c r="D40" s="34" t="n">
        <v>17715000</v>
      </c>
      <c r="E40" s="35" t="inlineStr">
        <is>
          <t>Final prospectus (424B2)</t>
        </is>
      </c>
    </row>
    <row r="41">
      <c r="B41" s="32" t="inlineStr">
        <is>
          <t>UBSCM 2017-C3</t>
        </is>
      </c>
      <c r="C41" s="33" t="inlineStr">
        <is>
          <t>E-RR</t>
        </is>
      </c>
      <c r="D41" s="34" t="n">
        <v>13287000</v>
      </c>
      <c r="E41" s="35" t="inlineStr">
        <is>
          <t>Final prospectus (424B2)</t>
        </is>
      </c>
    </row>
    <row r="42">
      <c r="B42" s="32" t="inlineStr">
        <is>
          <t>UBSCM 2017-C3</t>
        </is>
      </c>
      <c r="C42" s="33" t="inlineStr">
        <is>
          <t>F-RR</t>
        </is>
      </c>
      <c r="D42" s="34" t="n">
        <v>10629000</v>
      </c>
      <c r="E42" s="35" t="inlineStr">
        <is>
          <t>Final prospectus (424B2)</t>
        </is>
      </c>
    </row>
    <row r="43">
      <c r="B43" s="32" t="inlineStr">
        <is>
          <t>UBSCM 2017-C3</t>
        </is>
      </c>
      <c r="C43" s="33" t="inlineStr">
        <is>
          <t>G-RR</t>
        </is>
      </c>
      <c r="D43" s="34" t="n">
        <v>10630000</v>
      </c>
      <c r="E43" s="35" t="inlineStr">
        <is>
          <t>Final prospectus (424B2)</t>
        </is>
      </c>
    </row>
    <row r="44">
      <c r="B44" s="32" t="inlineStr">
        <is>
          <t>UBSCM 2017-C3</t>
        </is>
      </c>
      <c r="C44" s="33" t="inlineStr">
        <is>
          <t>NR-RR</t>
        </is>
      </c>
      <c r="D44" s="34" t="n">
        <v>24802195</v>
      </c>
      <c r="E44" s="35" t="inlineStr">
        <is>
          <t>Final prospectus (424B2)</t>
        </is>
      </c>
    </row>
    <row r="45">
      <c r="B45" s="28" t="inlineStr">
        <is>
          <t>UBSCM 2017-C5</t>
        </is>
      </c>
      <c r="C45" s="29" t="inlineStr">
        <is>
          <t>D-RR</t>
        </is>
      </c>
      <c r="D45" s="30" t="n">
        <v>15203000</v>
      </c>
      <c r="E45" s="31" t="inlineStr">
        <is>
          <t>Final prospectus (424B2)</t>
        </is>
      </c>
    </row>
    <row r="46">
      <c r="B46" s="28" t="inlineStr">
        <is>
          <t>UBSCM 2017-C5</t>
        </is>
      </c>
      <c r="C46" s="29" t="inlineStr">
        <is>
          <t>E-RR</t>
        </is>
      </c>
      <c r="D46" s="30" t="n">
        <v>14868000</v>
      </c>
      <c r="E46" s="31" t="inlineStr">
        <is>
          <t>Final prospectus (424B2)</t>
        </is>
      </c>
    </row>
    <row r="47">
      <c r="B47" s="28" t="inlineStr">
        <is>
          <t>UBSCM 2017-C5</t>
        </is>
      </c>
      <c r="C47" s="29" t="inlineStr">
        <is>
          <t>F-RR</t>
        </is>
      </c>
      <c r="D47" s="30" t="n">
        <v>15797000</v>
      </c>
      <c r="E47" s="31" t="inlineStr">
        <is>
          <t>Final prospectus (424B2)</t>
        </is>
      </c>
    </row>
    <row r="48">
      <c r="B48" s="28" t="inlineStr">
        <is>
          <t>UBSCM 2017-C5</t>
        </is>
      </c>
      <c r="C48" s="29" t="inlineStr">
        <is>
          <t>G-RR</t>
        </is>
      </c>
      <c r="D48" s="30" t="n">
        <v>7434000</v>
      </c>
      <c r="E48" s="31" t="inlineStr">
        <is>
          <t>Final prospectus (424B2)</t>
        </is>
      </c>
    </row>
    <row r="49">
      <c r="B49" s="28" t="inlineStr">
        <is>
          <t>UBSCM 2017-C5</t>
        </is>
      </c>
      <c r="C49" s="29" t="inlineStr">
        <is>
          <t>NR-RR</t>
        </is>
      </c>
      <c r="D49" s="30" t="n">
        <v>25090651</v>
      </c>
      <c r="E49" s="31" t="inlineStr">
        <is>
          <t>Final prospectus (424B2)</t>
        </is>
      </c>
    </row>
    <row r="50">
      <c r="B50" s="32" t="inlineStr">
        <is>
          <t>BMARK 2018-B3</t>
        </is>
      </c>
      <c r="C50" s="33" t="inlineStr">
        <is>
          <t>E-RR</t>
        </is>
      </c>
      <c r="D50" s="34" t="n">
        <v>21924000</v>
      </c>
      <c r="E50" s="35" t="inlineStr">
        <is>
          <t>Final prospectus (424B2)</t>
        </is>
      </c>
    </row>
    <row r="51">
      <c r="B51" s="32" t="inlineStr">
        <is>
          <t>BMARK 2018-B3</t>
        </is>
      </c>
      <c r="C51" s="33" t="inlineStr">
        <is>
          <t>F-RR</t>
        </is>
      </c>
      <c r="D51" s="34" t="n">
        <v>12291000</v>
      </c>
      <c r="E51" s="35" t="inlineStr">
        <is>
          <t>Final prospectus (424B2)</t>
        </is>
      </c>
    </row>
    <row r="52">
      <c r="B52" s="32" t="inlineStr">
        <is>
          <t>BMARK 2018-B3</t>
        </is>
      </c>
      <c r="C52" s="33" t="inlineStr">
        <is>
          <t>G-RR</t>
        </is>
      </c>
      <c r="D52" s="34" t="n">
        <v>12291000</v>
      </c>
      <c r="E52" s="35" t="inlineStr">
        <is>
          <t>Final prospectus (424B2)</t>
        </is>
      </c>
    </row>
    <row r="53">
      <c r="B53" s="32" t="inlineStr">
        <is>
          <t>BMARK 2018-B3</t>
        </is>
      </c>
      <c r="C53" s="33" t="inlineStr">
        <is>
          <t>H-RR</t>
        </is>
      </c>
      <c r="D53" s="34" t="n">
        <v>15022000</v>
      </c>
      <c r="E53" s="35" t="inlineStr">
        <is>
          <t>Final prospectus (424B2)</t>
        </is>
      </c>
    </row>
    <row r="54">
      <c r="B54" s="32" t="inlineStr">
        <is>
          <t>BMARK 2018-B3</t>
        </is>
      </c>
      <c r="C54" s="33" t="inlineStr">
        <is>
          <t>NR-RR</t>
        </is>
      </c>
      <c r="D54" s="34" t="n">
        <v>45067711</v>
      </c>
      <c r="E54" s="35" t="inlineStr">
        <is>
          <t>Final prospectus (424B2)</t>
        </is>
      </c>
    </row>
    <row r="55">
      <c r="B55" s="28" t="inlineStr">
        <is>
          <t>BMARK 2018-B6</t>
        </is>
      </c>
      <c r="C55" s="29" t="inlineStr">
        <is>
          <t>F-RR</t>
        </is>
      </c>
      <c r="D55" s="30" t="n">
        <v>11175000</v>
      </c>
      <c r="E55" s="31" t="inlineStr">
        <is>
          <t>Final prospectus (424B2)</t>
        </is>
      </c>
    </row>
    <row r="56">
      <c r="B56" s="28" t="inlineStr">
        <is>
          <t>BMARK 2018-B6</t>
        </is>
      </c>
      <c r="C56" s="29" t="inlineStr">
        <is>
          <t>G-RR</t>
        </is>
      </c>
      <c r="D56" s="30" t="n">
        <v>11176000</v>
      </c>
      <c r="E56" s="31" t="inlineStr">
        <is>
          <t>Final prospectus (424B2)</t>
        </is>
      </c>
    </row>
    <row r="57">
      <c r="B57" s="28" t="inlineStr">
        <is>
          <t>BMARK 2018-B6</t>
        </is>
      </c>
      <c r="C57" s="29" t="inlineStr">
        <is>
          <t>J-RR</t>
        </is>
      </c>
      <c r="D57" s="30" t="n">
        <v>11175000</v>
      </c>
      <c r="E57" s="31" t="inlineStr">
        <is>
          <t>Final prospectus (424B2)</t>
        </is>
      </c>
    </row>
    <row r="58">
      <c r="B58" s="28" t="inlineStr">
        <is>
          <t>BMARK 2018-B6</t>
        </is>
      </c>
      <c r="C58" s="29" t="inlineStr">
        <is>
          <t>NR-RR</t>
        </is>
      </c>
      <c r="D58" s="30" t="n">
        <v>33527108</v>
      </c>
      <c r="E58" s="31" t="inlineStr">
        <is>
          <t>Final prospectus (424B2)</t>
        </is>
      </c>
    </row>
    <row r="59">
      <c r="B59" s="32" t="inlineStr">
        <is>
          <t>CGCMT 2018-C6</t>
        </is>
      </c>
      <c r="C59" s="33" t="inlineStr">
        <is>
          <t>E-RR</t>
        </is>
      </c>
      <c r="D59" s="34" t="n">
        <v>7364000</v>
      </c>
      <c r="E59" s="35" t="inlineStr">
        <is>
          <t>Final prospectus (424B2)</t>
        </is>
      </c>
    </row>
    <row r="60">
      <c r="B60" s="32" t="inlineStr">
        <is>
          <t>CGCMT 2018-C6</t>
        </is>
      </c>
      <c r="C60" s="33" t="inlineStr">
        <is>
          <t>F-RR</t>
        </is>
      </c>
      <c r="D60" s="34" t="n">
        <v>13807000</v>
      </c>
      <c r="E60" s="35" t="inlineStr">
        <is>
          <t>Final prospectus (424B2)</t>
        </is>
      </c>
    </row>
    <row r="61">
      <c r="B61" s="32" t="inlineStr">
        <is>
          <t>CGCMT 2018-C6</t>
        </is>
      </c>
      <c r="C61" s="33" t="inlineStr">
        <is>
          <t>G-RR</t>
        </is>
      </c>
      <c r="D61" s="34" t="n">
        <v>7364000</v>
      </c>
      <c r="E61" s="35" t="inlineStr">
        <is>
          <t>Final prospectus (424B2)</t>
        </is>
      </c>
    </row>
    <row r="62">
      <c r="B62" s="32" t="inlineStr">
        <is>
          <t>CGCMT 2018-C6</t>
        </is>
      </c>
      <c r="C62" s="33" t="inlineStr">
        <is>
          <t>J-RR</t>
        </is>
      </c>
      <c r="D62" s="34" t="n">
        <v>9205000</v>
      </c>
      <c r="E62" s="35" t="inlineStr">
        <is>
          <t>Final prospectus (424B2)</t>
        </is>
      </c>
    </row>
    <row r="63">
      <c r="B63" s="32" t="inlineStr">
        <is>
          <t>CGCMT 2018-C6</t>
        </is>
      </c>
      <c r="C63" s="33" t="inlineStr">
        <is>
          <t>K-RR</t>
        </is>
      </c>
      <c r="D63" s="34" t="n">
        <v>10126000</v>
      </c>
      <c r="E63" s="35" t="inlineStr">
        <is>
          <t>Final prospectus (424B2)</t>
        </is>
      </c>
    </row>
    <row r="64">
      <c r="B64" s="32" t="inlineStr">
        <is>
          <t>CGCMT 2018-C6</t>
        </is>
      </c>
      <c r="C64" s="33" t="inlineStr">
        <is>
          <t>NR-RR</t>
        </is>
      </c>
      <c r="D64" s="34" t="n">
        <v>27615173</v>
      </c>
      <c r="E64" s="35" t="inlineStr">
        <is>
          <t>Final prospectus (424B2)</t>
        </is>
      </c>
    </row>
    <row r="65">
      <c r="B65" s="28" t="inlineStr">
        <is>
          <t>MSC 2018-L1</t>
        </is>
      </c>
      <c r="C65" s="29" t="inlineStr">
        <is>
          <t>F-RR</t>
        </is>
      </c>
      <c r="D65" s="30" t="n">
        <v>10991000</v>
      </c>
      <c r="E65" s="31" t="inlineStr">
        <is>
          <t>Final prospectus (424B2)</t>
        </is>
      </c>
    </row>
    <row r="66">
      <c r="B66" s="28" t="inlineStr">
        <is>
          <t>MSC 2018-L1</t>
        </is>
      </c>
      <c r="C66" s="29" t="inlineStr">
        <is>
          <t>G-RR</t>
        </is>
      </c>
      <c r="D66" s="30" t="n">
        <v>8794000</v>
      </c>
      <c r="E66" s="31" t="inlineStr">
        <is>
          <t>Final prospectus (424B2)</t>
        </is>
      </c>
    </row>
    <row r="67">
      <c r="B67" s="28" t="inlineStr">
        <is>
          <t>MSC 2018-L1</t>
        </is>
      </c>
      <c r="C67" s="29" t="inlineStr">
        <is>
          <t>H-RR</t>
        </is>
      </c>
      <c r="D67" s="30" t="n">
        <v>8793000</v>
      </c>
      <c r="E67" s="31" t="inlineStr">
        <is>
          <t>Final prospectus (424B2)</t>
        </is>
      </c>
    </row>
    <row r="68">
      <c r="B68" s="28" t="inlineStr">
        <is>
          <t>MSC 2018-L1</t>
        </is>
      </c>
      <c r="C68" s="29" t="inlineStr">
        <is>
          <t>J-RR</t>
        </is>
      </c>
      <c r="D68" s="30" t="n">
        <v>28579579</v>
      </c>
      <c r="E68" s="31" t="inlineStr">
        <is>
          <t>Final prospectus (424B2)</t>
        </is>
      </c>
    </row>
    <row r="69">
      <c r="B69" s="32" t="inlineStr">
        <is>
          <t>UBSCM 2018-C12</t>
        </is>
      </c>
      <c r="C69" s="33" t="inlineStr">
        <is>
          <t>D-RR</t>
        </is>
      </c>
      <c r="D69" s="34" t="n">
        <v>20674000</v>
      </c>
      <c r="E69" s="35" t="inlineStr">
        <is>
          <t>Final prospectus (424B2)</t>
        </is>
      </c>
    </row>
    <row r="70">
      <c r="B70" s="32" t="inlineStr">
        <is>
          <t>UBSCM 2018-C12</t>
        </is>
      </c>
      <c r="C70" s="33" t="inlineStr">
        <is>
          <t>E-RR</t>
        </is>
      </c>
      <c r="D70" s="34" t="n">
        <v>9056000</v>
      </c>
      <c r="E70" s="35" t="inlineStr">
        <is>
          <t>Final prospectus (424B2)</t>
        </is>
      </c>
    </row>
    <row r="71">
      <c r="B71" s="32" t="inlineStr">
        <is>
          <t>UBSCM 2018-C12</t>
        </is>
      </c>
      <c r="C71" s="33" t="inlineStr">
        <is>
          <t>F-RR</t>
        </is>
      </c>
      <c r="D71" s="34" t="n">
        <v>9055000</v>
      </c>
      <c r="E71" s="35" t="inlineStr">
        <is>
          <t>Final prospectus (424B2)</t>
        </is>
      </c>
    </row>
    <row r="72">
      <c r="B72" s="32" t="inlineStr">
        <is>
          <t>UBSCM 2018-C12</t>
        </is>
      </c>
      <c r="C72" s="33" t="inlineStr">
        <is>
          <t>G-RR</t>
        </is>
      </c>
      <c r="D72" s="34" t="n">
        <v>9056000</v>
      </c>
      <c r="E72" s="35" t="inlineStr">
        <is>
          <t>Final prospectus (424B2)</t>
        </is>
      </c>
    </row>
    <row r="73">
      <c r="B73" s="32" t="inlineStr">
        <is>
          <t>UBSCM 2018-C12</t>
        </is>
      </c>
      <c r="C73" s="33" t="inlineStr">
        <is>
          <t>NR-RR</t>
        </is>
      </c>
      <c r="D73" s="34" t="n">
        <v>32197824</v>
      </c>
      <c r="E73" s="35" t="inlineStr">
        <is>
          <t>Final prospectus (424B2)</t>
        </is>
      </c>
    </row>
    <row r="74">
      <c r="B74" s="28" t="inlineStr">
        <is>
          <t>UBSCM 2018-C13</t>
        </is>
      </c>
      <c r="C74" s="29" t="inlineStr">
        <is>
          <t>D-RR</t>
        </is>
      </c>
      <c r="D74" s="30" t="n">
        <v>19302000</v>
      </c>
      <c r="E74" s="31" t="inlineStr">
        <is>
          <t>Final prospectus (424B2)</t>
        </is>
      </c>
    </row>
    <row r="75">
      <c r="B75" s="28" t="inlineStr">
        <is>
          <t>UBSCM 2018-C13</t>
        </is>
      </c>
      <c r="C75" s="29" t="inlineStr">
        <is>
          <t>E-RR</t>
        </is>
      </c>
      <c r="D75" s="30" t="n">
        <v>8936000</v>
      </c>
      <c r="E75" s="31" t="inlineStr">
        <is>
          <t>Final prospectus (424B2)</t>
        </is>
      </c>
    </row>
    <row r="76">
      <c r="B76" s="28" t="inlineStr">
        <is>
          <t>UBSCM 2018-C13</t>
        </is>
      </c>
      <c r="C76" s="29" t="inlineStr">
        <is>
          <t>F-RR</t>
        </is>
      </c>
      <c r="D76" s="30" t="n">
        <v>7149000</v>
      </c>
      <c r="E76" s="31" t="inlineStr">
        <is>
          <t>Final prospectus (424B2)</t>
        </is>
      </c>
    </row>
    <row r="77">
      <c r="B77" s="28" t="inlineStr">
        <is>
          <t>UBSCM 2018-C13</t>
        </is>
      </c>
      <c r="C77" s="29" t="inlineStr">
        <is>
          <t>G-RR</t>
        </is>
      </c>
      <c r="D77" s="30" t="n">
        <v>8042000</v>
      </c>
      <c r="E77" s="31" t="inlineStr">
        <is>
          <t>Final prospectus (424B2)</t>
        </is>
      </c>
    </row>
    <row r="78">
      <c r="B78" s="28" t="inlineStr">
        <is>
          <t>UBSCM 2018-C13</t>
        </is>
      </c>
      <c r="C78" s="29" t="inlineStr">
        <is>
          <t>NR-RR</t>
        </is>
      </c>
      <c r="D78" s="30" t="n">
        <v>25915367</v>
      </c>
      <c r="E78" s="31" t="inlineStr">
        <is>
          <t>Final prospectus (424B2)</t>
        </is>
      </c>
    </row>
    <row r="79">
      <c r="B79" s="32" t="inlineStr">
        <is>
          <t>UBSCM 2018-C15</t>
        </is>
      </c>
      <c r="C79" s="33" t="inlineStr">
        <is>
          <t>D-RR</t>
        </is>
      </c>
      <c r="D79" s="34" t="n">
        <v>21444000</v>
      </c>
      <c r="E79" s="35" t="inlineStr">
        <is>
          <t>Final prospectus (424B2)</t>
        </is>
      </c>
    </row>
    <row r="80">
      <c r="B80" s="32" t="inlineStr">
        <is>
          <t>UBSCM 2018-C15</t>
        </is>
      </c>
      <c r="C80" s="33" t="inlineStr">
        <is>
          <t>E-RR</t>
        </is>
      </c>
      <c r="D80" s="34" t="n">
        <v>7273000</v>
      </c>
      <c r="E80" s="35" t="inlineStr">
        <is>
          <t>Final prospectus (424B2)</t>
        </is>
      </c>
    </row>
    <row r="81">
      <c r="B81" s="32" t="inlineStr">
        <is>
          <t>UBSCM 2018-C15</t>
        </is>
      </c>
      <c r="C81" s="33" t="inlineStr">
        <is>
          <t>F-RR</t>
        </is>
      </c>
      <c r="D81" s="34" t="n">
        <v>6464000</v>
      </c>
      <c r="E81" s="35" t="inlineStr">
        <is>
          <t>Final prospectus (424B2)</t>
        </is>
      </c>
    </row>
    <row r="82">
      <c r="B82" s="32" t="inlineStr">
        <is>
          <t>UBSCM 2018-C15</t>
        </is>
      </c>
      <c r="C82" s="33" t="inlineStr">
        <is>
          <t>G-RR</t>
        </is>
      </c>
      <c r="D82" s="34" t="n">
        <v>6465000</v>
      </c>
      <c r="E82" s="35" t="inlineStr">
        <is>
          <t>Final prospectus (424B2)</t>
        </is>
      </c>
    </row>
    <row r="83">
      <c r="B83" s="32" t="inlineStr">
        <is>
          <t>UBSCM 2018-C15</t>
        </is>
      </c>
      <c r="C83" s="33" t="inlineStr">
        <is>
          <t>NR-RR</t>
        </is>
      </c>
      <c r="D83" s="34" t="n">
        <v>21819345</v>
      </c>
      <c r="E83" s="35" t="inlineStr">
        <is>
          <t>Final prospectus (424B2)</t>
        </is>
      </c>
    </row>
    <row r="84">
      <c r="B84" s="28" t="inlineStr">
        <is>
          <t>UBSCM 2018-C8</t>
        </is>
      </c>
      <c r="C84" s="29" t="inlineStr">
        <is>
          <t>D-RR</t>
        </is>
      </c>
      <c r="D84" s="30" t="n">
        <v>31272000</v>
      </c>
      <c r="E84" s="31" t="inlineStr">
        <is>
          <t>Final prospectus (424B2)</t>
        </is>
      </c>
    </row>
    <row r="85">
      <c r="B85" s="28" t="inlineStr">
        <is>
          <t>UBSCM 2018-C8</t>
        </is>
      </c>
      <c r="C85" s="29" t="inlineStr">
        <is>
          <t>E-RR</t>
        </is>
      </c>
      <c r="D85" s="30" t="n">
        <v>20903000</v>
      </c>
      <c r="E85" s="31" t="inlineStr">
        <is>
          <t>Final prospectus (424B2)</t>
        </is>
      </c>
    </row>
    <row r="86">
      <c r="B86" s="28" t="inlineStr">
        <is>
          <t>UBSCM 2018-C8</t>
        </is>
      </c>
      <c r="C86" s="29" t="inlineStr">
        <is>
          <t>F-RR</t>
        </is>
      </c>
      <c r="D86" s="30" t="n">
        <v>14371000</v>
      </c>
      <c r="E86" s="31" t="inlineStr">
        <is>
          <t>Final prospectus (424B2)</t>
        </is>
      </c>
    </row>
    <row r="87">
      <c r="B87" s="28" t="inlineStr">
        <is>
          <t>UBSCM 2018-C8</t>
        </is>
      </c>
      <c r="C87" s="29" t="inlineStr">
        <is>
          <t>NR-RR</t>
        </is>
      </c>
      <c r="D87" s="30" t="n">
        <v>40500891</v>
      </c>
      <c r="E87" s="31" t="inlineStr">
        <is>
          <t>Final prospectus (424B2)</t>
        </is>
      </c>
    </row>
    <row r="88">
      <c r="B88" s="32" t="inlineStr">
        <is>
          <t>WFCM 2018-C43</t>
        </is>
      </c>
      <c r="C88" s="33" t="inlineStr">
        <is>
          <t>E</t>
        </is>
      </c>
      <c r="D88" s="34" t="n">
        <v>18519000</v>
      </c>
      <c r="E88" s="35" t="inlineStr">
        <is>
          <t>Final prospectus (424B2)</t>
        </is>
      </c>
    </row>
    <row r="89">
      <c r="B89" s="32" t="inlineStr">
        <is>
          <t>WFCM 2018-C43</t>
        </is>
      </c>
      <c r="C89" s="33" t="inlineStr">
        <is>
          <t>F</t>
        </is>
      </c>
      <c r="D89" s="34" t="n">
        <v>8818000</v>
      </c>
      <c r="E89" s="35" t="inlineStr">
        <is>
          <t>Final prospectus (424B2)</t>
        </is>
      </c>
    </row>
    <row r="90">
      <c r="B90" s="32" t="inlineStr">
        <is>
          <t>WFCM 2018-C43</t>
        </is>
      </c>
      <c r="C90" s="33" t="inlineStr">
        <is>
          <t>G</t>
        </is>
      </c>
      <c r="D90" s="34" t="n">
        <v>22046433</v>
      </c>
      <c r="E90" s="35" t="inlineStr">
        <is>
          <t>Final prospectus (424B2)</t>
        </is>
      </c>
    </row>
    <row r="91">
      <c r="B91" s="28" t="inlineStr">
        <is>
          <t>WFCM 2018-C47</t>
        </is>
      </c>
      <c r="C91" s="29" t="inlineStr">
        <is>
          <t>E-RR</t>
        </is>
      </c>
      <c r="D91" s="30" t="n">
        <v>20501000</v>
      </c>
      <c r="E91" s="31" t="inlineStr">
        <is>
          <t>Final prospectus (424B2)</t>
        </is>
      </c>
    </row>
    <row r="92">
      <c r="B92" s="28" t="inlineStr">
        <is>
          <t>WFCM 2018-C47</t>
        </is>
      </c>
      <c r="C92" s="29" t="inlineStr">
        <is>
          <t>F-RR</t>
        </is>
      </c>
      <c r="D92" s="30" t="n">
        <v>13084000</v>
      </c>
      <c r="E92" s="31" t="inlineStr">
        <is>
          <t>Final prospectus (424B2)</t>
        </is>
      </c>
    </row>
    <row r="93">
      <c r="B93" s="28" t="inlineStr">
        <is>
          <t>WFCM 2018-C47</t>
        </is>
      </c>
      <c r="C93" s="29" t="inlineStr">
        <is>
          <t>G-RR</t>
        </is>
      </c>
      <c r="D93" s="30" t="n">
        <v>10705000</v>
      </c>
      <c r="E93" s="31" t="inlineStr">
        <is>
          <t>Final prospectus (424B2)</t>
        </is>
      </c>
    </row>
    <row r="94">
      <c r="B94" s="28" t="inlineStr">
        <is>
          <t>WFCM 2018-C47</t>
        </is>
      </c>
      <c r="C94" s="29" t="inlineStr">
        <is>
          <t>H-RR</t>
        </is>
      </c>
      <c r="D94" s="30" t="n">
        <v>9515000</v>
      </c>
      <c r="E94" s="31" t="inlineStr">
        <is>
          <t>Final prospectus (424B2)</t>
        </is>
      </c>
    </row>
    <row r="95">
      <c r="B95" s="28" t="inlineStr">
        <is>
          <t>WFCM 2018-C47</t>
        </is>
      </c>
      <c r="C95" s="29" t="inlineStr">
        <is>
          <t>J-RR</t>
        </is>
      </c>
      <c r="D95" s="30" t="n">
        <v>39252654</v>
      </c>
      <c r="E95" s="31" t="inlineStr">
        <is>
          <t>Final prospectus (424B2)</t>
        </is>
      </c>
    </row>
    <row r="96">
      <c r="B96" s="32" t="inlineStr">
        <is>
          <t>BBCMS 2019-C3</t>
        </is>
      </c>
      <c r="C96" s="33" t="inlineStr">
        <is>
          <t>E-RR</t>
        </is>
      </c>
      <c r="D96" s="34" t="n">
        <v>27313000</v>
      </c>
      <c r="E96" s="35" t="inlineStr">
        <is>
          <t>Final prospectus (424B2)</t>
        </is>
      </c>
    </row>
    <row r="97">
      <c r="B97" s="32" t="inlineStr">
        <is>
          <t>BBCMS 2019-C3</t>
        </is>
      </c>
      <c r="C97" s="33" t="inlineStr">
        <is>
          <t>F-RR</t>
        </is>
      </c>
      <c r="D97" s="34" t="n">
        <v>11708000</v>
      </c>
      <c r="E97" s="35" t="inlineStr">
        <is>
          <t>Final prospectus (424B2)</t>
        </is>
      </c>
    </row>
    <row r="98">
      <c r="B98" s="32" t="inlineStr">
        <is>
          <t>BBCMS 2019-C3</t>
        </is>
      </c>
      <c r="C98" s="33" t="inlineStr">
        <is>
          <t>G-RR</t>
        </is>
      </c>
      <c r="D98" s="34" t="n">
        <v>10537000</v>
      </c>
      <c r="E98" s="35" t="inlineStr">
        <is>
          <t>Final prospectus (424B2)</t>
        </is>
      </c>
    </row>
    <row r="99">
      <c r="B99" s="32" t="inlineStr">
        <is>
          <t>BBCMS 2019-C3</t>
        </is>
      </c>
      <c r="C99" s="33" t="inlineStr">
        <is>
          <t>H-RR</t>
        </is>
      </c>
      <c r="D99" s="34" t="n">
        <v>9367000</v>
      </c>
      <c r="E99" s="35" t="inlineStr">
        <is>
          <t>Final prospectus (424B2)</t>
        </is>
      </c>
    </row>
    <row r="100">
      <c r="B100" s="32" t="inlineStr">
        <is>
          <t>BBCMS 2019-C3</t>
        </is>
      </c>
      <c r="C100" s="33" t="inlineStr">
        <is>
          <t>J-RR</t>
        </is>
      </c>
      <c r="D100" s="34" t="n">
        <v>36295542</v>
      </c>
      <c r="E100" s="35" t="inlineStr">
        <is>
          <t>Final prospectus (424B2)</t>
        </is>
      </c>
    </row>
    <row r="101">
      <c r="B101" s="28" t="inlineStr">
        <is>
          <t>GSMS 2019-GC38</t>
        </is>
      </c>
      <c r="C101" s="29" t="inlineStr">
        <is>
          <t>E-RR</t>
        </is>
      </c>
      <c r="D101" s="30" t="n">
        <v>17852000</v>
      </c>
      <c r="E101" s="31" t="inlineStr">
        <is>
          <t>Final prospectus (424B2)</t>
        </is>
      </c>
    </row>
    <row r="102">
      <c r="B102" s="28" t="inlineStr">
        <is>
          <t>GSMS 2019-GC38</t>
        </is>
      </c>
      <c r="C102" s="29" t="inlineStr">
        <is>
          <t>F-RR</t>
        </is>
      </c>
      <c r="D102" s="30" t="n">
        <v>9456000</v>
      </c>
      <c r="E102" s="31" t="inlineStr">
        <is>
          <t>Final prospectus (424B2)</t>
        </is>
      </c>
    </row>
    <row r="103">
      <c r="B103" s="28" t="inlineStr">
        <is>
          <t>GSMS 2019-GC38</t>
        </is>
      </c>
      <c r="C103" s="29" t="inlineStr">
        <is>
          <t>G-RR</t>
        </is>
      </c>
      <c r="D103" s="30" t="n">
        <v>8510000</v>
      </c>
      <c r="E103" s="31" t="inlineStr">
        <is>
          <t>Final prospectus (424B2)</t>
        </is>
      </c>
    </row>
    <row r="104">
      <c r="B104" s="28" t="inlineStr">
        <is>
          <t>GSMS 2019-GC38</t>
        </is>
      </c>
      <c r="C104" s="29" t="inlineStr">
        <is>
          <t>H-RR</t>
        </is>
      </c>
      <c r="D104" s="30" t="n">
        <v>7564000</v>
      </c>
      <c r="E104" s="31" t="inlineStr">
        <is>
          <t>Final prospectus (424B2)</t>
        </is>
      </c>
    </row>
    <row r="105">
      <c r="B105" s="28" t="inlineStr">
        <is>
          <t>GSMS 2019-GC38</t>
        </is>
      </c>
      <c r="C105" s="29" t="inlineStr">
        <is>
          <t>I-RR</t>
        </is>
      </c>
      <c r="D105" s="30" t="n">
        <v>30258365</v>
      </c>
      <c r="E105" s="31" t="inlineStr">
        <is>
          <t>Final prospectus (424B2)</t>
        </is>
      </c>
    </row>
    <row r="106">
      <c r="B106" s="32" t="inlineStr">
        <is>
          <t>MSC 2019-H6</t>
        </is>
      </c>
      <c r="C106" s="33" t="inlineStr">
        <is>
          <t>E-RR</t>
        </is>
      </c>
      <c r="D106" s="34" t="n">
        <v>12534000</v>
      </c>
      <c r="E106" s="35" t="inlineStr">
        <is>
          <t>Final prospectus (424B2)</t>
        </is>
      </c>
    </row>
    <row r="107">
      <c r="B107" s="32" t="inlineStr">
        <is>
          <t>MSC 2019-H6</t>
        </is>
      </c>
      <c r="C107" s="33" t="inlineStr">
        <is>
          <t>F-RR</t>
        </is>
      </c>
      <c r="D107" s="34" t="n">
        <v>10303000</v>
      </c>
      <c r="E107" s="35" t="inlineStr">
        <is>
          <t>Final prospectus (424B2)</t>
        </is>
      </c>
    </row>
    <row r="108">
      <c r="B108" s="32" t="inlineStr">
        <is>
          <t>MSC 2019-H6</t>
        </is>
      </c>
      <c r="C108" s="33" t="inlineStr">
        <is>
          <t>G-RR</t>
        </is>
      </c>
      <c r="D108" s="34" t="n">
        <v>7727000</v>
      </c>
      <c r="E108" s="35" t="inlineStr">
        <is>
          <t>Final prospectus (424B2)</t>
        </is>
      </c>
    </row>
    <row r="109">
      <c r="B109" s="32" t="inlineStr">
        <is>
          <t>MSC 2019-H6</t>
        </is>
      </c>
      <c r="C109" s="33" t="inlineStr">
        <is>
          <t>H-RR</t>
        </is>
      </c>
      <c r="D109" s="34" t="n">
        <v>10302000</v>
      </c>
      <c r="E109" s="35" t="inlineStr">
        <is>
          <t>Final prospectus (424B2)</t>
        </is>
      </c>
    </row>
    <row r="110">
      <c r="B110" s="32" t="inlineStr">
        <is>
          <t>MSC 2019-H6</t>
        </is>
      </c>
      <c r="C110" s="33" t="inlineStr">
        <is>
          <t>J-RR</t>
        </is>
      </c>
      <c r="D110" s="34" t="n">
        <v>6869000</v>
      </c>
      <c r="E110" s="35" t="inlineStr">
        <is>
          <t>Final prospectus (424B2)</t>
        </is>
      </c>
    </row>
    <row r="111">
      <c r="B111" s="32" t="inlineStr">
        <is>
          <t>MSC 2019-H6</t>
        </is>
      </c>
      <c r="C111" s="33" t="inlineStr">
        <is>
          <t>K-RR</t>
        </is>
      </c>
      <c r="D111" s="34" t="n">
        <v>23180759</v>
      </c>
      <c r="E111" s="35" t="inlineStr">
        <is>
          <t>Final prospectus (424B2)</t>
        </is>
      </c>
    </row>
    <row r="112">
      <c r="B112" s="28" t="inlineStr">
        <is>
          <t>UBSCM 2019-C16</t>
        </is>
      </c>
      <c r="C112" s="29" t="inlineStr">
        <is>
          <t>D-RR</t>
        </is>
      </c>
      <c r="D112" s="30" t="n">
        <v>13695000</v>
      </c>
      <c r="E112" s="31" t="inlineStr">
        <is>
          <t>Final prospectus (424B2)</t>
        </is>
      </c>
    </row>
    <row r="113">
      <c r="B113" s="28" t="inlineStr">
        <is>
          <t>UBSCM 2019-C16</t>
        </is>
      </c>
      <c r="C113" s="29" t="inlineStr">
        <is>
          <t>E-RR</t>
        </is>
      </c>
      <c r="D113" s="30" t="n">
        <v>10240000</v>
      </c>
      <c r="E113" s="31" t="inlineStr">
        <is>
          <t>Final prospectus (424B2)</t>
        </is>
      </c>
    </row>
    <row r="114">
      <c r="B114" s="28" t="inlineStr">
        <is>
          <t>UBSCM 2019-C16</t>
        </is>
      </c>
      <c r="C114" s="29" t="inlineStr">
        <is>
          <t>F-RR</t>
        </is>
      </c>
      <c r="D114" s="30" t="n">
        <v>6827000</v>
      </c>
      <c r="E114" s="31" t="inlineStr">
        <is>
          <t>Final prospectus (424B2)</t>
        </is>
      </c>
    </row>
    <row r="115">
      <c r="B115" s="28" t="inlineStr">
        <is>
          <t>UBSCM 2019-C16</t>
        </is>
      </c>
      <c r="C115" s="29" t="inlineStr">
        <is>
          <t>G-RR</t>
        </is>
      </c>
      <c r="D115" s="30" t="n">
        <v>8533000</v>
      </c>
      <c r="E115" s="31" t="inlineStr">
        <is>
          <t>Final prospectus (424B2)</t>
        </is>
      </c>
    </row>
    <row r="116">
      <c r="B116" s="28" t="inlineStr">
        <is>
          <t>UBSCM 2019-C16</t>
        </is>
      </c>
      <c r="C116" s="29" t="inlineStr">
        <is>
          <t>H-RR</t>
        </is>
      </c>
      <c r="D116" s="30" t="n">
        <v>6827000</v>
      </c>
      <c r="E116" s="31" t="inlineStr">
        <is>
          <t>Final prospectus (424B2)</t>
        </is>
      </c>
    </row>
    <row r="117">
      <c r="B117" s="28" t="inlineStr">
        <is>
          <t>UBSCM 2019-C16</t>
        </is>
      </c>
      <c r="C117" s="29" t="inlineStr">
        <is>
          <t>NR-RR</t>
        </is>
      </c>
      <c r="D117" s="30" t="n">
        <v>22187051</v>
      </c>
      <c r="E117" s="31" t="inlineStr">
        <is>
          <t>Final prospectus (424B2)</t>
        </is>
      </c>
    </row>
    <row r="118">
      <c r="B118" s="32" t="inlineStr">
        <is>
          <t>WFCM 2019-C49</t>
        </is>
      </c>
      <c r="C118" s="33" t="inlineStr">
        <is>
          <t>E-RR</t>
        </is>
      </c>
      <c r="D118" s="34" t="n">
        <v>18504000</v>
      </c>
      <c r="E118" s="35" t="inlineStr">
        <is>
          <t>Final prospectus (424B2)</t>
        </is>
      </c>
    </row>
    <row r="119">
      <c r="B119" s="32" t="inlineStr">
        <is>
          <t>WFCM 2019-C49</t>
        </is>
      </c>
      <c r="C119" s="33" t="inlineStr">
        <is>
          <t>F-RR</t>
        </is>
      </c>
      <c r="D119" s="34" t="n">
        <v>10646000</v>
      </c>
      <c r="E119" s="35" t="inlineStr">
        <is>
          <t>Final prospectus (424B2)</t>
        </is>
      </c>
    </row>
    <row r="120">
      <c r="B120" s="32" t="inlineStr">
        <is>
          <t>WFCM 2019-C49</t>
        </is>
      </c>
      <c r="C120" s="33" t="inlineStr">
        <is>
          <t>G-RR</t>
        </is>
      </c>
      <c r="D120" s="34" t="n">
        <v>9677000</v>
      </c>
      <c r="E120" s="35" t="inlineStr">
        <is>
          <t>Final prospectus (424B2)</t>
        </is>
      </c>
    </row>
    <row r="121">
      <c r="B121" s="32" t="inlineStr">
        <is>
          <t>WFCM 2019-C49</t>
        </is>
      </c>
      <c r="C121" s="33" t="inlineStr">
        <is>
          <t>H-RR</t>
        </is>
      </c>
      <c r="D121" s="34" t="n">
        <v>8711000</v>
      </c>
      <c r="E121" s="35" t="inlineStr">
        <is>
          <t>Final prospectus (424B2)</t>
        </is>
      </c>
    </row>
    <row r="122">
      <c r="B122" s="32" t="inlineStr">
        <is>
          <t>WFCM 2019-C49</t>
        </is>
      </c>
      <c r="C122" s="33" t="inlineStr">
        <is>
          <t>J-RR</t>
        </is>
      </c>
      <c r="D122" s="34" t="n">
        <v>8710000</v>
      </c>
      <c r="E122" s="35" t="inlineStr">
        <is>
          <t>Final prospectus (424B2)</t>
        </is>
      </c>
    </row>
    <row r="123">
      <c r="B123" s="32" t="inlineStr">
        <is>
          <t>WFCM 2019-C49</t>
        </is>
      </c>
      <c r="C123" s="33" t="inlineStr">
        <is>
          <t>K-RR</t>
        </is>
      </c>
      <c r="D123" s="34" t="n">
        <v>24194767</v>
      </c>
      <c r="E123" s="35" t="inlineStr">
        <is>
          <t>Final prospectus (424B2)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2026-10-05T17:25:01Z</dcterms:created>
  <dcterms:modified xmlns:dcterms="http://purl.org/dc/terms/" xmlns:xsi="http://www.w3.org/2001/XMLSchema-instance" xsi:type="dcterms:W3CDTF">2026-10-05T17:25:01Z</dcterms:modified>
</cp:coreProperties>
</file>