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 Out" sheetId="1" state="visible" r:id="rId1"/>
    <sheet xmlns:r="http://schemas.openxmlformats.org/officeDocument/2006/relationships" name="Monthly Colle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%;(0.00%);-"/>
    <numFmt numFmtId="165" formatCode="0.00&quot;x&quot;"/>
    <numFmt numFmtId="166" formatCode="#,##0;(#,##0);&quot;-&quot;"/>
    <numFmt numFmtId="167" formatCode="mmm yyyy"/>
  </numFmts>
  <fonts count="9">
    <font>
      <name val="Calibri"/>
      <family val="2"/>
      <color theme="1"/>
      <sz val="11"/>
      <scheme val="minor"/>
    </font>
    <font>
      <name val="Calibri"/>
      <color rgb="000F2F51"/>
      <sz val="14"/>
    </font>
    <font>
      <name val="Calibri"/>
      <b val="1"/>
      <color rgb="00FFFFFF"/>
      <sz val="10"/>
    </font>
    <font>
      <name val="Calibri"/>
      <sz val="10"/>
    </font>
    <font>
      <name val="Calibri"/>
      <color rgb="000000FF"/>
      <sz val="10"/>
    </font>
    <font>
      <name val="Calibri"/>
      <color rgb="00000000"/>
      <sz val="10"/>
    </font>
    <font>
      <name val="Calibri"/>
      <b val="1"/>
      <sz val="10"/>
    </font>
    <font>
      <name val="Calibri"/>
      <b val="1"/>
      <color rgb="00000000"/>
      <sz val="10"/>
    </font>
    <font>
      <name val="Calibri"/>
      <i val="1"/>
      <color rgb="00808080"/>
      <sz val="7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0F2F51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164" fontId="4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0" fontId="3" fillId="4" borderId="0" pivotButton="0" quotePrefix="0" xfId="0"/>
    <xf numFmtId="165" fontId="4" fillId="4" borderId="0" applyAlignment="1" pivotButton="0" quotePrefix="0" xfId="0">
      <alignment horizontal="center"/>
    </xf>
    <xf numFmtId="165" fontId="5" fillId="4" borderId="0" applyAlignment="1" pivotButton="0" quotePrefix="0" xfId="0">
      <alignment horizontal="center"/>
    </xf>
    <xf numFmtId="166" fontId="4" fillId="0" borderId="0" applyAlignment="1" pivotButton="0" quotePrefix="0" xfId="0">
      <alignment horizontal="center"/>
    </xf>
    <xf numFmtId="166" fontId="5" fillId="0" borderId="0" applyAlignment="1" pivotButton="0" quotePrefix="0" xfId="0">
      <alignment horizontal="center"/>
    </xf>
    <xf numFmtId="166" fontId="4" fillId="4" borderId="0" applyAlignment="1" pivotButton="0" quotePrefix="0" xfId="0">
      <alignment horizontal="center"/>
    </xf>
    <xf numFmtId="166" fontId="5" fillId="4" borderId="0" applyAlignment="1" pivotButton="0" quotePrefix="0" xfId="0">
      <alignment horizontal="center"/>
    </xf>
    <xf numFmtId="0" fontId="0" fillId="4" borderId="0" pivotButton="0" quotePrefix="0" xfId="0"/>
    <xf numFmtId="0" fontId="6" fillId="0" borderId="1" pivotButton="0" quotePrefix="0" xfId="0"/>
    <xf numFmtId="166" fontId="7" fillId="0" borderId="1" applyAlignment="1" pivotButton="0" quotePrefix="0" xfId="0">
      <alignment horizontal="center"/>
    </xf>
    <xf numFmtId="0" fontId="0" fillId="0" borderId="1" pivotButton="0" quotePrefix="0" xfId="0"/>
    <xf numFmtId="0" fontId="6" fillId="4" borderId="0" pivotButton="0" quotePrefix="0" xfId="0"/>
    <xf numFmtId="166" fontId="7" fillId="4" borderId="0" applyAlignment="1" pivotButton="0" quotePrefix="0" xfId="0">
      <alignment horizontal="center"/>
    </xf>
    <xf numFmtId="164" fontId="4" fillId="4" borderId="0" applyAlignment="1" pivotButton="0" quotePrefix="0" xfId="0">
      <alignment horizontal="center"/>
    </xf>
    <xf numFmtId="164" fontId="5" fillId="4" borderId="0" applyAlignment="1" pivotButton="0" quotePrefix="0" xfId="0">
      <alignment horizontal="center"/>
    </xf>
    <xf numFmtId="164" fontId="7" fillId="0" borderId="1" applyAlignment="1" pivotButton="0" quotePrefix="0" xfId="0">
      <alignment horizontal="center"/>
    </xf>
    <xf numFmtId="0" fontId="8" fillId="0" borderId="0" applyAlignment="1" pivotButton="0" quotePrefix="0" xfId="0">
      <alignment vertical="top" wrapText="1"/>
    </xf>
    <xf numFmtId="167" fontId="3" fillId="0" borderId="0" applyAlignment="1" pivotButton="0" quotePrefix="0" xfId="0">
      <alignment horizontal="center"/>
    </xf>
    <xf numFmtId="166" fontId="3" fillId="0" borderId="0" applyAlignment="1" pivotButton="0" quotePrefix="0" xfId="0">
      <alignment horizontal="center"/>
    </xf>
    <xf numFmtId="167" fontId="3" fillId="4" borderId="0" applyAlignment="1" pivotButton="0" quotePrefix="0" xfId="0">
      <alignment horizontal="center"/>
    </xf>
    <xf numFmtId="166" fontId="3" fillId="4" borderId="0" applyAlignment="1" pivotButton="0" quotePrefix="0" xfId="0">
      <alignment horizontal="center"/>
    </xf>
    <xf numFmtId="0" fontId="2" fillId="3" borderId="0" pivotButton="0" quotePrefix="0" xfId="0"/>
    <xf numFmtId="166" fontId="2" fillId="3" borderId="0" applyAlignment="1" pivotButton="0" quotePrefix="0" xfId="0">
      <alignment horizontal="center"/>
    </xf>
    <xf numFmtId="0" fontId="0" fillId="3" borderId="0" pivotButton="0" quotePrefix="0" xfId="0"/>
    <xf numFmtId="167" fontId="3" fillId="0" borderId="0" applyAlignment="1" pivotButton="0" quotePrefix="0" xfId="0">
      <alignment horizontal="center"/>
    </xf>
    <xf numFmtId="167" fontId="3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4" customWidth="1" min="2" max="2"/>
    <col width="20" customWidth="1" min="3" max="3"/>
    <col width="20" customWidth="1" min="4" max="4"/>
    <col width="20" customWidth="1" min="5" max="5"/>
  </cols>
  <sheetData>
    <row r="2">
      <c r="B2" s="1" t="inlineStr">
        <is>
          <t>KKR (ZERO FEES) VS SSP MODEL: DOES IT TIE?</t>
        </is>
      </c>
    </row>
    <row r="3" ht="3" customHeight="1">
      <c r="B3" s="2" t="n"/>
      <c r="C3" s="2" t="n"/>
      <c r="D3" s="2" t="n"/>
      <c r="E3" s="2" t="n"/>
    </row>
    <row r="5" ht="28" customHeight="1">
      <c r="B5" s="3" t="inlineStr">
        <is>
          <t>Returns at 50% of NAV, All Fees Zeroed</t>
        </is>
      </c>
      <c r="C5" s="4" t="inlineStr">
        <is>
          <t>KKR Model</t>
        </is>
      </c>
      <c r="D5" s="4" t="inlineStr">
        <is>
          <t>SSP Model</t>
        </is>
      </c>
      <c r="E5" s="4" t="inlineStr">
        <is>
          <t>Difference</t>
        </is>
      </c>
    </row>
    <row r="6">
      <c r="B6" s="5" t="inlineStr">
        <is>
          <t>Gross IRR</t>
        </is>
      </c>
      <c r="C6" s="6" t="n">
        <v>0.179072035713931</v>
      </c>
      <c r="D6" s="6" t="n">
        <v>0.162309036166737</v>
      </c>
      <c r="E6" s="7">
        <f>C6-D6</f>
        <v/>
      </c>
    </row>
    <row r="7">
      <c r="B7" s="8" t="inlineStr">
        <is>
          <t>Gross MOIC</t>
        </is>
      </c>
      <c r="C7" s="9" t="n">
        <v>1.724144667460812</v>
      </c>
      <c r="D7" s="9" t="n">
        <v>1.66091013261965</v>
      </c>
      <c r="E7" s="10">
        <f>C7-D7</f>
        <v/>
      </c>
    </row>
    <row r="8">
      <c r="B8" s="5" t="inlineStr">
        <is>
          <t>Net outlay at first close, 100% LP basis ($; SSP nets Jul to Nov distributions, KKR nets Jul to Dec)</t>
        </is>
      </c>
      <c r="C8" s="11" t="n">
        <v>156343225.291504</v>
      </c>
      <c r="D8" s="11" t="n">
        <v>158316490.2861765</v>
      </c>
      <c r="E8" s="12">
        <f>C8-D8</f>
        <v/>
      </c>
    </row>
    <row r="9">
      <c r="B9" s="8" t="inlineStr">
        <is>
          <t>Net profit, 100% LP basis ($)</t>
        </is>
      </c>
      <c r="C9" s="13" t="n">
        <v>113215112.888467</v>
      </c>
      <c r="D9" s="13" t="n">
        <v>104632972.5909134</v>
      </c>
      <c r="E9" s="14">
        <f>C9-D9</f>
        <v/>
      </c>
    </row>
    <row r="11" ht="28" customHeight="1">
      <c r="B11" s="3" t="inlineStr">
        <is>
          <t>Profit Bridge, SSP to KKR ($, Selling LP Share 35.4%)</t>
        </is>
      </c>
      <c r="C11" s="4" t="inlineStr">
        <is>
          <t>$</t>
        </is>
      </c>
      <c r="D11" s="4" t="inlineStr"/>
      <c r="E11" s="4" t="inlineStr"/>
    </row>
    <row r="12">
      <c r="B12" s="5" t="inlineStr">
        <is>
          <t>SSP model net profit</t>
        </is>
      </c>
      <c r="C12" s="12">
        <f>D9</f>
        <v/>
      </c>
    </row>
    <row r="13">
      <c r="B13" s="8" t="inlineStr">
        <is>
          <t>(+) Release of fund cash and receivables at cutoff ($15.3M x 35.4%)</t>
        </is>
      </c>
      <c r="C13" s="13" t="n">
        <v>5427476.742624462</v>
      </c>
      <c r="D13" s="15" t="n"/>
      <c r="E13" s="15" t="n"/>
    </row>
    <row r="14">
      <c r="B14" s="5" t="inlineStr">
        <is>
          <t>(+) Higher Intex collections in KKR model (May 2030 to May 2032, $8.9M x 35.4%)</t>
        </is>
      </c>
      <c r="C14" s="11" t="n">
        <v>3154664.695295138</v>
      </c>
    </row>
    <row r="15">
      <c r="B15" s="16" t="inlineStr">
        <is>
          <t>SSP profit after adjustments</t>
        </is>
      </c>
      <c r="C15" s="17">
        <f>SUM(C12:C14)</f>
        <v/>
      </c>
      <c r="D15" s="18" t="n"/>
      <c r="E15" s="18" t="n"/>
    </row>
    <row r="16">
      <c r="B16" s="5" t="inlineStr">
        <is>
          <t>KKR model net profit</t>
        </is>
      </c>
      <c r="C16" s="12">
        <f>C9</f>
        <v/>
      </c>
    </row>
    <row r="17">
      <c r="B17" s="19" t="inlineStr">
        <is>
          <t>Unexplained ($)</t>
        </is>
      </c>
      <c r="C17" s="20">
        <f>C15-C16</f>
        <v/>
      </c>
      <c r="D17" s="15" t="n"/>
      <c r="E17" s="15" t="n"/>
    </row>
    <row r="19" ht="28" customHeight="1">
      <c r="B19" s="3" t="inlineStr">
        <is>
          <t>IRR Bridge, SSP to KKR</t>
        </is>
      </c>
      <c r="C19" s="4" t="inlineStr">
        <is>
          <t>IRR</t>
        </is>
      </c>
      <c r="D19" s="4" t="inlineStr">
        <is>
          <t>Change (bps)</t>
        </is>
      </c>
      <c r="E19" s="4" t="inlineStr"/>
    </row>
    <row r="20">
      <c r="B20" s="5" t="inlineStr">
        <is>
          <t>SSP model, gross, zero fees</t>
        </is>
      </c>
      <c r="C20" s="6" t="n">
        <v>0.1623090361667358</v>
      </c>
    </row>
    <row r="21">
      <c r="B21" s="8" t="inlineStr">
        <is>
          <t>(+) Intex collections difference</t>
        </is>
      </c>
      <c r="C21" s="21" t="n">
        <v>0.1656078858971944</v>
      </c>
      <c r="D21" s="22">
        <f>(C21-C20)*10000</f>
        <v/>
      </c>
      <c r="E21" s="15" t="n"/>
    </row>
    <row r="22">
      <c r="B22" s="5" t="inlineStr">
        <is>
          <t>(+) Release of fund cash and receivables (assumed 3/31/2027)</t>
        </is>
      </c>
      <c r="C22" s="6" t="n">
        <v>0.177751203954264</v>
      </c>
      <c r="D22" s="7">
        <f>(C22-C21)*10000</f>
        <v/>
      </c>
    </row>
    <row r="23">
      <c r="B23" s="8" t="inlineStr">
        <is>
          <t>(+) Timing conventions (residual)</t>
        </is>
      </c>
      <c r="C23" s="22">
        <f>C24</f>
        <v/>
      </c>
      <c r="D23" s="22">
        <f>(C23-C22)*10000</f>
        <v/>
      </c>
      <c r="E23" s="15" t="n"/>
    </row>
    <row r="24">
      <c r="B24" s="16" t="inlineStr">
        <is>
          <t>KKR model, gross, zero fees</t>
        </is>
      </c>
      <c r="C24" s="23">
        <f>C6</f>
        <v/>
      </c>
      <c r="D24" s="23">
        <f>(C24-C20)*10000</f>
        <v/>
      </c>
      <c r="E24" s="18" t="n"/>
    </row>
    <row r="26" ht="36" customHeight="1">
      <c r="B26" s="24" t="inlineStr">
        <is>
          <t>Raw Intex collections tie exactly to the dollar for the first 46 months (July 2026 to April 2030). From May 2030, KKR runs about $33K per month higher, plus $5.3M in Nov 2031 and $2.9M in May 2032 (both coincide with BBCMS 2019 C3 payoffs in the KKR model). We believe this is a difference in the Intex run for that deal; the SSP file only holds the portfolio total so we cannot confirm.</t>
        </is>
      </c>
    </row>
    <row r="27" ht="36" customHeight="1">
      <c r="B27" s="24" t="inlineStr">
        <is>
          <t>Both models start from the same $337,384,008 NAV and the same 35.4% selling LP share. SSP pays 50% of NAV, which includes $15.3M of fund cash and receivables, but its cash flows do not include a release of that cash. KKR distributes it in the forward period.</t>
        </is>
      </c>
    </row>
    <row r="28" ht="36" customHeight="1">
      <c r="B28" s="24" t="inlineStr">
        <is>
          <t>Timing residual: KKR prices at 1/1/2027 net of Jul to Dec distributions and pays on calendar quarter ends. SSP closes 12/31/2026 and buckets each month into the quarter after (Dec cash lands 3/31). The cash release timing in the bridge is an approximation.</t>
        </is>
      </c>
    </row>
    <row r="29" ht="36" customHeight="1">
      <c r="B29" s="24" t="inlineStr">
        <is>
          <t>SSP zeroed inputs: Inputs C4 (fund expenses), D14 (AM fee), D27 (Rialto UW fee), C28 (Rialto upfront fee), D29 (closing costs), plus C39 = 50% price override. KKR figures from the zero fee recalculation of KKR_RECOP_Model_2026.10.10 (1.75% reserve retained). Blue figures are pasted outputs.</t>
        </is>
      </c>
    </row>
  </sheetData>
  <mergeCells count="4">
    <mergeCell ref="B29:E29"/>
    <mergeCell ref="B26:E26"/>
    <mergeCell ref="B27:E27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77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2">
      <c r="B2" s="1" t="inlineStr">
        <is>
          <t>FUND LEVEL INTEX COLLECTIONS: SSP VS KKR (100% OF FUND)</t>
        </is>
      </c>
    </row>
    <row r="3" ht="3" customHeight="1">
      <c r="B3" s="2" t="n"/>
      <c r="C3" s="2" t="n"/>
      <c r="D3" s="2" t="n"/>
      <c r="E3" s="2" t="n"/>
      <c r="F3" s="2" t="n"/>
    </row>
    <row r="5" ht="30" customHeight="1">
      <c r="B5" s="4" t="inlineStr">
        <is>
          <t>Month</t>
        </is>
      </c>
      <c r="C5" s="4" t="inlineStr">
        <is>
          <t>SSP Model (CF Drops Base)</t>
        </is>
      </c>
      <c r="D5" s="4" t="inlineStr">
        <is>
          <t>KKR Model (Gross Distributions)</t>
        </is>
      </c>
      <c r="E5" s="4" t="inlineStr">
        <is>
          <t>Difference</t>
        </is>
      </c>
      <c r="F5" s="4" t="inlineStr">
        <is>
          <t>Cumulative Difference</t>
        </is>
      </c>
    </row>
    <row r="6">
      <c r="B6" s="32" t="n">
        <v>46234</v>
      </c>
      <c r="C6" s="11" t="n">
        <v>5801235.03</v>
      </c>
      <c r="D6" s="11" t="n">
        <v>5801235.03</v>
      </c>
      <c r="E6" s="26">
        <f>D6-C6</f>
        <v/>
      </c>
      <c r="F6" s="26">
        <f>SUM(E$6:E6)</f>
        <v/>
      </c>
    </row>
    <row r="7">
      <c r="B7" s="33" t="n">
        <v>46265</v>
      </c>
      <c r="C7" s="13" t="n">
        <v>6016712.810000001</v>
      </c>
      <c r="D7" s="13" t="n">
        <v>6016712.81</v>
      </c>
      <c r="E7" s="28">
        <f>D7-C7</f>
        <v/>
      </c>
      <c r="F7" s="28">
        <f>SUM(E$6:E7)</f>
        <v/>
      </c>
    </row>
    <row r="8">
      <c r="B8" s="32" t="n">
        <v>46295</v>
      </c>
      <c r="C8" s="11" t="n">
        <v>6157489.39</v>
      </c>
      <c r="D8" s="11" t="n">
        <v>6157489.39</v>
      </c>
      <c r="E8" s="26">
        <f>D8-C8</f>
        <v/>
      </c>
      <c r="F8" s="26">
        <f>SUM(E$6:E8)</f>
        <v/>
      </c>
    </row>
    <row r="9">
      <c r="B9" s="33" t="n">
        <v>46326</v>
      </c>
      <c r="C9" s="13" t="n">
        <v>5574857.086143435</v>
      </c>
      <c r="D9" s="13" t="n">
        <v>5574857.08614344</v>
      </c>
      <c r="E9" s="28">
        <f>D9-C9</f>
        <v/>
      </c>
      <c r="F9" s="28">
        <f>SUM(E$6:E9)</f>
        <v/>
      </c>
    </row>
    <row r="10">
      <c r="B10" s="32" t="n">
        <v>46356</v>
      </c>
      <c r="C10" s="11" t="n">
        <v>5760531.967784473</v>
      </c>
      <c r="D10" s="11" t="n">
        <v>5760531.96778447</v>
      </c>
      <c r="E10" s="26">
        <f>D10-C10</f>
        <v/>
      </c>
      <c r="F10" s="26">
        <f>SUM(E$6:E10)</f>
        <v/>
      </c>
    </row>
    <row r="11">
      <c r="B11" s="33" t="n">
        <v>46387</v>
      </c>
      <c r="C11" s="13" t="n">
        <v>5574473.755497202</v>
      </c>
      <c r="D11" s="13" t="n">
        <v>5574473.7554972</v>
      </c>
      <c r="E11" s="28">
        <f>D11-C11</f>
        <v/>
      </c>
      <c r="F11" s="28">
        <f>SUM(E$6:E11)</f>
        <v/>
      </c>
    </row>
    <row r="12">
      <c r="B12" s="32" t="n">
        <v>46418</v>
      </c>
      <c r="C12" s="11" t="n">
        <v>5534797.168556791</v>
      </c>
      <c r="D12" s="11" t="n">
        <v>5534797.16855679</v>
      </c>
      <c r="E12" s="26">
        <f>D12-C12</f>
        <v/>
      </c>
      <c r="F12" s="26">
        <f>SUM(E$6:E12)</f>
        <v/>
      </c>
    </row>
    <row r="13">
      <c r="B13" s="33" t="n">
        <v>46446</v>
      </c>
      <c r="C13" s="13" t="n">
        <v>5535683.109933119</v>
      </c>
      <c r="D13" s="13" t="n">
        <v>5535683.10993312</v>
      </c>
      <c r="E13" s="28">
        <f>D13-C13</f>
        <v/>
      </c>
      <c r="F13" s="28">
        <f>SUM(E$6:E13)</f>
        <v/>
      </c>
    </row>
    <row r="14">
      <c r="B14" s="32" t="n">
        <v>46477</v>
      </c>
      <c r="C14" s="11" t="n">
        <v>5336678.62527082</v>
      </c>
      <c r="D14" s="11" t="n">
        <v>5336678.62527082</v>
      </c>
      <c r="E14" s="26">
        <f>D14-C14</f>
        <v/>
      </c>
      <c r="F14" s="26">
        <f>SUM(E$6:E14)</f>
        <v/>
      </c>
    </row>
    <row r="15">
      <c r="B15" s="33" t="n">
        <v>46507</v>
      </c>
      <c r="C15" s="13" t="n">
        <v>5333537.09308497</v>
      </c>
      <c r="D15" s="13" t="n">
        <v>5333537.09308497</v>
      </c>
      <c r="E15" s="28">
        <f>D15-C15</f>
        <v/>
      </c>
      <c r="F15" s="28">
        <f>SUM(E$6:E15)</f>
        <v/>
      </c>
    </row>
    <row r="16">
      <c r="B16" s="32" t="n">
        <v>46538</v>
      </c>
      <c r="C16" s="11" t="n">
        <v>5159473.894266329</v>
      </c>
      <c r="D16" s="11" t="n">
        <v>5159473.89426633</v>
      </c>
      <c r="E16" s="26">
        <f>D16-C16</f>
        <v/>
      </c>
      <c r="F16" s="26">
        <f>SUM(E$6:E16)</f>
        <v/>
      </c>
    </row>
    <row r="17">
      <c r="B17" s="33" t="n">
        <v>46568</v>
      </c>
      <c r="C17" s="13" t="n">
        <v>5184298.609075577</v>
      </c>
      <c r="D17" s="13" t="n">
        <v>5184298.60907558</v>
      </c>
      <c r="E17" s="28">
        <f>D17-C17</f>
        <v/>
      </c>
      <c r="F17" s="28">
        <f>SUM(E$6:E17)</f>
        <v/>
      </c>
    </row>
    <row r="18">
      <c r="B18" s="32" t="n">
        <v>46599</v>
      </c>
      <c r="C18" s="11" t="n">
        <v>5055142.943580546</v>
      </c>
      <c r="D18" s="11" t="n">
        <v>5055142.94358055</v>
      </c>
      <c r="E18" s="26">
        <f>D18-C18</f>
        <v/>
      </c>
      <c r="F18" s="26">
        <f>SUM(E$6:E18)</f>
        <v/>
      </c>
    </row>
    <row r="19">
      <c r="B19" s="33" t="n">
        <v>46630</v>
      </c>
      <c r="C19" s="13" t="n">
        <v>5139191.030807185</v>
      </c>
      <c r="D19" s="13" t="n">
        <v>5139191.03080719</v>
      </c>
      <c r="E19" s="28">
        <f>D19-C19</f>
        <v/>
      </c>
      <c r="F19" s="28">
        <f>SUM(E$6:E19)</f>
        <v/>
      </c>
    </row>
    <row r="20">
      <c r="B20" s="32" t="n">
        <v>46660</v>
      </c>
      <c r="C20" s="11" t="n">
        <v>5030360.892101658</v>
      </c>
      <c r="D20" s="11" t="n">
        <v>5030360.89210166</v>
      </c>
      <c r="E20" s="26">
        <f>D20-C20</f>
        <v/>
      </c>
      <c r="F20" s="26">
        <f>SUM(E$6:E20)</f>
        <v/>
      </c>
    </row>
    <row r="21">
      <c r="B21" s="33" t="n">
        <v>46691</v>
      </c>
      <c r="C21" s="13" t="n">
        <v>4531510.024312139</v>
      </c>
      <c r="D21" s="13" t="n">
        <v>4531510.02431214</v>
      </c>
      <c r="E21" s="28">
        <f>D21-C21</f>
        <v/>
      </c>
      <c r="F21" s="28">
        <f>SUM(E$6:E21)</f>
        <v/>
      </c>
    </row>
    <row r="22">
      <c r="B22" s="32" t="n">
        <v>46721</v>
      </c>
      <c r="C22" s="11" t="n">
        <v>4551431.69057238</v>
      </c>
      <c r="D22" s="11" t="n">
        <v>4551431.69057238</v>
      </c>
      <c r="E22" s="26">
        <f>D22-C22</f>
        <v/>
      </c>
      <c r="F22" s="26">
        <f>SUM(E$6:E22)</f>
        <v/>
      </c>
    </row>
    <row r="23">
      <c r="B23" s="33" t="n">
        <v>46752</v>
      </c>
      <c r="C23" s="13" t="n">
        <v>4390833.000334065</v>
      </c>
      <c r="D23" s="13" t="n">
        <v>4390833.00033407</v>
      </c>
      <c r="E23" s="28">
        <f>D23-C23</f>
        <v/>
      </c>
      <c r="F23" s="28">
        <f>SUM(E$6:E23)</f>
        <v/>
      </c>
    </row>
    <row r="24">
      <c r="B24" s="32" t="n">
        <v>46783</v>
      </c>
      <c r="C24" s="11" t="n">
        <v>4526599.020567959</v>
      </c>
      <c r="D24" s="11" t="n">
        <v>4526599.02056796</v>
      </c>
      <c r="E24" s="26">
        <f>D24-C24</f>
        <v/>
      </c>
      <c r="F24" s="26">
        <f>SUM(E$6:E24)</f>
        <v/>
      </c>
    </row>
    <row r="25">
      <c r="B25" s="33" t="n">
        <v>46812</v>
      </c>
      <c r="C25" s="13" t="n">
        <v>4052563.643168496</v>
      </c>
      <c r="D25" s="13" t="n">
        <v>4052563.6431685</v>
      </c>
      <c r="E25" s="28">
        <f>D25-C25</f>
        <v/>
      </c>
      <c r="F25" s="28">
        <f>SUM(E$6:E25)</f>
        <v/>
      </c>
    </row>
    <row r="26">
      <c r="B26" s="32" t="n">
        <v>46843</v>
      </c>
      <c r="C26" s="11" t="n">
        <v>4113463.778576412</v>
      </c>
      <c r="D26" s="11" t="n">
        <v>4113463.77857641</v>
      </c>
      <c r="E26" s="26">
        <f>D26-C26</f>
        <v/>
      </c>
      <c r="F26" s="26">
        <f>SUM(E$6:E26)</f>
        <v/>
      </c>
    </row>
    <row r="27">
      <c r="B27" s="33" t="n">
        <v>46873</v>
      </c>
      <c r="C27" s="13" t="n">
        <v>4064611.826985132</v>
      </c>
      <c r="D27" s="13" t="n">
        <v>4064611.82698513</v>
      </c>
      <c r="E27" s="28">
        <f>D27-C27</f>
        <v/>
      </c>
      <c r="F27" s="28">
        <f>SUM(E$6:E27)</f>
        <v/>
      </c>
    </row>
    <row r="28">
      <c r="B28" s="32" t="n">
        <v>46904</v>
      </c>
      <c r="C28" s="11" t="n">
        <v>3874221.763106551</v>
      </c>
      <c r="D28" s="11" t="n">
        <v>3874221.76310655</v>
      </c>
      <c r="E28" s="26">
        <f>D28-C28</f>
        <v/>
      </c>
      <c r="F28" s="26">
        <f>SUM(E$6:E28)</f>
        <v/>
      </c>
    </row>
    <row r="29">
      <c r="B29" s="33" t="n">
        <v>46934</v>
      </c>
      <c r="C29" s="13" t="n">
        <v>4004902.992785411</v>
      </c>
      <c r="D29" s="13" t="n">
        <v>4004902.99278541</v>
      </c>
      <c r="E29" s="28">
        <f>D29-C29</f>
        <v/>
      </c>
      <c r="F29" s="28">
        <f>SUM(E$6:E29)</f>
        <v/>
      </c>
    </row>
    <row r="30">
      <c r="B30" s="32" t="n">
        <v>46965</v>
      </c>
      <c r="C30" s="11" t="n">
        <v>3873226.713857046</v>
      </c>
      <c r="D30" s="11" t="n">
        <v>3873226.71385705</v>
      </c>
      <c r="E30" s="26">
        <f>D30-C30</f>
        <v/>
      </c>
      <c r="F30" s="26">
        <f>SUM(E$6:E30)</f>
        <v/>
      </c>
    </row>
    <row r="31">
      <c r="B31" s="33" t="n">
        <v>46996</v>
      </c>
      <c r="C31" s="13" t="n">
        <v>3889834.321693929</v>
      </c>
      <c r="D31" s="13" t="n">
        <v>3889834.32169393</v>
      </c>
      <c r="E31" s="28">
        <f>D31-C31</f>
        <v/>
      </c>
      <c r="F31" s="28">
        <f>SUM(E$6:E31)</f>
        <v/>
      </c>
    </row>
    <row r="32">
      <c r="B32" s="32" t="n">
        <v>47026</v>
      </c>
      <c r="C32" s="11" t="n">
        <v>3753713.838826822</v>
      </c>
      <c r="D32" s="11" t="n">
        <v>3753713.83882682</v>
      </c>
      <c r="E32" s="26">
        <f>D32-C32</f>
        <v/>
      </c>
      <c r="F32" s="26">
        <f>SUM(E$6:E32)</f>
        <v/>
      </c>
    </row>
    <row r="33">
      <c r="B33" s="33" t="n">
        <v>47057</v>
      </c>
      <c r="C33" s="13" t="n">
        <v>2824996.275654159</v>
      </c>
      <c r="D33" s="13" t="n">
        <v>2824996.27565416</v>
      </c>
      <c r="E33" s="28">
        <f>D33-C33</f>
        <v/>
      </c>
      <c r="F33" s="28">
        <f>SUM(E$6:E33)</f>
        <v/>
      </c>
    </row>
    <row r="34">
      <c r="B34" s="32" t="n">
        <v>47087</v>
      </c>
      <c r="C34" s="11" t="n">
        <v>2814181.460214374</v>
      </c>
      <c r="D34" s="11" t="n">
        <v>2814181.46021437</v>
      </c>
      <c r="E34" s="26">
        <f>D34-C34</f>
        <v/>
      </c>
      <c r="F34" s="26">
        <f>SUM(E$6:E34)</f>
        <v/>
      </c>
    </row>
    <row r="35">
      <c r="B35" s="33" t="n">
        <v>47118</v>
      </c>
      <c r="C35" s="13" t="n">
        <v>2640443.974650396</v>
      </c>
      <c r="D35" s="13" t="n">
        <v>2640443.9746504</v>
      </c>
      <c r="E35" s="28">
        <f>D35-C35</f>
        <v/>
      </c>
      <c r="F35" s="28">
        <f>SUM(E$6:E35)</f>
        <v/>
      </c>
    </row>
    <row r="36">
      <c r="B36" s="32" t="n">
        <v>47149</v>
      </c>
      <c r="C36" s="11" t="n">
        <v>2434258.091286065</v>
      </c>
      <c r="D36" s="11" t="n">
        <v>2434258.09128607</v>
      </c>
      <c r="E36" s="26">
        <f>D36-C36</f>
        <v/>
      </c>
      <c r="F36" s="26">
        <f>SUM(E$6:E36)</f>
        <v/>
      </c>
    </row>
    <row r="37">
      <c r="B37" s="33" t="n">
        <v>47177</v>
      </c>
      <c r="C37" s="13" t="n">
        <v>2384317.349093925</v>
      </c>
      <c r="D37" s="13" t="n">
        <v>2384317.34909392</v>
      </c>
      <c r="E37" s="28">
        <f>D37-C37</f>
        <v/>
      </c>
      <c r="F37" s="28">
        <f>SUM(E$6:E37)</f>
        <v/>
      </c>
    </row>
    <row r="38">
      <c r="B38" s="32" t="n">
        <v>47208</v>
      </c>
      <c r="C38" s="11" t="n">
        <v>2505302.648957251</v>
      </c>
      <c r="D38" s="11" t="n">
        <v>2505302.64895725</v>
      </c>
      <c r="E38" s="26">
        <f>D38-C38</f>
        <v/>
      </c>
      <c r="F38" s="26">
        <f>SUM(E$6:E38)</f>
        <v/>
      </c>
    </row>
    <row r="39">
      <c r="B39" s="33" t="n">
        <v>47238</v>
      </c>
      <c r="C39" s="13" t="n">
        <v>2336981.394666116</v>
      </c>
      <c r="D39" s="13" t="n">
        <v>2336981.39466612</v>
      </c>
      <c r="E39" s="28">
        <f>D39-C39</f>
        <v/>
      </c>
      <c r="F39" s="28">
        <f>SUM(E$6:E39)</f>
        <v/>
      </c>
    </row>
    <row r="40">
      <c r="B40" s="32" t="n">
        <v>47269</v>
      </c>
      <c r="C40" s="11" t="n">
        <v>2158682.712831172</v>
      </c>
      <c r="D40" s="11" t="n">
        <v>2158682.71283117</v>
      </c>
      <c r="E40" s="26">
        <f>D40-C40</f>
        <v/>
      </c>
      <c r="F40" s="26">
        <f>SUM(E$6:E40)</f>
        <v/>
      </c>
    </row>
    <row r="41">
      <c r="B41" s="33" t="n">
        <v>47299</v>
      </c>
      <c r="C41" s="13" t="n">
        <v>65068934.91340194</v>
      </c>
      <c r="D41" s="13" t="n">
        <v>65068934.9134019</v>
      </c>
      <c r="E41" s="28">
        <f>D41-C41</f>
        <v/>
      </c>
      <c r="F41" s="28">
        <f>SUM(E$6:E41)</f>
        <v/>
      </c>
    </row>
    <row r="42">
      <c r="B42" s="32" t="n">
        <v>47330</v>
      </c>
      <c r="C42" s="11" t="n">
        <v>27511828.89898666</v>
      </c>
      <c r="D42" s="11" t="n">
        <v>27511828.8989867</v>
      </c>
      <c r="E42" s="26">
        <f>D42-C42</f>
        <v/>
      </c>
      <c r="F42" s="26">
        <f>SUM(E$6:E42)</f>
        <v/>
      </c>
    </row>
    <row r="43">
      <c r="B43" s="33" t="n">
        <v>47361</v>
      </c>
      <c r="C43" s="13" t="n">
        <v>24819687.661879</v>
      </c>
      <c r="D43" s="13" t="n">
        <v>24819687.661879</v>
      </c>
      <c r="E43" s="28">
        <f>D43-C43</f>
        <v/>
      </c>
      <c r="F43" s="28">
        <f>SUM(E$6:E43)</f>
        <v/>
      </c>
    </row>
    <row r="44">
      <c r="B44" s="32" t="n">
        <v>47391</v>
      </c>
      <c r="C44" s="11" t="n">
        <v>1834322.982251928</v>
      </c>
      <c r="D44" s="11" t="n">
        <v>1834322.98225193</v>
      </c>
      <c r="E44" s="26">
        <f>D44-C44</f>
        <v/>
      </c>
      <c r="F44" s="26">
        <f>SUM(E$6:E44)</f>
        <v/>
      </c>
    </row>
    <row r="45">
      <c r="B45" s="33" t="n">
        <v>47422</v>
      </c>
      <c r="C45" s="13" t="n">
        <v>11011430.14724394</v>
      </c>
      <c r="D45" s="13" t="n">
        <v>11011430.1472439</v>
      </c>
      <c r="E45" s="28">
        <f>D45-C45</f>
        <v/>
      </c>
      <c r="F45" s="28">
        <f>SUM(E$6:E45)</f>
        <v/>
      </c>
    </row>
    <row r="46">
      <c r="B46" s="32" t="n">
        <v>47452</v>
      </c>
      <c r="C46" s="11" t="n">
        <v>32281883.24758337</v>
      </c>
      <c r="D46" s="11" t="n">
        <v>32281883.2475834</v>
      </c>
      <c r="E46" s="26">
        <f>D46-C46</f>
        <v/>
      </c>
      <c r="F46" s="26">
        <f>SUM(E$6:E46)</f>
        <v/>
      </c>
    </row>
    <row r="47">
      <c r="B47" s="33" t="n">
        <v>47483</v>
      </c>
      <c r="C47" s="13" t="n">
        <v>1619107.841945015</v>
      </c>
      <c r="D47" s="13" t="n">
        <v>1619107.84194502</v>
      </c>
      <c r="E47" s="28">
        <f>D47-C47</f>
        <v/>
      </c>
      <c r="F47" s="28">
        <f>SUM(E$6:E47)</f>
        <v/>
      </c>
    </row>
    <row r="48">
      <c r="B48" s="32" t="n">
        <v>47514</v>
      </c>
      <c r="C48" s="11" t="n">
        <v>1584632.695179061</v>
      </c>
      <c r="D48" s="11" t="n">
        <v>1584632.69517906</v>
      </c>
      <c r="E48" s="26">
        <f>D48-C48</f>
        <v/>
      </c>
      <c r="F48" s="26">
        <f>SUM(E$6:E48)</f>
        <v/>
      </c>
    </row>
    <row r="49">
      <c r="B49" s="33" t="n">
        <v>47542</v>
      </c>
      <c r="C49" s="13" t="n">
        <v>9826770.936997622</v>
      </c>
      <c r="D49" s="13" t="n">
        <v>9826770.93699762</v>
      </c>
      <c r="E49" s="28">
        <f>D49-C49</f>
        <v/>
      </c>
      <c r="F49" s="28">
        <f>SUM(E$6:E49)</f>
        <v/>
      </c>
    </row>
    <row r="50">
      <c r="B50" s="32" t="n">
        <v>47573</v>
      </c>
      <c r="C50" s="11" t="n">
        <v>22884386.38851025</v>
      </c>
      <c r="D50" s="11" t="n">
        <v>22884386.3885103</v>
      </c>
      <c r="E50" s="26">
        <f>D50-C50</f>
        <v/>
      </c>
      <c r="F50" s="26">
        <f>SUM(E$6:E50)</f>
        <v/>
      </c>
    </row>
    <row r="51">
      <c r="B51" s="33" t="n">
        <v>47603</v>
      </c>
      <c r="C51" s="13" t="n">
        <v>1499221.560835197</v>
      </c>
      <c r="D51" s="13" t="n">
        <v>1499221.56083518</v>
      </c>
      <c r="E51" s="28">
        <f>D51-C51</f>
        <v/>
      </c>
      <c r="F51" s="28">
        <f>SUM(E$6:E51)</f>
        <v/>
      </c>
    </row>
    <row r="52">
      <c r="B52" s="32" t="n">
        <v>47634</v>
      </c>
      <c r="C52" s="11" t="n">
        <v>1404639.339864938</v>
      </c>
      <c r="D52" s="11" t="n">
        <v>1437105.9206329</v>
      </c>
      <c r="E52" s="26">
        <f>D52-C52</f>
        <v/>
      </c>
      <c r="F52" s="26">
        <f>SUM(E$6:E52)</f>
        <v/>
      </c>
    </row>
    <row r="53">
      <c r="B53" s="33" t="n">
        <v>47664</v>
      </c>
      <c r="C53" s="13" t="n">
        <v>1445477.429360614</v>
      </c>
      <c r="D53" s="13" t="n">
        <v>1479026.22948751</v>
      </c>
      <c r="E53" s="28">
        <f>D53-C53</f>
        <v/>
      </c>
      <c r="F53" s="28">
        <f>SUM(E$6:E53)</f>
        <v/>
      </c>
    </row>
    <row r="54">
      <c r="B54" s="32" t="n">
        <v>47695</v>
      </c>
      <c r="C54" s="11" t="n">
        <v>1457796.050961532</v>
      </c>
      <c r="D54" s="11" t="n">
        <v>1490262.6317295</v>
      </c>
      <c r="E54" s="26">
        <f>D54-C54</f>
        <v/>
      </c>
      <c r="F54" s="26">
        <f>SUM(E$6:E54)</f>
        <v/>
      </c>
    </row>
    <row r="55">
      <c r="B55" s="33" t="n">
        <v>47726</v>
      </c>
      <c r="C55" s="13" t="n">
        <v>10046991.48017704</v>
      </c>
      <c r="D55" s="13" t="n">
        <v>10080540.2803039</v>
      </c>
      <c r="E55" s="28">
        <f>D55-C55</f>
        <v/>
      </c>
      <c r="F55" s="28">
        <f>SUM(E$6:E55)</f>
        <v/>
      </c>
    </row>
    <row r="56">
      <c r="B56" s="32" t="n">
        <v>47756</v>
      </c>
      <c r="C56" s="11" t="n">
        <v>33603570.17815284</v>
      </c>
      <c r="D56" s="11" t="n">
        <v>33637231.4675878</v>
      </c>
      <c r="E56" s="26">
        <f>D56-C56</f>
        <v/>
      </c>
      <c r="F56" s="26">
        <f>SUM(E$6:E56)</f>
        <v/>
      </c>
    </row>
    <row r="57">
      <c r="B57" s="33" t="n">
        <v>47787</v>
      </c>
      <c r="C57" s="13" t="n">
        <v>111469825.9569458</v>
      </c>
      <c r="D57" s="13" t="n">
        <v>111502401.398334</v>
      </c>
      <c r="E57" s="28">
        <f>D57-C57</f>
        <v/>
      </c>
      <c r="F57" s="28">
        <f>SUM(E$6:E57)</f>
        <v/>
      </c>
    </row>
    <row r="58">
      <c r="B58" s="32" t="n">
        <v>47817</v>
      </c>
      <c r="C58" s="11" t="n">
        <v>11645988.74020528</v>
      </c>
      <c r="D58" s="11" t="n">
        <v>11679817.0516118</v>
      </c>
      <c r="E58" s="26">
        <f>D58-C58</f>
        <v/>
      </c>
      <c r="F58" s="26">
        <f>SUM(E$6:E58)</f>
        <v/>
      </c>
    </row>
    <row r="59">
      <c r="B59" s="33" t="n">
        <v>47848</v>
      </c>
      <c r="C59" s="13" t="n">
        <v>9700047.911806086</v>
      </c>
      <c r="D59" s="13" t="n">
        <v>9732887.803383781</v>
      </c>
      <c r="E59" s="28">
        <f>D59-C59</f>
        <v/>
      </c>
      <c r="F59" s="28">
        <f>SUM(E$6:E59)</f>
        <v/>
      </c>
    </row>
    <row r="60">
      <c r="B60" s="32" t="n">
        <v>47879</v>
      </c>
      <c r="C60" s="11" t="n">
        <v>749793.788221651</v>
      </c>
      <c r="D60" s="11" t="n">
        <v>782633.679799343</v>
      </c>
      <c r="E60" s="26">
        <f>D60-C60</f>
        <v/>
      </c>
      <c r="F60" s="26">
        <f>SUM(E$6:E60)</f>
        <v/>
      </c>
    </row>
    <row r="61">
      <c r="B61" s="33" t="n">
        <v>47907</v>
      </c>
      <c r="C61" s="13" t="n">
        <v>30267846.8027897</v>
      </c>
      <c r="D61" s="13" t="n">
        <v>30300686.6943674</v>
      </c>
      <c r="E61" s="28">
        <f>D61-C61</f>
        <v/>
      </c>
      <c r="F61" s="28">
        <f>SUM(E$6:E61)</f>
        <v/>
      </c>
    </row>
    <row r="62">
      <c r="B62" s="32" t="n">
        <v>47938</v>
      </c>
      <c r="C62" s="11" t="n">
        <v>48429262.60694445</v>
      </c>
      <c r="D62" s="11" t="n">
        <v>48462102.4985222</v>
      </c>
      <c r="E62" s="26">
        <f>D62-C62</f>
        <v/>
      </c>
      <c r="F62" s="26">
        <f>SUM(E$6:E62)</f>
        <v/>
      </c>
    </row>
    <row r="63">
      <c r="B63" s="33" t="n">
        <v>47968</v>
      </c>
      <c r="C63" s="13" t="n">
        <v>551085.294883568</v>
      </c>
      <c r="D63" s="13" t="n">
        <v>585075.560701791</v>
      </c>
      <c r="E63" s="28">
        <f>D63-C63</f>
        <v/>
      </c>
      <c r="F63" s="28">
        <f>SUM(E$6:E63)</f>
        <v/>
      </c>
    </row>
    <row r="64">
      <c r="B64" s="32" t="n">
        <v>47999</v>
      </c>
      <c r="C64" s="11" t="n">
        <v>33060814.73585287</v>
      </c>
      <c r="D64" s="11" t="n">
        <v>33094127.3580266</v>
      </c>
      <c r="E64" s="26">
        <f>D64-C64</f>
        <v/>
      </c>
      <c r="F64" s="26">
        <f>SUM(E$6:E64)</f>
        <v/>
      </c>
    </row>
    <row r="65">
      <c r="B65" s="33" t="n">
        <v>48029</v>
      </c>
      <c r="C65" s="13" t="n">
        <v>15734045.25246481</v>
      </c>
      <c r="D65" s="13" t="n">
        <v>15768592.062225</v>
      </c>
      <c r="E65" s="28">
        <f>D65-C65</f>
        <v/>
      </c>
      <c r="F65" s="28">
        <f>SUM(E$6:E65)</f>
        <v/>
      </c>
    </row>
    <row r="66">
      <c r="B66" s="32" t="n">
        <v>48060</v>
      </c>
      <c r="C66" s="11" t="n">
        <v>12416300.81849677</v>
      </c>
      <c r="D66" s="11" t="n">
        <v>12449733.2150388</v>
      </c>
      <c r="E66" s="26">
        <f>D66-C66</f>
        <v/>
      </c>
      <c r="F66" s="26">
        <f>SUM(E$6:E66)</f>
        <v/>
      </c>
    </row>
    <row r="67">
      <c r="B67" s="33" t="n">
        <v>48091</v>
      </c>
      <c r="C67" s="13" t="n">
        <v>273808.483116883</v>
      </c>
      <c r="D67" s="13" t="n">
        <v>308355.292877034</v>
      </c>
      <c r="E67" s="28">
        <f>D67-C67</f>
        <v/>
      </c>
      <c r="F67" s="28">
        <f>SUM(E$6:E67)</f>
        <v/>
      </c>
    </row>
    <row r="68">
      <c r="B68" s="32" t="n">
        <v>48121</v>
      </c>
      <c r="C68" s="11" t="n">
        <v>273808.483116883</v>
      </c>
      <c r="D68" s="11" t="n">
        <v>308355.292877034</v>
      </c>
      <c r="E68" s="26">
        <f>D68-C68</f>
        <v/>
      </c>
      <c r="F68" s="26">
        <f>SUM(E$6:E68)</f>
        <v/>
      </c>
    </row>
    <row r="69">
      <c r="B69" s="33" t="n">
        <v>48152</v>
      </c>
      <c r="C69" s="13" t="n">
        <v>264975.951403434</v>
      </c>
      <c r="D69" s="13" t="n">
        <v>298408.347945516</v>
      </c>
      <c r="E69" s="28">
        <f>D69-C69</f>
        <v/>
      </c>
      <c r="F69" s="28">
        <f>SUM(E$6:E69)</f>
        <v/>
      </c>
    </row>
    <row r="70">
      <c r="B70" s="32" t="n">
        <v>48182</v>
      </c>
      <c r="C70" s="11" t="n">
        <v>20166108.4647037</v>
      </c>
      <c r="D70" s="11" t="n">
        <v>25488710.6161421</v>
      </c>
      <c r="E70" s="26">
        <f>D70-C70</f>
        <v/>
      </c>
      <c r="F70" s="26">
        <f>SUM(E$6:E70)</f>
        <v/>
      </c>
    </row>
    <row r="71">
      <c r="B71" s="33" t="n">
        <v>48213</v>
      </c>
      <c r="C71" s="13" t="n">
        <v>145594.432682809</v>
      </c>
      <c r="D71" s="13" t="n">
        <v>157606.25625</v>
      </c>
      <c r="E71" s="28">
        <f>D71-C71</f>
        <v/>
      </c>
      <c r="F71" s="28">
        <f>SUM(E$6:E71)</f>
        <v/>
      </c>
    </row>
    <row r="72">
      <c r="B72" s="32" t="n">
        <v>48244</v>
      </c>
      <c r="C72" s="11" t="n">
        <v>7410643.451364602</v>
      </c>
      <c r="D72" s="11" t="n">
        <v>7423055.6690507</v>
      </c>
      <c r="E72" s="26">
        <f>D72-C72</f>
        <v/>
      </c>
      <c r="F72" s="26">
        <f>SUM(E$6:E72)</f>
        <v/>
      </c>
    </row>
    <row r="73">
      <c r="B73" s="33" t="n">
        <v>48273</v>
      </c>
      <c r="C73" s="13" t="n">
        <v>34344512.95333005</v>
      </c>
      <c r="D73" s="13" t="n">
        <v>34356524.7768973</v>
      </c>
      <c r="E73" s="28">
        <f>D73-C73</f>
        <v/>
      </c>
      <c r="F73" s="28">
        <f>SUM(E$6:E73)</f>
        <v/>
      </c>
    </row>
    <row r="74">
      <c r="B74" s="32" t="n">
        <v>48304</v>
      </c>
      <c r="C74" s="11" t="n">
        <v>146521.528307809</v>
      </c>
      <c r="D74" s="11" t="n">
        <v>158533.351875</v>
      </c>
      <c r="E74" s="26">
        <f>D74-C74</f>
        <v/>
      </c>
      <c r="F74" s="26">
        <f>SUM(E$6:E74)</f>
        <v/>
      </c>
    </row>
    <row r="75">
      <c r="B75" s="33" t="n">
        <v>48334</v>
      </c>
      <c r="C75" s="13" t="n">
        <v>150447.580438902</v>
      </c>
      <c r="D75" s="13" t="n">
        <v>162859.798125</v>
      </c>
      <c r="E75" s="28">
        <f>D75-C75</f>
        <v/>
      </c>
      <c r="F75" s="28">
        <f>SUM(E$6:E75)</f>
        <v/>
      </c>
    </row>
    <row r="76">
      <c r="B76" s="32" t="n">
        <v>48365</v>
      </c>
      <c r="C76" s="11" t="n">
        <v>35120403.99305794</v>
      </c>
      <c r="D76" s="11" t="n">
        <v>38047606.25625</v>
      </c>
      <c r="E76" s="26">
        <f>D76-C76</f>
        <v/>
      </c>
      <c r="F76" s="26">
        <f>SUM(E$6:E76)</f>
        <v/>
      </c>
    </row>
    <row r="77">
      <c r="B77" s="29" t="inlineStr">
        <is>
          <t>Total</t>
        </is>
      </c>
      <c r="C77" s="30">
        <f>SUM(C6:C76)</f>
        <v/>
      </c>
      <c r="D77" s="30">
        <f>SUM(D6:D76)</f>
        <v/>
      </c>
      <c r="E77" s="30">
        <f>SUM(E6:E76)</f>
        <v/>
      </c>
      <c r="F77" s="3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2026-10-11T18:54:24Z</dcterms:created>
  <dcterms:modified xmlns:dcterms="http://purl.org/dc/terms/" xmlns:xsi="http://www.w3.org/2001/XMLSchema-instance" xsi:type="dcterms:W3CDTF">2026-10-11T18:54:35Z</dcterms:modified>
</cp:coreProperties>
</file>