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510" yWindow="-110" windowWidth="38620" windowHeight="21100" tabRatio="600" firstSheet="0" activeTab="3" autoFilterDateGrouping="1"/>
  </bookViews>
  <sheets>
    <sheet name="Cover" sheetId="1" state="visible" r:id="rId1"/>
    <sheet name="Development Costs" sheetId="2" state="visible" r:id="rId2"/>
    <sheet name="TAM" sheetId="3" state="visible" r:id="rId3"/>
    <sheet name="Public Comps" sheetId="4" state="visible" r:id="rId4"/>
    <sheet name="Private Comps" sheetId="5" state="visible" r:id="rId5"/>
  </sheets>
  <definedNames>
    <definedName name="Additions_2026_2030">TAM!$K$18</definedName>
    <definedName name="Cum_Shortfall_2030">TAM!$K$40</definedName>
    <definedName name="Frontier_Cost_Per_MW">'Private Comps'!$I$17</definedName>
    <definedName name="Installed_2030">TAM!$K$18</definedName>
    <definedName name="Prelease_H1_2026">TAM!$F$10</definedName>
    <definedName name="Vacancy_H1_2026">TAM!$F$9</definedName>
    <definedName name="_xlnm.Print_Area" localSheetId="0">'Cover'!$A$1:$M$26</definedName>
    <definedName name="_xlnm.Print_Area" localSheetId="1">'Development Costs'!$B$2:$F$14</definedName>
    <definedName name="_xlnm.Print_Area" localSheetId="2">'TAM'!$B$2:$Q$41</definedName>
    <definedName name="_xlnm.Print_Area" localSheetId="3">'Public Comps'!$B$2:$P$17</definedName>
    <definedName name="_xlnm.Print_Area" localSheetId="4">'Private Comps'!$B$2:$M$21</definedName>
  </definedNames>
  <calcPr calcId="191029" calcMode="autoNoTable" fullCalcOnLoad="1"/>
</workbook>
</file>

<file path=xl/styles.xml><?xml version="1.0" encoding="utf-8"?>
<styleSheet xmlns="http://schemas.openxmlformats.org/spreadsheetml/2006/main">
  <numFmts count="12">
    <numFmt numFmtId="164" formatCode="0.0%;\(0.0%\);\-"/>
    <numFmt numFmtId="165" formatCode="#,##0&quot; bps&quot;;\(#,##0\)&quot; bps&quot;;&quot;-&quot;"/>
    <numFmt numFmtId="166" formatCode="#,##0.0;\(#,##0.0\);&quot;-&quot;"/>
    <numFmt numFmtId="167" formatCode="\$#,##0;\(\$#,##0\);\-"/>
    <numFmt numFmtId="168" formatCode="&quot;$&quot;#,##0.0;&quot;$&quot;\(0.0\);&quot;-&quot;"/>
    <numFmt numFmtId="169" formatCode="0.0&quot;x&quot;"/>
    <numFmt numFmtId="170" formatCode="_(&quot;$&quot;* #,##0.00_);_(&quot;$&quot;* \(#,##0.00\);_(&quot;$&quot;* &quot;-&quot;??_);_(@_)"/>
    <numFmt numFmtId="171" formatCode="&quot;$&quot;#,##0;\(&quot;$&quot;#,##0\);\-"/>
    <numFmt numFmtId="172" formatCode="#\ &quot; MW Site&quot;"/>
    <numFmt numFmtId="173" formatCode="#,##0;\(#,##0\);&quot;-&quot;"/>
    <numFmt numFmtId="174" formatCode="&quot;$&quot;#,##0.0;&quot;$&quot;(0.0);&quot;-&quot;"/>
    <numFmt numFmtId="175" formatCode="#,##0.0;(#,##0.0);&quot;-&quot;"/>
  </numFmts>
  <fonts count="23">
    <font>
      <name val="Calibri"/>
      <family val="2"/>
      <color theme="1"/>
      <sz val="11"/>
      <scheme val="minor"/>
    </font>
    <font>
      <name val="Calibri"/>
      <family val="2"/>
      <b val="1"/>
      <color rgb="FFFFFFFF"/>
      <sz val="10"/>
    </font>
    <font>
      <name val="Calibri"/>
      <family val="2"/>
      <b val="1"/>
      <color rgb="FF000000"/>
      <sz val="10"/>
    </font>
    <font>
      <name val="Calibri"/>
      <family val="2"/>
      <color rgb="FF000000"/>
      <sz val="10"/>
    </font>
    <font>
      <name val="Calibri"/>
      <family val="2"/>
      <i val="1"/>
      <color rgb="FF808080"/>
      <sz val="7"/>
    </font>
    <font>
      <name val="Calibri"/>
      <family val="2"/>
      <color rgb="FF808080"/>
      <sz val="7"/>
    </font>
    <font>
      <name val="Calibri"/>
      <family val="2"/>
      <color rgb="FF0000FF"/>
      <sz val="10"/>
    </font>
    <font>
      <name val="Calibri"/>
      <family val="2"/>
      <b val="1"/>
      <color rgb="FF0000FF"/>
      <sz val="10"/>
    </font>
    <font>
      <name val="Calibri"/>
      <family val="2"/>
      <b val="1"/>
      <color rgb="FFFFFFFF"/>
      <sz val="20"/>
    </font>
    <font>
      <name val="Calibri"/>
      <family val="2"/>
      <color rgb="FFFFFFFF"/>
      <sz val="12"/>
    </font>
    <font>
      <name val="Calibri"/>
      <family val="2"/>
      <color rgb="FFD9E1F2"/>
      <sz val="10"/>
    </font>
    <font>
      <name val="Calibri"/>
      <family val="2"/>
      <color rgb="FF9AA0A8"/>
      <sz val="7"/>
    </font>
    <font>
      <name val="Calibri"/>
      <family val="2"/>
      <b val="1"/>
      <color theme="1"/>
      <sz val="11"/>
      <scheme val="minor"/>
    </font>
    <font>
      <name val="Calibri"/>
      <family val="2"/>
      <b val="1"/>
      <color theme="0"/>
      <sz val="11"/>
      <u val="singleAccounting"/>
      <scheme val="minor"/>
    </font>
    <font>
      <name val="Calibri"/>
      <family val="2"/>
      <b val="1"/>
      <color theme="1"/>
      <sz val="11"/>
      <u val="single"/>
      <scheme val="minor"/>
    </font>
    <font>
      <name val="Calibri"/>
      <family val="2"/>
      <color rgb="FF0000FF"/>
      <sz val="11"/>
      <scheme val="minor"/>
    </font>
    <font>
      <name val="Calibri"/>
      <family val="2"/>
      <color rgb="FF000000"/>
      <sz val="11"/>
      <scheme val="minor"/>
    </font>
    <font>
      <name val="Calibri"/>
      <family val="2"/>
      <b val="1"/>
      <color rgb="FF808080"/>
      <sz val="7"/>
    </font>
    <font>
      <name val="Calibri"/>
      <family val="2"/>
      <color rgb="FF0C1C2D"/>
      <sz val="10"/>
    </font>
    <font>
      <name val="Calibri"/>
      <color rgb="00008000"/>
      <sz val="10"/>
    </font>
    <font>
      <name val="Calibri"/>
      <color rgb="00000000"/>
      <sz val="10"/>
    </font>
    <font>
      <name val="Calibri"/>
      <i val="1"/>
      <color rgb="00808080"/>
      <sz val="7"/>
    </font>
    <font>
      <name val="Calibri"/>
      <color rgb="00808080"/>
      <sz val="7"/>
    </font>
  </fonts>
  <fills count="7">
    <fill>
      <patternFill/>
    </fill>
    <fill>
      <patternFill patternType="gray125"/>
    </fill>
    <fill>
      <patternFill patternType="solid">
        <fgColor rgb="FF0F2F51"/>
      </patternFill>
    </fill>
    <fill>
      <patternFill patternType="solid">
        <fgColor rgb="FFD9E1F2"/>
      </patternFill>
    </fill>
    <fill>
      <patternFill patternType="solid">
        <fgColor rgb="FFF2F2F2"/>
      </patternFill>
    </fill>
    <fill>
      <patternFill patternType="solid">
        <fgColor rgb="FF0F2F51"/>
        <bgColor indexed="64"/>
      </patternFill>
    </fill>
    <fill>
      <patternFill patternType="solid">
        <fgColor theme="0" tint="-0.0499893185216834"/>
        <bgColor indexed="64"/>
      </patternFill>
    </fill>
  </fills>
  <borders count="22">
    <border>
      <left/>
      <right/>
      <top/>
      <bottom/>
      <diagonal/>
    </border>
    <border>
      <left/>
      <right/>
      <top/>
      <bottom style="thin">
        <color rgb="FF000000"/>
      </bottom>
      <diagonal/>
    </border>
    <border>
      <left style="dotted">
        <color rgb="FF808080"/>
      </left>
      <right style="dotted">
        <color rgb="FF808080"/>
      </right>
      <top style="dotted">
        <color rgb="FF808080"/>
      </top>
      <bottom style="dotted">
        <color rgb="FF808080"/>
      </bottom>
      <diagonal/>
    </border>
    <border>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tted">
        <color rgb="FF808080"/>
      </left>
      <right style="dotted">
        <color rgb="FF808080"/>
      </right>
      <top style="dotted">
        <color rgb="FF808080"/>
      </top>
      <bottom/>
      <diagonal/>
    </border>
    <border>
      <left style="mediumDashed">
        <color rgb="FFFF0000"/>
      </left>
      <right/>
      <top style="mediumDashed">
        <color rgb="FFFF0000"/>
      </top>
      <bottom style="mediumDashed">
        <color rgb="FFFF0000"/>
      </bottom>
      <diagonal/>
    </border>
    <border>
      <left/>
      <right/>
      <top style="mediumDashed">
        <color rgb="FFFF0000"/>
      </top>
      <bottom style="mediumDashed">
        <color rgb="FFFF0000"/>
      </bottom>
      <diagonal/>
    </border>
    <border>
      <left style="dotted">
        <color rgb="FF808080"/>
      </left>
      <right style="dotted">
        <color rgb="FF808080"/>
      </right>
      <top style="mediumDashed">
        <color rgb="FFFF0000"/>
      </top>
      <bottom style="mediumDashed">
        <color rgb="FFFF0000"/>
      </bottom>
      <diagonal/>
    </border>
    <border>
      <left/>
      <right style="mediumDashed">
        <color rgb="FFFF0000"/>
      </right>
      <top style="mediumDashed">
        <color rgb="FFFF0000"/>
      </top>
      <bottom style="mediumDashed">
        <color rgb="FFFF0000"/>
      </bottom>
      <diagonal/>
    </border>
    <border>
      <left style="dotted">
        <color rgb="00808080"/>
      </left>
      <right style="dotted">
        <color rgb="00808080"/>
      </right>
      <top style="dotted">
        <color rgb="00808080"/>
      </top>
      <bottom style="dotted">
        <color rgb="00808080"/>
      </bottom>
    </border>
    <border/>
  </borders>
  <cellStyleXfs count="1">
    <xf numFmtId="0" fontId="0" fillId="0" borderId="0"/>
  </cellStyleXfs>
  <cellXfs count="135">
    <xf numFmtId="0" fontId="0" fillId="0" borderId="0" pivotButton="0" quotePrefix="0" xfId="0"/>
    <xf numFmtId="0" fontId="0" fillId="2" borderId="0" pivotButton="0" quotePrefix="0" xfId="0"/>
    <xf numFmtId="0" fontId="8" fillId="2" borderId="0" applyAlignment="1" pivotButton="0" quotePrefix="0" xfId="0">
      <alignment horizontal="right" vertical="center"/>
    </xf>
    <xf numFmtId="0" fontId="0" fillId="3" borderId="0" pivotButton="0" quotePrefix="0" xfId="0"/>
    <xf numFmtId="0" fontId="9" fillId="2" borderId="0" applyAlignment="1" pivotButton="0" quotePrefix="0" xfId="0">
      <alignment horizontal="right" vertical="center"/>
    </xf>
    <xf numFmtId="0" fontId="10" fillId="2" borderId="0" applyAlignment="1" pivotButton="0" quotePrefix="0" xfId="0">
      <alignment horizontal="right" vertical="center"/>
    </xf>
    <xf numFmtId="0" fontId="11" fillId="2" borderId="0" applyAlignment="1" pivotButton="0" quotePrefix="0" xfId="0">
      <alignment horizontal="right" vertical="center"/>
    </xf>
    <xf numFmtId="0" fontId="1" fillId="2" borderId="0" applyAlignment="1" pivotButton="0" quotePrefix="0" xfId="0">
      <alignment horizontal="centerContinuous" vertical="center"/>
    </xf>
    <xf numFmtId="0" fontId="1" fillId="2" borderId="0" applyAlignment="1" pivotButton="0" quotePrefix="0" xfId="0">
      <alignment horizontal="left" vertical="center"/>
    </xf>
    <xf numFmtId="0" fontId="2" fillId="3" borderId="1" applyAlignment="1" pivotButton="0" quotePrefix="0" xfId="0">
      <alignment horizontal="center" wrapText="1"/>
    </xf>
    <xf numFmtId="0" fontId="3" fillId="4" borderId="0" applyAlignment="1" pivotButton="0" quotePrefix="0" xfId="0">
      <alignment horizontal="left" vertical="center" indent="1"/>
    </xf>
    <xf numFmtId="0" fontId="5" fillId="4" borderId="0" applyAlignment="1" pivotButton="0" quotePrefix="0" xfId="0">
      <alignment horizontal="center" vertical="center"/>
    </xf>
    <xf numFmtId="0" fontId="0" fillId="4" borderId="0" pivotButton="0" quotePrefix="0" xfId="0"/>
    <xf numFmtId="0" fontId="3" fillId="0" borderId="0" applyAlignment="1" pivotButton="0" quotePrefix="0" xfId="0">
      <alignment horizontal="left" vertical="center" indent="1"/>
    </xf>
    <xf numFmtId="0" fontId="5" fillId="0" borderId="0" applyAlignment="1" pivotButton="0" quotePrefix="0" xfId="0">
      <alignment horizontal="center" vertical="center"/>
    </xf>
    <xf numFmtId="0" fontId="4" fillId="0" borderId="0" applyAlignment="1" pivotButton="0" quotePrefix="0" xfId="0">
      <alignment horizontal="left" vertical="top"/>
    </xf>
    <xf numFmtId="164" fontId="3" fillId="4" borderId="0" applyAlignment="1" pivotButton="0" quotePrefix="0" xfId="0">
      <alignment horizontal="center" vertical="center"/>
    </xf>
    <xf numFmtId="0" fontId="3" fillId="4" borderId="0" applyAlignment="1" pivotButton="0" quotePrefix="0" xfId="0">
      <alignment horizontal="left" vertical="center"/>
    </xf>
    <xf numFmtId="164" fontId="3" fillId="0" borderId="0" applyAlignment="1" pivotButton="0" quotePrefix="0" xfId="0">
      <alignment horizontal="center" vertical="center"/>
    </xf>
    <xf numFmtId="0" fontId="3" fillId="0" borderId="0" applyAlignment="1" pivotButton="0" quotePrefix="0" xfId="0">
      <alignment horizontal="left" vertical="center"/>
    </xf>
    <xf numFmtId="165" fontId="3" fillId="4" borderId="0" applyAlignment="1" pivotButton="0" quotePrefix="0" xfId="0">
      <alignment horizontal="center" vertical="center"/>
    </xf>
    <xf numFmtId="165" fontId="3" fillId="0" borderId="0" applyAlignment="1" pivotButton="0" quotePrefix="0" xfId="0">
      <alignment horizontal="center" vertical="center"/>
    </xf>
    <xf numFmtId="166" fontId="3" fillId="4" borderId="0" applyAlignment="1" pivotButton="0" quotePrefix="0" xfId="0">
      <alignment horizontal="center" vertical="center"/>
    </xf>
    <xf numFmtId="167" fontId="3" fillId="0" borderId="0" applyAlignment="1" pivotButton="0" quotePrefix="0" xfId="0">
      <alignment horizontal="center" vertical="center"/>
    </xf>
    <xf numFmtId="167" fontId="3" fillId="4" borderId="0" applyAlignment="1" pivotButton="0" quotePrefix="0" xfId="0">
      <alignment horizontal="center" vertical="center"/>
    </xf>
    <xf numFmtId="166" fontId="3" fillId="0" borderId="0" applyAlignment="1" pivotButton="0" quotePrefix="0" xfId="0">
      <alignment horizontal="center" vertical="center"/>
    </xf>
    <xf numFmtId="0" fontId="2" fillId="0" borderId="3" applyAlignment="1" pivotButton="0" quotePrefix="0" xfId="0">
      <alignment horizontal="left" vertical="center" indent="1"/>
    </xf>
    <xf numFmtId="0" fontId="5" fillId="0" borderId="3" applyAlignment="1" pivotButton="0" quotePrefix="0" xfId="0">
      <alignment horizontal="center" vertical="center"/>
    </xf>
    <xf numFmtId="166" fontId="2" fillId="0" borderId="3" applyAlignment="1" pivotButton="0" quotePrefix="0" xfId="0">
      <alignment horizontal="center" vertical="center"/>
    </xf>
    <xf numFmtId="0" fontId="2" fillId="3" borderId="1" applyAlignment="1" pivotButton="0" quotePrefix="0" xfId="0">
      <alignment horizontal="left" wrapText="1"/>
    </xf>
    <xf numFmtId="0" fontId="4" fillId="4" borderId="0" applyAlignment="1" pivotButton="0" quotePrefix="0" xfId="0">
      <alignment horizontal="left" vertical="center"/>
    </xf>
    <xf numFmtId="0" fontId="4" fillId="0" borderId="0" applyAlignment="1" pivotButton="0" quotePrefix="0" xfId="0">
      <alignment horizontal="left" vertical="center"/>
    </xf>
    <xf numFmtId="0" fontId="2" fillId="3" borderId="0" applyAlignment="1" pivotButton="0" quotePrefix="0" xfId="0">
      <alignment horizontal="left" vertical="center"/>
    </xf>
    <xf numFmtId="0" fontId="3" fillId="4" borderId="0" applyAlignment="1" pivotButton="0" quotePrefix="0" xfId="0">
      <alignment horizontal="center" vertical="center"/>
    </xf>
    <xf numFmtId="168" fontId="2" fillId="4" borderId="0" applyAlignment="1" pivotButton="0" quotePrefix="0" xfId="0">
      <alignment horizontal="center" vertical="center"/>
    </xf>
    <xf numFmtId="169" fontId="3" fillId="4" borderId="0" applyAlignment="1" pivotButton="0" quotePrefix="0" xfId="0">
      <alignment horizontal="center" vertical="center"/>
    </xf>
    <xf numFmtId="0" fontId="4" fillId="4" borderId="0" applyAlignment="1" pivotButton="0" quotePrefix="0" xfId="0">
      <alignment horizontal="left" vertical="center" wrapText="1"/>
    </xf>
    <xf numFmtId="0" fontId="3" fillId="0" borderId="0" applyAlignment="1" pivotButton="0" quotePrefix="0" xfId="0">
      <alignment horizontal="center" vertical="center"/>
    </xf>
    <xf numFmtId="168" fontId="2" fillId="0" borderId="0" applyAlignment="1" pivotButton="0" quotePrefix="0" xfId="0">
      <alignment horizontal="center" vertical="center"/>
    </xf>
    <xf numFmtId="169" fontId="3" fillId="0" borderId="0" applyAlignment="1" pivotButton="0" quotePrefix="0" xfId="0">
      <alignment horizontal="center" vertical="center"/>
    </xf>
    <xf numFmtId="0" fontId="4" fillId="0" borderId="0" applyAlignment="1" pivotButton="0" quotePrefix="0" xfId="0">
      <alignment horizontal="left" vertical="center" wrapText="1"/>
    </xf>
    <xf numFmtId="166" fontId="2" fillId="0" borderId="0" applyAlignment="1" pivotButton="0" quotePrefix="0" xfId="0">
      <alignment horizontal="center" vertical="center"/>
    </xf>
    <xf numFmtId="166" fontId="2" fillId="4" borderId="0" applyAlignment="1" pivotButton="0" quotePrefix="0" xfId="0">
      <alignment horizontal="center" vertical="center"/>
    </xf>
    <xf numFmtId="168" fontId="6" fillId="4" borderId="2" applyAlignment="1" pivotButton="0" quotePrefix="0" xfId="0">
      <alignment horizontal="center" vertical="center"/>
    </xf>
    <xf numFmtId="168" fontId="6" fillId="0" borderId="2" applyAlignment="1" pivotButton="0" quotePrefix="0" xfId="0">
      <alignment horizontal="center" vertical="center"/>
    </xf>
    <xf numFmtId="166" fontId="6" fillId="4" borderId="2" applyAlignment="1" pivotButton="0" quotePrefix="0" xfId="0">
      <alignment horizontal="center" vertical="center"/>
    </xf>
    <xf numFmtId="166" fontId="6" fillId="0" borderId="2" applyAlignment="1" pivotButton="0" quotePrefix="0" xfId="0">
      <alignment horizontal="center" vertical="center"/>
    </xf>
    <xf numFmtId="169" fontId="6" fillId="0" borderId="2" applyAlignment="1" pivotButton="0" quotePrefix="0" xfId="0">
      <alignment horizontal="center" vertical="center"/>
    </xf>
    <xf numFmtId="169" fontId="6" fillId="4" borderId="2" applyAlignment="1" pivotButton="0" quotePrefix="0" xfId="0">
      <alignment horizontal="center" vertical="center"/>
    </xf>
    <xf numFmtId="170" fontId="13" fillId="5" borderId="4" applyAlignment="1" pivotButton="0" quotePrefix="0" xfId="0">
      <alignment horizontal="centerContinuous"/>
    </xf>
    <xf numFmtId="170" fontId="13" fillId="5" borderId="5" applyAlignment="1" pivotButton="0" quotePrefix="0" xfId="0">
      <alignment horizontal="centerContinuous"/>
    </xf>
    <xf numFmtId="170" fontId="13" fillId="5" borderId="6" applyAlignment="1" pivotButton="0" quotePrefix="0" xfId="0">
      <alignment horizontal="centerContinuous"/>
    </xf>
    <xf numFmtId="0" fontId="12" fillId="6" borderId="7" pivotButton="0" quotePrefix="0" xfId="0"/>
    <xf numFmtId="0" fontId="12" fillId="0" borderId="0" pivotButton="0" quotePrefix="0" xfId="0"/>
    <xf numFmtId="171" fontId="0" fillId="0" borderId="10" applyAlignment="1" pivotButton="0" quotePrefix="0" xfId="0">
      <alignment horizontal="center"/>
    </xf>
    <xf numFmtId="171" fontId="12" fillId="6" borderId="9" applyAlignment="1" pivotButton="0" quotePrefix="0" xfId="0">
      <alignment horizontal="center"/>
    </xf>
    <xf numFmtId="10" fontId="15" fillId="0" borderId="0" applyAlignment="1" pivotButton="0" quotePrefix="0" xfId="0">
      <alignment horizontal="center"/>
    </xf>
    <xf numFmtId="171" fontId="14" fillId="6" borderId="8" applyAlignment="1" pivotButton="0" quotePrefix="0" xfId="0">
      <alignment horizontal="center"/>
    </xf>
    <xf numFmtId="171" fontId="14" fillId="6" borderId="9" applyAlignment="1" pivotButton="0" quotePrefix="0" xfId="0">
      <alignment horizontal="center"/>
    </xf>
    <xf numFmtId="171" fontId="12" fillId="6" borderId="8" applyAlignment="1" pivotButton="0" quotePrefix="0" xfId="0">
      <alignment horizontal="center"/>
    </xf>
    <xf numFmtId="0" fontId="0" fillId="0" borderId="11" pivotButton="0" quotePrefix="0" xfId="0"/>
    <xf numFmtId="171" fontId="15" fillId="0" borderId="0" applyAlignment="1" pivotButton="0" quotePrefix="0" xfId="0">
      <alignment horizontal="center"/>
    </xf>
    <xf numFmtId="171" fontId="16" fillId="0" borderId="12" applyAlignment="1" pivotButton="0" quotePrefix="0" xfId="0">
      <alignment horizontal="center"/>
    </xf>
    <xf numFmtId="171" fontId="15" fillId="0" borderId="12" applyAlignment="1" pivotButton="0" quotePrefix="0" xfId="0">
      <alignment horizontal="center"/>
    </xf>
    <xf numFmtId="171" fontId="0" fillId="0" borderId="12" applyAlignment="1" pivotButton="0" quotePrefix="0" xfId="0">
      <alignment horizontal="center"/>
    </xf>
    <xf numFmtId="0" fontId="0" fillId="0" borderId="13" pivotButton="0" quotePrefix="0" xfId="0"/>
    <xf numFmtId="171" fontId="15" fillId="0" borderId="14" applyAlignment="1" pivotButton="0" quotePrefix="0" xfId="0">
      <alignment horizontal="center"/>
    </xf>
    <xf numFmtId="172" fontId="15" fillId="0" borderId="0" applyAlignment="1" pivotButton="0" quotePrefix="0" xfId="0">
      <alignment horizontal="center"/>
    </xf>
    <xf numFmtId="173" fontId="6" fillId="4" borderId="2" applyAlignment="1" pivotButton="0" quotePrefix="0" xfId="0">
      <alignment horizontal="center" vertical="center"/>
    </xf>
    <xf numFmtId="173" fontId="6" fillId="0" borderId="2" applyAlignment="1" pivotButton="0" quotePrefix="0" xfId="0">
      <alignment horizontal="center" vertical="center"/>
    </xf>
    <xf numFmtId="164" fontId="6" fillId="4" borderId="2" applyAlignment="1" pivotButton="0" quotePrefix="0" xfId="0">
      <alignment horizontal="center" vertical="center"/>
    </xf>
    <xf numFmtId="164" fontId="6" fillId="0" borderId="2" applyAlignment="1" pivotButton="0" quotePrefix="0" xfId="0">
      <alignment horizontal="center" vertical="center"/>
    </xf>
    <xf numFmtId="164" fontId="6" fillId="0" borderId="15" applyAlignment="1" pivotButton="0" quotePrefix="0" xfId="0">
      <alignment horizontal="center" vertical="center"/>
    </xf>
    <xf numFmtId="0" fontId="2" fillId="4" borderId="16" applyAlignment="1" pivotButton="0" quotePrefix="0" xfId="0">
      <alignment horizontal="left" vertical="center" indent="1"/>
    </xf>
    <xf numFmtId="0" fontId="17" fillId="4" borderId="17" applyAlignment="1" pivotButton="0" quotePrefix="0" xfId="0">
      <alignment horizontal="center" vertical="center"/>
    </xf>
    <xf numFmtId="164" fontId="7" fillId="4" borderId="18" applyAlignment="1" pivotButton="0" quotePrefix="0" xfId="0">
      <alignment horizontal="center" vertical="center"/>
    </xf>
    <xf numFmtId="0" fontId="2" fillId="4" borderId="17" applyAlignment="1" pivotButton="0" quotePrefix="0" xfId="0">
      <alignment horizontal="left" vertical="center"/>
    </xf>
    <xf numFmtId="0" fontId="12" fillId="4" borderId="17" pivotButton="0" quotePrefix="0" xfId="0"/>
    <xf numFmtId="0" fontId="12" fillId="4" borderId="19" pivotButton="0" quotePrefix="0" xfId="0"/>
    <xf numFmtId="164" fontId="18" fillId="0" borderId="0" applyAlignment="1" pivotButton="0" quotePrefix="0" xfId="0">
      <alignment horizontal="center" vertical="center"/>
    </xf>
    <xf numFmtId="167" fontId="6" fillId="0" borderId="2" applyAlignment="1" pivotButton="0" quotePrefix="0" xfId="0">
      <alignment horizontal="center" vertical="center"/>
    </xf>
    <xf numFmtId="166" fontId="18" fillId="0" borderId="0" applyAlignment="1" pivotButton="0" quotePrefix="0" xfId="0">
      <alignment horizontal="center" vertical="center"/>
    </xf>
    <xf numFmtId="172" fontId="15" fillId="0" borderId="0" applyAlignment="1" pivotButton="0" quotePrefix="0" xfId="0">
      <alignment horizontal="center"/>
    </xf>
    <xf numFmtId="170" fontId="13" fillId="5" borderId="4" applyAlignment="1" pivotButton="0" quotePrefix="0" xfId="0">
      <alignment horizontal="centerContinuous"/>
    </xf>
    <xf numFmtId="170" fontId="13" fillId="5" borderId="5" applyAlignment="1" pivotButton="0" quotePrefix="0" xfId="0">
      <alignment horizontal="centerContinuous"/>
    </xf>
    <xf numFmtId="170" fontId="13" fillId="5" borderId="6" applyAlignment="1" pivotButton="0" quotePrefix="0" xfId="0">
      <alignment horizontal="centerContinuous"/>
    </xf>
    <xf numFmtId="171" fontId="14" fillId="6" borderId="8" applyAlignment="1" pivotButton="0" quotePrefix="0" xfId="0">
      <alignment horizontal="center"/>
    </xf>
    <xf numFmtId="171" fontId="14" fillId="6" borderId="9" applyAlignment="1" pivotButton="0" quotePrefix="0" xfId="0">
      <alignment horizontal="center"/>
    </xf>
    <xf numFmtId="171" fontId="15" fillId="0" borderId="0" applyAlignment="1" pivotButton="0" quotePrefix="0" xfId="0">
      <alignment horizontal="center"/>
    </xf>
    <xf numFmtId="171" fontId="16" fillId="0" borderId="12" applyAlignment="1" pivotButton="0" quotePrefix="0" xfId="0">
      <alignment horizontal="center"/>
    </xf>
    <xf numFmtId="171" fontId="15" fillId="0" borderId="12" applyAlignment="1" pivotButton="0" quotePrefix="0" xfId="0">
      <alignment horizontal="center"/>
    </xf>
    <xf numFmtId="171" fontId="0" fillId="0" borderId="12" applyAlignment="1" pivotButton="0" quotePrefix="0" xfId="0">
      <alignment horizontal="center"/>
    </xf>
    <xf numFmtId="171" fontId="0" fillId="0" borderId="10" applyAlignment="1" pivotButton="0" quotePrefix="0" xfId="0">
      <alignment horizontal="center"/>
    </xf>
    <xf numFmtId="171" fontId="15" fillId="0" borderId="14" applyAlignment="1" pivotButton="0" quotePrefix="0" xfId="0">
      <alignment horizontal="center"/>
    </xf>
    <xf numFmtId="171" fontId="12" fillId="6" borderId="8" applyAlignment="1" pivotButton="0" quotePrefix="0" xfId="0">
      <alignment horizontal="center"/>
    </xf>
    <xf numFmtId="171" fontId="12" fillId="6" borderId="9" applyAlignment="1" pivotButton="0" quotePrefix="0" xfId="0">
      <alignment horizontal="center"/>
    </xf>
    <xf numFmtId="173" fontId="6" fillId="4" borderId="2" applyAlignment="1" pivotButton="0" quotePrefix="0" xfId="0">
      <alignment horizontal="center" vertical="center"/>
    </xf>
    <xf numFmtId="164" fontId="3" fillId="4" borderId="0" applyAlignment="1" pivotButton="0" quotePrefix="0" xfId="0">
      <alignment horizontal="center" vertical="center"/>
    </xf>
    <xf numFmtId="173" fontId="6" fillId="0" borderId="2" applyAlignment="1" pivotButton="0" quotePrefix="0" xfId="0">
      <alignment horizontal="center" vertical="center"/>
    </xf>
    <xf numFmtId="164" fontId="3" fillId="0" borderId="0" applyAlignment="1" pivotButton="0" quotePrefix="0" xfId="0">
      <alignment horizontal="center" vertical="center"/>
    </xf>
    <xf numFmtId="164" fontId="6" fillId="4" borderId="2" applyAlignment="1" pivotButton="0" quotePrefix="0" xfId="0">
      <alignment horizontal="center" vertical="center"/>
    </xf>
    <xf numFmtId="165" fontId="3" fillId="4" borderId="0" applyAlignment="1" pivotButton="0" quotePrefix="0" xfId="0">
      <alignment horizontal="center" vertical="center"/>
    </xf>
    <xf numFmtId="164" fontId="6" fillId="0" borderId="2" applyAlignment="1" pivotButton="0" quotePrefix="0" xfId="0">
      <alignment horizontal="center" vertical="center"/>
    </xf>
    <xf numFmtId="165" fontId="3" fillId="0" borderId="0" applyAlignment="1" pivotButton="0" quotePrefix="0" xfId="0">
      <alignment horizontal="center" vertical="center"/>
    </xf>
    <xf numFmtId="164" fontId="6" fillId="0" borderId="15" applyAlignment="1" pivotButton="0" quotePrefix="0" xfId="0">
      <alignment horizontal="center" vertical="center"/>
    </xf>
    <xf numFmtId="164" fontId="7" fillId="4" borderId="18" applyAlignment="1" pivotButton="0" quotePrefix="0" xfId="0">
      <alignment horizontal="center" vertical="center"/>
    </xf>
    <xf numFmtId="166" fontId="6" fillId="4" borderId="2" applyAlignment="1" pivotButton="0" quotePrefix="0" xfId="0">
      <alignment horizontal="center" vertical="center"/>
    </xf>
    <xf numFmtId="166" fontId="3" fillId="4" borderId="0" applyAlignment="1" pivotButton="0" quotePrefix="0" xfId="0">
      <alignment horizontal="center" vertical="center"/>
    </xf>
    <xf numFmtId="166" fontId="6" fillId="0" borderId="2" applyAlignment="1" pivotButton="0" quotePrefix="0" xfId="0">
      <alignment horizontal="center" vertical="center"/>
    </xf>
    <xf numFmtId="164" fontId="18" fillId="0" borderId="0" applyAlignment="1" pivotButton="0" quotePrefix="0" xfId="0">
      <alignment horizontal="center" vertical="center"/>
    </xf>
    <xf numFmtId="167" fontId="6" fillId="0" borderId="2" applyAlignment="1" pivotButton="0" quotePrefix="0" xfId="0">
      <alignment horizontal="center" vertical="center"/>
    </xf>
    <xf numFmtId="167" fontId="3" fillId="0" borderId="0" applyAlignment="1" pivotButton="0" quotePrefix="0" xfId="0">
      <alignment horizontal="center" vertical="center"/>
    </xf>
    <xf numFmtId="167" fontId="3" fillId="4" borderId="0" applyAlignment="1" pivotButton="0" quotePrefix="0" xfId="0">
      <alignment horizontal="center" vertical="center"/>
    </xf>
    <xf numFmtId="166" fontId="18" fillId="0" borderId="0" applyAlignment="1" pivotButton="0" quotePrefix="0" xfId="0">
      <alignment horizontal="center" vertical="center"/>
    </xf>
    <xf numFmtId="166" fontId="3" fillId="0" borderId="0" applyAlignment="1" pivotButton="0" quotePrefix="0" xfId="0">
      <alignment horizontal="center" vertical="center"/>
    </xf>
    <xf numFmtId="166" fontId="2" fillId="0" borderId="3" applyAlignment="1" pivotButton="0" quotePrefix="0" xfId="0">
      <alignment horizontal="center" vertical="center"/>
    </xf>
    <xf numFmtId="0" fontId="21" fillId="0" borderId="0" applyAlignment="1" pivotButton="0" quotePrefix="0" xfId="0">
      <alignment horizontal="left" vertical="center"/>
    </xf>
    <xf numFmtId="174" fontId="19" fillId="4" borderId="20" applyAlignment="1" pivotButton="0" quotePrefix="0" xfId="0">
      <alignment horizontal="center" vertical="center"/>
    </xf>
    <xf numFmtId="168" fontId="2" fillId="4" borderId="0" applyAlignment="1" pivotButton="0" quotePrefix="0" xfId="0">
      <alignment horizontal="center" vertical="center"/>
    </xf>
    <xf numFmtId="169" fontId="20" fillId="4" borderId="0" applyAlignment="1" pivotButton="0" quotePrefix="0" xfId="0">
      <alignment horizontal="center" vertical="center"/>
    </xf>
    <xf numFmtId="0" fontId="21" fillId="4" borderId="0" applyAlignment="1" pivotButton="0" quotePrefix="0" xfId="0">
      <alignment horizontal="left" vertical="center" wrapText="1"/>
    </xf>
    <xf numFmtId="174" fontId="19" fillId="0" borderId="20" applyAlignment="1" pivotButton="0" quotePrefix="0" xfId="0">
      <alignment horizontal="center" vertical="center"/>
    </xf>
    <xf numFmtId="168" fontId="2" fillId="0" borderId="0" applyAlignment="1" pivotButton="0" quotePrefix="0" xfId="0">
      <alignment horizontal="center" vertical="center"/>
    </xf>
    <xf numFmtId="169" fontId="20" fillId="0" borderId="0" applyAlignment="1" pivotButton="0" quotePrefix="0" xfId="0">
      <alignment horizontal="center" vertical="center"/>
    </xf>
    <xf numFmtId="0" fontId="21" fillId="0" borderId="0" applyAlignment="1" pivotButton="0" quotePrefix="0" xfId="0">
      <alignment horizontal="left" vertical="center" wrapText="1"/>
    </xf>
    <xf numFmtId="175" fontId="19" fillId="0" borderId="20" applyAlignment="1" pivotButton="0" quotePrefix="0" xfId="0">
      <alignment horizontal="center" vertical="center"/>
    </xf>
    <xf numFmtId="0" fontId="22" fillId="0" borderId="21" applyAlignment="1" pivotButton="0" quotePrefix="0" xfId="0">
      <alignment horizontal="center" vertical="center"/>
    </xf>
    <xf numFmtId="0" fontId="22" fillId="4" borderId="21" applyAlignment="1" pivotButton="0" quotePrefix="0" xfId="0">
      <alignment horizontal="center" vertical="center"/>
    </xf>
    <xf numFmtId="0" fontId="21" fillId="0" borderId="0" applyAlignment="1" pivotButton="0" quotePrefix="0" xfId="0">
      <alignment horizontal="left" vertical="top"/>
    </xf>
    <xf numFmtId="168" fontId="6" fillId="4" borderId="2" applyAlignment="1" pivotButton="0" quotePrefix="0" xfId="0">
      <alignment horizontal="center" vertical="center"/>
    </xf>
    <xf numFmtId="168" fontId="6" fillId="0" borderId="2" applyAlignment="1" pivotButton="0" quotePrefix="0" xfId="0">
      <alignment horizontal="center" vertical="center"/>
    </xf>
    <xf numFmtId="169" fontId="6" fillId="0" borderId="2" applyAlignment="1" pivotButton="0" quotePrefix="0" xfId="0">
      <alignment horizontal="center" vertical="center"/>
    </xf>
    <xf numFmtId="169" fontId="6" fillId="4" borderId="2" applyAlignment="1" pivotButton="0" quotePrefix="0" xfId="0">
      <alignment horizontal="center" vertical="center"/>
    </xf>
    <xf numFmtId="166" fontId="2" fillId="4" borderId="0" applyAlignment="1" pivotButton="0" quotePrefix="0" xfId="0">
      <alignment horizontal="center" vertical="center"/>
    </xf>
    <xf numFmtId="166" fontId="2"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F2F51"/>
    <outlinePr summaryBelow="1" summaryRight="1"/>
    <pageSetUpPr fitToPage="1"/>
  </sheetPr>
  <dimension ref="A1:M27"/>
  <sheetViews>
    <sheetView showGridLines="0" view="pageBreakPreview" zoomScale="130" zoomScaleNormal="115" zoomScaleSheetLayoutView="130" workbookViewId="0">
      <selection activeCell="A1" sqref="A1"/>
    </sheetView>
  </sheetViews>
  <sheetFormatPr baseColWidth="8" defaultRowHeight="14.5"/>
  <cols>
    <col width="3" customWidth="1" min="1" max="1"/>
    <col width="11" customWidth="1" min="2" max="12"/>
    <col width="3" customWidth="1" min="13" max="13"/>
  </cols>
  <sheetData>
    <row r="1" ht="16" customHeight="1">
      <c r="A1" s="1" t="n"/>
      <c r="B1" s="1" t="n"/>
      <c r="C1" s="1" t="n"/>
      <c r="D1" s="1" t="n"/>
      <c r="E1" s="1" t="n"/>
      <c r="F1" s="1" t="n"/>
      <c r="G1" s="1" t="n"/>
      <c r="H1" s="1" t="n"/>
      <c r="I1" s="1" t="n"/>
      <c r="J1" s="1" t="n"/>
      <c r="K1" s="1" t="n"/>
      <c r="L1" s="1" t="n"/>
      <c r="M1" s="1" t="n"/>
    </row>
    <row r="2" ht="16" customHeight="1">
      <c r="A2" s="1" t="n"/>
      <c r="B2" s="1" t="n"/>
      <c r="C2" s="1" t="n"/>
      <c r="D2" s="1" t="n"/>
      <c r="E2" s="1" t="n"/>
      <c r="F2" s="1" t="n"/>
      <c r="G2" s="1" t="n"/>
      <c r="H2" s="1" t="n"/>
      <c r="I2" s="1" t="n"/>
      <c r="J2" s="1" t="n"/>
      <c r="K2" s="1" t="n"/>
      <c r="L2" s="1" t="n"/>
      <c r="M2" s="1" t="n"/>
    </row>
    <row r="3" ht="16" customHeight="1">
      <c r="A3" s="1" t="n"/>
      <c r="B3" s="1" t="n"/>
      <c r="C3" s="1" t="n"/>
      <c r="D3" s="1" t="n"/>
      <c r="E3" s="1" t="n"/>
      <c r="F3" s="1" t="n"/>
      <c r="G3" s="1" t="n"/>
      <c r="H3" s="1" t="n"/>
      <c r="I3" s="1" t="n"/>
      <c r="J3" s="1" t="n"/>
      <c r="K3" s="1" t="n"/>
      <c r="L3" s="1" t="n"/>
      <c r="M3" s="1" t="n"/>
    </row>
    <row r="4" ht="16" customHeight="1">
      <c r="A4" s="1" t="n"/>
      <c r="B4" s="1" t="n"/>
      <c r="C4" s="1" t="n"/>
      <c r="D4" s="1" t="n"/>
      <c r="E4" s="1" t="n"/>
      <c r="F4" s="1" t="n"/>
      <c r="G4" s="1" t="n"/>
      <c r="H4" s="1" t="n"/>
      <c r="I4" s="1" t="n"/>
      <c r="J4" s="1" t="n"/>
      <c r="K4" s="1" t="n"/>
      <c r="L4" s="1" t="n"/>
      <c r="M4" s="1" t="n"/>
    </row>
    <row r="5" ht="16" customHeight="1">
      <c r="A5" s="1" t="n"/>
      <c r="B5" s="1" t="n"/>
      <c r="C5" s="1" t="n"/>
      <c r="D5" s="1" t="n"/>
      <c r="E5" s="1" t="n"/>
      <c r="F5" s="1" t="n"/>
      <c r="G5" s="1" t="n"/>
      <c r="H5" s="1" t="n"/>
      <c r="I5" s="1" t="n"/>
      <c r="J5" s="1" t="n"/>
      <c r="K5" s="1" t="n"/>
      <c r="L5" s="1" t="n"/>
      <c r="M5" s="1" t="n"/>
    </row>
    <row r="6" ht="16" customHeight="1">
      <c r="A6" s="1" t="n"/>
      <c r="B6" s="1" t="n"/>
      <c r="C6" s="1" t="n"/>
      <c r="D6" s="1" t="n"/>
      <c r="E6" s="1" t="n"/>
      <c r="F6" s="1" t="n"/>
      <c r="G6" s="1" t="n"/>
      <c r="H6" s="1" t="n"/>
      <c r="I6" s="1" t="n"/>
      <c r="J6" s="1" t="n"/>
      <c r="K6" s="1" t="n"/>
      <c r="L6" s="1" t="n"/>
      <c r="M6" s="1" t="n"/>
    </row>
    <row r="7" ht="16" customHeight="1">
      <c r="A7" s="1" t="n"/>
      <c r="B7" s="1" t="n"/>
      <c r="C7" s="1" t="n"/>
      <c r="D7" s="1" t="n"/>
      <c r="E7" s="1" t="n"/>
      <c r="F7" s="1" t="n"/>
      <c r="G7" s="1" t="n"/>
      <c r="H7" s="1" t="n"/>
      <c r="I7" s="1" t="n"/>
      <c r="J7" s="1" t="n"/>
      <c r="K7" s="1" t="n"/>
      <c r="L7" s="1" t="n"/>
      <c r="M7" s="1" t="n"/>
    </row>
    <row r="8" ht="16" customHeight="1">
      <c r="A8" s="1" t="n"/>
      <c r="B8" s="1" t="n"/>
      <c r="C8" s="1" t="n"/>
      <c r="D8" s="1" t="n"/>
      <c r="E8" s="1" t="n"/>
      <c r="F8" s="1" t="n"/>
      <c r="G8" s="1" t="n"/>
      <c r="H8" s="1" t="n"/>
      <c r="I8" s="1" t="n"/>
      <c r="J8" s="1" t="n"/>
      <c r="K8" s="1" t="n"/>
      <c r="L8" s="1" t="n"/>
      <c r="M8" s="1" t="n"/>
    </row>
    <row r="9" ht="16" customHeight="1">
      <c r="A9" s="1" t="n"/>
      <c r="B9" s="1" t="n"/>
      <c r="C9" s="1" t="n"/>
      <c r="D9" s="1" t="n"/>
      <c r="E9" s="1" t="n"/>
      <c r="F9" s="1" t="n"/>
      <c r="G9" s="1" t="n"/>
      <c r="H9" s="1" t="n"/>
      <c r="I9" s="1" t="n"/>
      <c r="J9" s="1" t="n"/>
      <c r="K9" s="1" t="n"/>
      <c r="L9" s="1" t="n"/>
      <c r="M9" s="1" t="n"/>
    </row>
    <row r="10" ht="16" customHeight="1">
      <c r="A10" s="1" t="n"/>
      <c r="B10" s="1" t="n"/>
      <c r="C10" s="1" t="n"/>
      <c r="D10" s="1" t="n"/>
      <c r="E10" s="1" t="n"/>
      <c r="F10" s="1" t="n"/>
      <c r="G10" s="1" t="n"/>
      <c r="H10" s="1" t="n"/>
      <c r="I10" s="1" t="n"/>
      <c r="J10" s="1" t="n"/>
      <c r="K10" s="1" t="n"/>
      <c r="L10" s="1" t="n"/>
      <c r="M10" s="1" t="n"/>
    </row>
    <row r="11" ht="16" customHeight="1">
      <c r="A11" s="1" t="n"/>
      <c r="B11" s="1" t="n"/>
      <c r="C11" s="1" t="n"/>
      <c r="D11" s="1" t="n"/>
      <c r="E11" s="1" t="n"/>
      <c r="F11" s="1" t="n"/>
      <c r="G11" s="1" t="n"/>
      <c r="H11" s="1" t="n"/>
      <c r="I11" s="1" t="n"/>
      <c r="J11" s="1" t="n"/>
      <c r="K11" s="1" t="n"/>
      <c r="L11" s="1" t="n"/>
      <c r="M11" s="1" t="n"/>
    </row>
    <row r="12" ht="16" customHeight="1">
      <c r="A12" s="1" t="n"/>
      <c r="B12" s="1" t="n"/>
      <c r="C12" s="1" t="n"/>
      <c r="D12" s="1" t="n"/>
      <c r="E12" s="1" t="n"/>
      <c r="F12" s="1" t="n"/>
      <c r="G12" s="1" t="n"/>
      <c r="H12" s="1" t="n"/>
      <c r="I12" s="1" t="n"/>
      <c r="J12" s="1" t="n"/>
      <c r="K12" s="1" t="n"/>
      <c r="L12" s="1" t="n"/>
      <c r="M12" s="1" t="n"/>
    </row>
    <row r="13" ht="16" customHeight="1">
      <c r="A13" s="1" t="n"/>
      <c r="B13" s="1" t="n"/>
      <c r="C13" s="1" t="n"/>
      <c r="D13" s="1" t="n"/>
      <c r="E13" s="1" t="n"/>
      <c r="F13" s="1" t="n"/>
      <c r="G13" s="1" t="n"/>
      <c r="H13" s="1" t="n"/>
      <c r="I13" s="1" t="n"/>
      <c r="J13" s="1" t="n"/>
      <c r="K13" s="1" t="n"/>
      <c r="L13" s="1" t="n"/>
      <c r="M13" s="1" t="n"/>
    </row>
    <row r="14" ht="16" customHeight="1">
      <c r="A14" s="1" t="n"/>
      <c r="B14" s="1" t="n"/>
      <c r="C14" s="1" t="n"/>
      <c r="D14" s="1" t="n"/>
      <c r="E14" s="1" t="n"/>
      <c r="F14" s="1" t="n"/>
      <c r="G14" s="1" t="n"/>
      <c r="H14" s="1" t="n"/>
      <c r="I14" s="1" t="n"/>
      <c r="J14" s="1" t="n"/>
      <c r="K14" s="1" t="n"/>
      <c r="L14" s="1" t="n"/>
      <c r="M14" s="1" t="n"/>
    </row>
    <row r="15" ht="16" customHeight="1">
      <c r="A15" s="1" t="n"/>
      <c r="B15" s="1" t="n"/>
      <c r="C15" s="1" t="n"/>
      <c r="D15" s="1" t="n"/>
      <c r="E15" s="1" t="n"/>
      <c r="F15" s="1" t="n"/>
      <c r="G15" s="1" t="n"/>
      <c r="H15" s="1" t="n"/>
      <c r="I15" s="1" t="n"/>
      <c r="J15" s="1" t="n"/>
      <c r="K15" s="1" t="n"/>
      <c r="L15" s="1" t="n"/>
      <c r="M15" s="1" t="n"/>
    </row>
    <row r="16" ht="16" customHeight="1">
      <c r="A16" s="1" t="n"/>
      <c r="B16" s="1" t="n"/>
      <c r="C16" s="1" t="n"/>
      <c r="D16" s="1" t="n"/>
      <c r="E16" s="1" t="n"/>
      <c r="F16" s="1" t="n"/>
      <c r="G16" s="1" t="n"/>
      <c r="H16" s="1" t="n"/>
      <c r="I16" s="1" t="n"/>
      <c r="J16" s="1" t="n"/>
      <c r="K16" s="1" t="n"/>
      <c r="L16" s="1" t="n"/>
      <c r="M16" s="1" t="n"/>
    </row>
    <row r="17" ht="16" customHeight="1">
      <c r="A17" s="1" t="n"/>
      <c r="B17" s="1" t="n"/>
      <c r="C17" s="1" t="n"/>
      <c r="D17" s="1" t="n"/>
      <c r="E17" s="1" t="n"/>
      <c r="F17" s="1" t="n"/>
      <c r="G17" s="1" t="n"/>
      <c r="H17" s="1" t="n"/>
      <c r="I17" s="1" t="n"/>
      <c r="J17" s="1" t="n"/>
      <c r="K17" s="1" t="n"/>
      <c r="L17" s="1" t="n"/>
      <c r="M17" s="1" t="n"/>
    </row>
    <row r="18" ht="16" customHeight="1">
      <c r="A18" s="1" t="n"/>
      <c r="B18" s="1" t="n"/>
      <c r="C18" s="1" t="n"/>
      <c r="D18" s="1" t="n"/>
      <c r="E18" s="1" t="n"/>
      <c r="F18" s="1" t="n"/>
      <c r="G18" s="1" t="n"/>
      <c r="H18" s="1" t="n"/>
      <c r="I18" s="1" t="n"/>
      <c r="J18" s="1" t="n"/>
      <c r="K18" s="1" t="n"/>
      <c r="L18" s="1" t="n"/>
      <c r="M18" s="1" t="n"/>
    </row>
    <row r="19" ht="16" customHeight="1">
      <c r="A19" s="1" t="n"/>
      <c r="B19" s="1" t="n"/>
      <c r="C19" s="1" t="n"/>
      <c r="D19" s="1" t="n"/>
      <c r="E19" s="1" t="n"/>
      <c r="F19" s="1" t="n"/>
      <c r="G19" s="1" t="n"/>
      <c r="H19" s="1" t="n"/>
      <c r="I19" s="1" t="n"/>
      <c r="J19" s="1" t="n"/>
      <c r="K19" s="1" t="n"/>
      <c r="L19" s="1" t="n"/>
      <c r="M19" s="1" t="n"/>
    </row>
    <row r="20" ht="34" customHeight="1">
      <c r="A20" s="1" t="n"/>
      <c r="B20" s="2" t="n"/>
      <c r="C20" s="2" t="n"/>
      <c r="D20" s="2" t="n"/>
      <c r="E20" s="2" t="n"/>
      <c r="F20" s="2" t="n"/>
      <c r="G20" s="2" t="n"/>
      <c r="H20" s="2" t="n"/>
      <c r="I20" s="2" t="n"/>
      <c r="J20" s="2" t="n"/>
      <c r="K20" s="2" t="n"/>
      <c r="L20" s="2" t="inlineStr">
        <is>
          <t>DATA CENTER DEVELOPMENT PLATFORM</t>
        </is>
      </c>
      <c r="M20" s="1" t="n"/>
    </row>
    <row r="21" ht="6" customHeight="1">
      <c r="A21" s="1" t="n"/>
      <c r="B21" s="1" t="n"/>
      <c r="C21" s="1" t="n"/>
      <c r="D21" s="1" t="n"/>
      <c r="E21" s="1" t="n"/>
      <c r="F21" s="1" t="n"/>
      <c r="G21" s="1" t="n"/>
      <c r="H21" s="1" t="n"/>
      <c r="I21" s="3" t="n"/>
      <c r="J21" s="3" t="n"/>
      <c r="K21" s="3" t="n"/>
      <c r="L21" s="3" t="n"/>
      <c r="M21" s="1" t="n"/>
    </row>
    <row r="22" ht="16" customHeight="1">
      <c r="A22" s="1" t="n"/>
      <c r="B22" s="1" t="n"/>
      <c r="C22" s="1" t="n"/>
      <c r="D22" s="1" t="n"/>
      <c r="E22" s="1" t="n"/>
      <c r="F22" s="1" t="n"/>
      <c r="G22" s="1" t="n"/>
      <c r="H22" s="1" t="n"/>
      <c r="I22" s="1" t="n"/>
      <c r="J22" s="1" t="n"/>
      <c r="K22" s="1" t="n"/>
      <c r="L22" s="1" t="n"/>
      <c r="M22" s="1" t="n"/>
    </row>
    <row r="23" ht="20.4" customHeight="1">
      <c r="A23" s="1" t="n"/>
      <c r="B23" s="4" t="n"/>
      <c r="C23" s="4" t="n"/>
      <c r="D23" s="4" t="n"/>
      <c r="E23" s="4" t="n"/>
      <c r="F23" s="4" t="n"/>
      <c r="G23" s="4" t="n"/>
      <c r="H23" s="4" t="n"/>
      <c r="I23" s="4" t="n"/>
      <c r="J23" s="4" t="n"/>
      <c r="K23" s="4" t="n"/>
      <c r="L23" s="4" t="inlineStr">
        <is>
          <t>Market Sizing, Buildout Economics and Valuation Comparables</t>
        </is>
      </c>
      <c r="M23" s="1" t="n"/>
    </row>
    <row r="24" ht="17" customHeight="1">
      <c r="A24" s="1" t="n"/>
      <c r="B24" s="5" t="n"/>
      <c r="C24" s="5" t="n"/>
      <c r="D24" s="5" t="n"/>
      <c r="E24" s="5" t="n"/>
      <c r="F24" s="5" t="n"/>
      <c r="G24" s="5" t="n"/>
      <c r="H24" s="5" t="n"/>
      <c r="I24" s="5" t="n"/>
      <c r="J24" s="5" t="n"/>
      <c r="K24" s="5" t="n"/>
      <c r="L24" s="5" t="inlineStr">
        <is>
          <t>Prepared September 2026</t>
        </is>
      </c>
      <c r="M24" s="1" t="n"/>
    </row>
    <row r="25" ht="16" customHeight="1">
      <c r="A25" s="1" t="n"/>
      <c r="B25" s="1" t="n"/>
      <c r="C25" s="1" t="n"/>
      <c r="D25" s="1" t="n"/>
      <c r="E25" s="1" t="n"/>
      <c r="F25" s="1" t="n"/>
      <c r="G25" s="1" t="n"/>
      <c r="H25" s="1" t="n"/>
      <c r="I25" s="1" t="n"/>
      <c r="J25" s="1" t="n"/>
      <c r="K25" s="1" t="n"/>
      <c r="L25" s="1" t="n"/>
      <c r="M25" s="1" t="n"/>
    </row>
    <row r="26" ht="11.9" customHeight="1">
      <c r="A26" s="1" t="n"/>
      <c r="B26" s="6" t="n"/>
      <c r="C26" s="6" t="n"/>
      <c r="D26" s="6" t="n"/>
      <c r="E26" s="6" t="n"/>
      <c r="F26" s="6" t="n"/>
      <c r="G26" s="6" t="n"/>
      <c r="H26" s="6" t="n"/>
      <c r="I26" s="6" t="n"/>
      <c r="J26" s="6" t="n"/>
      <c r="K26" s="6" t="n"/>
      <c r="L26" s="6" t="inlineStr">
        <is>
          <t>CONFIDENTIAL   |   FOR DISCUSSION PURPOSES ONLY</t>
        </is>
      </c>
      <c r="M26" s="1" t="n"/>
    </row>
    <row r="27" ht="16" customHeight="1">
      <c r="A27" s="1" t="n"/>
      <c r="B27" s="1" t="n"/>
      <c r="C27" s="1" t="n"/>
      <c r="D27" s="1" t="n"/>
      <c r="E27" s="1" t="n"/>
      <c r="F27" s="1" t="n"/>
      <c r="G27" s="1" t="n"/>
      <c r="H27" s="1" t="n"/>
      <c r="I27" s="1" t="n"/>
      <c r="J27" s="1" t="n"/>
      <c r="K27" s="1" t="n"/>
      <c r="L27" s="1" t="n"/>
      <c r="M27" s="1" t="n"/>
    </row>
  </sheetData>
  <pageMargins left="0.75" right="0.75" top="1" bottom="1" header="0.5" footer="0.5"/>
  <pageSetup orientation="landscape" scale="95" fitToHeight="0"/>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2.xml><?xml version="1.0" encoding="utf-8"?>
<worksheet xmlns="http://schemas.openxmlformats.org/spreadsheetml/2006/main">
  <sheetPr>
    <tabColor rgb="FF0F2F51"/>
    <outlinePr summaryBelow="1" summaryRight="1"/>
    <pageSetUpPr/>
  </sheetPr>
  <dimension ref="C1:G13"/>
  <sheetViews>
    <sheetView showGridLines="0" view="pageBreakPreview" zoomScale="145" zoomScaleNormal="100" zoomScaleSheetLayoutView="145" workbookViewId="0">
      <selection activeCell="A1" sqref="A1"/>
    </sheetView>
  </sheetViews>
  <sheetFormatPr baseColWidth="8" defaultRowHeight="14.5"/>
  <cols>
    <col width="2.6328125" customWidth="1" min="1" max="2"/>
    <col width="33" bestFit="1" customWidth="1" min="3" max="3"/>
    <col width="18.6328125" customWidth="1" min="4" max="5"/>
    <col width="2.6328125" customWidth="1" min="6" max="6"/>
  </cols>
  <sheetData>
    <row r="1">
      <c r="C1" s="82" t="n">
        <v>5</v>
      </c>
    </row>
    <row r="3" ht="16" customHeight="1">
      <c r="C3" s="83" t="inlineStr">
        <is>
          <t>Illustrative Development Budget</t>
        </is>
      </c>
      <c r="D3" s="84" t="n"/>
      <c r="E3" s="85" t="n"/>
    </row>
    <row r="4">
      <c r="C4" s="52" t="inlineStr">
        <is>
          <t>Assuming 5MW Site</t>
        </is>
      </c>
      <c r="D4" s="86" t="inlineStr">
        <is>
          <t>Per MW</t>
        </is>
      </c>
      <c r="E4" s="87" t="inlineStr">
        <is>
          <t>Total $</t>
        </is>
      </c>
    </row>
    <row r="5">
      <c r="C5" s="60" t="inlineStr">
        <is>
          <t>Land &amp; Site Acquisition</t>
        </is>
      </c>
      <c r="D5" s="88" t="n">
        <v>1000000</v>
      </c>
      <c r="E5" s="89">
        <f>D5*$C$1</f>
        <v/>
      </c>
    </row>
    <row r="6">
      <c r="C6" s="60" t="inlineStr">
        <is>
          <t>Misc. Closing Costs</t>
        </is>
      </c>
      <c r="D6" s="88" t="n"/>
      <c r="E6" s="90">
        <f>E5*G6</f>
        <v/>
      </c>
      <c r="G6" s="56" t="n">
        <v>0.025</v>
      </c>
    </row>
    <row r="7">
      <c r="C7" s="60" t="inlineStr">
        <is>
          <t>Pre-Development Diligence</t>
        </is>
      </c>
      <c r="D7" s="88" t="n"/>
      <c r="E7" s="90" t="n">
        <v>250000</v>
      </c>
    </row>
    <row r="8">
      <c r="C8" s="60" t="inlineStr">
        <is>
          <t>Site Work &amp; Civil</t>
        </is>
      </c>
      <c r="D8" s="88" t="n"/>
      <c r="E8" s="90" t="n">
        <v>1000000</v>
      </c>
    </row>
    <row r="9">
      <c r="C9" s="60" t="inlineStr">
        <is>
          <t>Power Connectivity &amp; Fiber Build</t>
        </is>
      </c>
      <c r="D9" s="88" t="n"/>
      <c r="E9" s="90" t="n">
        <v>1000000</v>
      </c>
    </row>
    <row r="10">
      <c r="C10" s="60" t="inlineStr">
        <is>
          <t>Modular Build</t>
        </is>
      </c>
      <c r="D10" s="88" t="n">
        <v>7500000</v>
      </c>
      <c r="E10" s="91">
        <f>D10*$C$1</f>
        <v/>
      </c>
    </row>
    <row r="11">
      <c r="C11" s="60" t="inlineStr">
        <is>
          <t>Cost Contingency (8% of Project Costs)</t>
        </is>
      </c>
      <c r="D11" s="88" t="n"/>
      <c r="E11" s="91">
        <f>SUM(E5:E10)*G11</f>
        <v/>
      </c>
      <c r="G11" s="56" t="n">
        <v>0.08</v>
      </c>
    </row>
    <row r="12">
      <c r="C12" s="65" t="inlineStr">
        <is>
          <t>Misc. Start-Up Costs</t>
        </is>
      </c>
      <c r="D12" s="92" t="n"/>
      <c r="E12" s="93" t="n">
        <v>500000</v>
      </c>
    </row>
    <row r="13">
      <c r="C13" s="52" t="inlineStr">
        <is>
          <t>Total Development Costs</t>
        </is>
      </c>
      <c r="D13" s="94" t="n"/>
      <c r="E13" s="95">
        <f>SUM(E5:E12)</f>
        <v/>
      </c>
    </row>
  </sheetData>
  <pageMargins left="0.7" right="0.7" top="0.75" bottom="0.75" header="0.3" footer="0.3"/>
  <pageSetup orientation="portrait" scale="92" verticalDpi="0"/>
</worksheet>
</file>

<file path=xl/worksheets/sheet3.xml><?xml version="1.0" encoding="utf-8"?>
<worksheet xmlns="http://schemas.openxmlformats.org/spreadsheetml/2006/main">
  <sheetPr>
    <tabColor rgb="FF0F2F51"/>
    <outlinePr summaryBelow="1" summaryRight="1"/>
    <pageSetUpPr fitToPage="1"/>
  </sheetPr>
  <dimension ref="C3:P40"/>
  <sheetViews>
    <sheetView showGridLines="0" view="pageBreakPreview" zoomScale="115" zoomScaleNormal="100" zoomScaleSheetLayoutView="115" workbookViewId="0">
      <selection activeCell="A1" sqref="A1"/>
    </sheetView>
  </sheetViews>
  <sheetFormatPr baseColWidth="8" defaultRowHeight="14.5"/>
  <cols>
    <col width="2" customWidth="1" min="1" max="2"/>
    <col width="51.7265625" bestFit="1" customWidth="1" min="3" max="3"/>
    <col width="9" customWidth="1" min="4" max="4"/>
    <col width="9.453125" customWidth="1" min="5" max="16"/>
    <col width="2" customWidth="1" min="17" max="17"/>
  </cols>
  <sheetData>
    <row r="3" ht="20" customHeight="1">
      <c r="C3" s="7" t="inlineStr">
        <is>
          <t>TOTAL ADDRESSABLE MARKET: US DATA CENTER SUPPLY AND DEMAND</t>
        </is>
      </c>
      <c r="D3" s="7" t="n"/>
      <c r="E3" s="7" t="n"/>
      <c r="F3" s="7" t="n"/>
      <c r="G3" s="7" t="n"/>
      <c r="H3" s="7" t="n"/>
      <c r="I3" s="7" t="n"/>
      <c r="J3" s="7" t="n"/>
      <c r="K3" s="7" t="n"/>
      <c r="L3" s="7" t="n"/>
      <c r="M3" s="7" t="n"/>
      <c r="N3" s="7" t="n"/>
      <c r="O3" s="7" t="n"/>
      <c r="P3" s="7" t="n"/>
    </row>
    <row r="5" ht="17" customHeight="1">
      <c r="C5" s="8" t="inlineStr">
        <is>
          <t>A.  CURRENT MARKET CONDITIONS, NORTH AMERICA PRIMARY MARKETS</t>
        </is>
      </c>
      <c r="D5" s="8" t="n"/>
      <c r="E5" s="8" t="n"/>
      <c r="F5" s="8" t="n"/>
      <c r="G5" s="8" t="n"/>
      <c r="H5" s="8" t="n"/>
      <c r="I5" s="8" t="n"/>
      <c r="J5" s="8" t="n"/>
      <c r="K5" s="8" t="n"/>
      <c r="L5" s="8" t="n"/>
      <c r="M5" s="8" t="n"/>
      <c r="N5" s="8" t="n"/>
      <c r="O5" s="8" t="n"/>
      <c r="P5" s="8" t="n"/>
    </row>
    <row r="6" ht="28" customHeight="1">
      <c r="C6" s="29" t="inlineStr">
        <is>
          <t>Metric</t>
        </is>
      </c>
      <c r="D6" s="9" t="inlineStr">
        <is>
          <t>Unit</t>
        </is>
      </c>
      <c r="E6" s="9" t="inlineStr">
        <is>
          <t>H1 2025</t>
        </is>
      </c>
      <c r="F6" s="9" t="inlineStr">
        <is>
          <t>H1 2026</t>
        </is>
      </c>
      <c r="G6" s="9" t="inlineStr">
        <is>
          <t>Change</t>
        </is>
      </c>
      <c r="H6" s="29" t="inlineStr">
        <is>
          <t>Notes</t>
        </is>
      </c>
      <c r="I6" s="9" t="n"/>
      <c r="J6" s="9" t="n"/>
      <c r="K6" s="9" t="n"/>
      <c r="L6" s="9" t="n"/>
      <c r="M6" s="9" t="n"/>
      <c r="N6" s="9" t="n"/>
      <c r="O6" s="9" t="n"/>
      <c r="P6" s="9" t="n"/>
    </row>
    <row r="7">
      <c r="C7" s="10" t="inlineStr">
        <is>
          <t>Primary market inventory</t>
        </is>
      </c>
      <c r="D7" s="11" t="inlineStr">
        <is>
          <t>MW</t>
        </is>
      </c>
      <c r="E7" s="96" t="n">
        <v>8155</v>
      </c>
      <c r="F7" s="96" t="n">
        <v>10903</v>
      </c>
      <c r="G7" s="97">
        <f>F7/E7-1</f>
        <v/>
      </c>
      <c r="H7" s="17" t="inlineStr">
        <is>
          <t>Record inventory, market continues to tighten</t>
        </is>
      </c>
      <c r="I7" s="12" t="n"/>
      <c r="J7" s="12" t="n"/>
      <c r="K7" s="12" t="n"/>
      <c r="L7" s="12" t="n"/>
      <c r="M7" s="12" t="n"/>
      <c r="N7" s="12" t="n"/>
      <c r="O7" s="12" t="n"/>
      <c r="P7" s="12" t="n"/>
    </row>
    <row r="8">
      <c r="C8" s="13" t="inlineStr">
        <is>
          <t>Capacity under construction</t>
        </is>
      </c>
      <c r="D8" s="14" t="inlineStr">
        <is>
          <t>MW</t>
        </is>
      </c>
      <c r="E8" s="98" t="n">
        <v>5994</v>
      </c>
      <c r="F8" s="98" t="n">
        <v>7481</v>
      </c>
      <c r="G8" s="99">
        <f>F8/E8-1</f>
        <v/>
      </c>
      <c r="H8" s="19" t="inlineStr">
        <is>
          <t>Equivalent to 69% of the inventory</t>
        </is>
      </c>
    </row>
    <row r="9">
      <c r="C9" s="10" t="inlineStr">
        <is>
          <t>Vacancy rate</t>
        </is>
      </c>
      <c r="D9" s="11" t="inlineStr">
        <is>
          <t>%</t>
        </is>
      </c>
      <c r="E9" s="100" t="n">
        <v>0.016</v>
      </c>
      <c r="F9" s="100" t="n">
        <v>0.014</v>
      </c>
      <c r="G9" s="101">
        <f>(F9-E9)*10000</f>
        <v/>
      </c>
      <c r="H9" s="17" t="inlineStr">
        <is>
          <t>-</t>
        </is>
      </c>
      <c r="I9" s="12" t="n"/>
      <c r="J9" s="12" t="n"/>
      <c r="K9" s="12" t="n"/>
      <c r="L9" s="12" t="n"/>
      <c r="M9" s="12" t="n"/>
      <c r="N9" s="12" t="n"/>
      <c r="O9" s="12" t="n"/>
      <c r="P9" s="12" t="n"/>
    </row>
    <row r="10">
      <c r="C10" s="13" t="inlineStr">
        <is>
          <t>Preleased share of capacity under construction</t>
        </is>
      </c>
      <c r="D10" s="14" t="inlineStr">
        <is>
          <t>%</t>
        </is>
      </c>
      <c r="E10" s="102" t="n">
        <v>0.743</v>
      </c>
      <c r="F10" s="102" t="n">
        <v>0.804</v>
      </c>
      <c r="G10" s="103">
        <f>(F10-E10)*10000</f>
        <v/>
      </c>
      <c r="H10" s="19" t="inlineStr">
        <is>
          <t>Historical norm is 40% to 50%</t>
        </is>
      </c>
    </row>
    <row r="11">
      <c r="C11" s="10" t="inlineStr">
        <is>
          <t>Net absorption</t>
        </is>
      </c>
      <c r="D11" s="11" t="inlineStr">
        <is>
          <t>MW</t>
        </is>
      </c>
      <c r="E11" s="96" t="n">
        <v>1304</v>
      </c>
      <c r="F11" s="96" t="n">
        <v>1456</v>
      </c>
      <c r="G11" s="97">
        <f>F11/E11-1</f>
        <v/>
      </c>
      <c r="H11" s="17" t="inlineStr">
        <is>
          <t>Absorption is constrained by delivery, not by demand</t>
        </is>
      </c>
      <c r="I11" s="12" t="n"/>
      <c r="J11" s="12" t="n"/>
      <c r="K11" s="12" t="n"/>
      <c r="L11" s="12" t="n"/>
      <c r="M11" s="12" t="n"/>
      <c r="N11" s="12" t="n"/>
      <c r="O11" s="12" t="n"/>
      <c r="P11" s="12" t="n"/>
    </row>
    <row r="12" ht="15" customHeight="1" thickBot="1">
      <c r="C12" s="13" t="inlineStr">
        <is>
          <t>Asking rate growth, blocks above 10 MW</t>
        </is>
      </c>
      <c r="D12" s="14" t="inlineStr">
        <is>
          <t>%</t>
        </is>
      </c>
      <c r="E12" s="14" t="inlineStr">
        <is>
          <t>n.a.</t>
        </is>
      </c>
      <c r="F12" s="104" t="n">
        <v>0.067</v>
      </c>
      <c r="G12" s="14" t="inlineStr">
        <is>
          <t>n.a.</t>
        </is>
      </c>
      <c r="H12" s="19" t="inlineStr">
        <is>
          <t>Pricing power sits with the landlord across every block size</t>
        </is>
      </c>
    </row>
    <row r="13" ht="15" customFormat="1" customHeight="1" s="53" thickBot="1">
      <c r="C13" s="73" t="inlineStr">
        <is>
          <t>Asking rate growth, blocks of 3 MW to 10 MW</t>
        </is>
      </c>
      <c r="D13" s="74" t="inlineStr">
        <is>
          <t>%</t>
        </is>
      </c>
      <c r="E13" s="74" t="inlineStr">
        <is>
          <t>n.a.</t>
        </is>
      </c>
      <c r="F13" s="105" t="n">
        <v>0.083</v>
      </c>
      <c r="G13" s="74" t="inlineStr">
        <is>
          <t>n.a.</t>
        </is>
      </c>
      <c r="H13" s="76" t="inlineStr">
        <is>
          <t>The steepest increase of any size cohort.</t>
        </is>
      </c>
      <c r="I13" s="77" t="n"/>
      <c r="J13" s="77" t="n"/>
      <c r="K13" s="77" t="n"/>
      <c r="L13" s="77" t="n"/>
      <c r="M13" s="77" t="n"/>
      <c r="N13" s="77" t="n"/>
      <c r="O13" s="77" t="n"/>
      <c r="P13" s="78" t="n"/>
    </row>
    <row r="14">
      <c r="C14" s="15" t="inlineStr">
        <is>
          <t>Source: CBRE, North America Data Center Trends H1 2026. Northern Virginia H1 2025 inventory is derived from the reported year over year addition of more than 1 GW.</t>
        </is>
      </c>
    </row>
    <row r="16" ht="17" customHeight="1">
      <c r="C16" s="8" t="inlineStr">
        <is>
          <t>B.  SUPPLY: US INSTALLED DATA CENTER CAPACITY (GW OF IT LOAD)</t>
        </is>
      </c>
      <c r="D16" s="8" t="n"/>
      <c r="E16" s="8" t="n"/>
      <c r="F16" s="8" t="n"/>
      <c r="G16" s="8" t="n"/>
      <c r="H16" s="8" t="n"/>
      <c r="I16" s="8" t="n"/>
      <c r="J16" s="8" t="n"/>
      <c r="K16" s="8" t="n"/>
      <c r="L16" s="8" t="n"/>
      <c r="M16" s="8" t="n"/>
      <c r="N16" s="8" t="n"/>
      <c r="O16" s="8" t="n"/>
      <c r="P16" s="8" t="n"/>
    </row>
    <row r="17" ht="28" customHeight="1">
      <c r="C17" s="29" t="inlineStr">
        <is>
          <t>Line item</t>
        </is>
      </c>
      <c r="D17" s="9" t="inlineStr">
        <is>
          <t>Unit</t>
        </is>
      </c>
      <c r="E17" s="9" t="inlineStr">
        <is>
          <t>2024</t>
        </is>
      </c>
      <c r="F17" s="9" t="inlineStr">
        <is>
          <t>2025</t>
        </is>
      </c>
      <c r="G17" s="9" t="inlineStr">
        <is>
          <t>2026</t>
        </is>
      </c>
      <c r="H17" s="9" t="inlineStr">
        <is>
          <t>2027</t>
        </is>
      </c>
      <c r="I17" s="9" t="inlineStr">
        <is>
          <t>2028</t>
        </is>
      </c>
      <c r="J17" s="9" t="inlineStr">
        <is>
          <t>2029</t>
        </is>
      </c>
      <c r="K17" s="9" t="inlineStr">
        <is>
          <t>2030</t>
        </is>
      </c>
      <c r="L17" s="9" t="inlineStr">
        <is>
          <t>2031</t>
        </is>
      </c>
      <c r="M17" s="9" t="inlineStr">
        <is>
          <t>2032</t>
        </is>
      </c>
      <c r="N17" s="9" t="inlineStr">
        <is>
          <t>2033</t>
        </is>
      </c>
      <c r="O17" s="9" t="inlineStr">
        <is>
          <t>2034</t>
        </is>
      </c>
      <c r="P17" s="9" t="inlineStr">
        <is>
          <t>2035</t>
        </is>
      </c>
    </row>
    <row r="18">
      <c r="C18" s="10" t="inlineStr">
        <is>
          <t>Installed capacity, US total</t>
        </is>
      </c>
      <c r="D18" s="11" t="inlineStr">
        <is>
          <t>GW</t>
        </is>
      </c>
      <c r="E18" s="106" t="n">
        <v>42</v>
      </c>
      <c r="F18" s="106" t="n">
        <v>50</v>
      </c>
      <c r="G18" s="106" t="n">
        <v>60</v>
      </c>
      <c r="H18" s="107">
        <f>G18*(1+$G$19)</f>
        <v/>
      </c>
      <c r="I18" s="107">
        <f>H18*(1+$G$19)</f>
        <v/>
      </c>
      <c r="J18" s="107">
        <f>I18*(1+$G$19)</f>
        <v/>
      </c>
      <c r="K18" s="108" t="n">
        <v>118</v>
      </c>
      <c r="L18" s="107">
        <f>K18*(1+$K$19)</f>
        <v/>
      </c>
      <c r="M18" s="107">
        <f>L18*(1+$K$19)</f>
        <v/>
      </c>
      <c r="N18" s="107">
        <f>M18*(1+$K$19)</f>
        <v/>
      </c>
      <c r="O18" s="107">
        <f>N18*(1+$K$19)</f>
        <v/>
      </c>
      <c r="P18" s="108" t="n">
        <v>194</v>
      </c>
    </row>
    <row r="19">
      <c r="C19" s="13" t="inlineStr">
        <is>
          <t>Interpolation CAGR to next anchor</t>
        </is>
      </c>
      <c r="D19" s="14" t="inlineStr">
        <is>
          <t>%</t>
        </is>
      </c>
      <c r="G19" s="99">
        <f>(K18/G18)^(1/4)-1</f>
        <v/>
      </c>
      <c r="K19" s="109">
        <f>(P18/K18)^(1/5)-1</f>
        <v/>
      </c>
    </row>
    <row r="20">
      <c r="C20" s="10" t="inlineStr">
        <is>
          <t>Annual net additions, deliverable supply</t>
        </is>
      </c>
      <c r="D20" s="11" t="inlineStr">
        <is>
          <t>GW</t>
        </is>
      </c>
      <c r="E20" s="11" t="inlineStr">
        <is>
          <t>n.a.</t>
        </is>
      </c>
      <c r="F20" s="107">
        <f>F18-E18</f>
        <v/>
      </c>
      <c r="G20" s="107">
        <f>G18-F18</f>
        <v/>
      </c>
      <c r="H20" s="107">
        <f>H18-G18</f>
        <v/>
      </c>
      <c r="I20" s="107">
        <f>I18-H18</f>
        <v/>
      </c>
      <c r="J20" s="107">
        <f>J18-I18</f>
        <v/>
      </c>
      <c r="K20" s="107">
        <f>K18-J18</f>
        <v/>
      </c>
      <c r="L20" s="107">
        <f>L18-K18</f>
        <v/>
      </c>
      <c r="M20" s="107">
        <f>M18-L18</f>
        <v/>
      </c>
      <c r="N20" s="107">
        <f>N18-M18</f>
        <v/>
      </c>
      <c r="O20" s="107">
        <f>O18-N18</f>
        <v/>
      </c>
      <c r="P20" s="107">
        <f>P18-O18</f>
        <v/>
      </c>
    </row>
    <row r="21">
      <c r="C21" s="13" t="inlineStr">
        <is>
          <t>Year over year growth</t>
        </is>
      </c>
      <c r="D21" s="14" t="inlineStr">
        <is>
          <t>%</t>
        </is>
      </c>
      <c r="E21" s="14" t="inlineStr">
        <is>
          <t>n.a.</t>
        </is>
      </c>
      <c r="F21" s="99">
        <f>F18/E18-1</f>
        <v/>
      </c>
      <c r="G21" s="99">
        <f>G18/F18-1</f>
        <v/>
      </c>
      <c r="H21" s="99">
        <f>H18/G18-1</f>
        <v/>
      </c>
      <c r="I21" s="99">
        <f>I18/H18-1</f>
        <v/>
      </c>
      <c r="J21" s="99">
        <f>J18/I18-1</f>
        <v/>
      </c>
      <c r="K21" s="99">
        <f>K18/J18-1</f>
        <v/>
      </c>
      <c r="L21" s="99">
        <f>L18/K18-1</f>
        <v/>
      </c>
      <c r="M21" s="99">
        <f>M18/L18-1</f>
        <v/>
      </c>
      <c r="N21" s="99">
        <f>N18/M18-1</f>
        <v/>
      </c>
      <c r="O21" s="99">
        <f>O18/N18-1</f>
        <v/>
      </c>
      <c r="P21" s="99">
        <f>P18/O18-1</f>
        <v/>
      </c>
    </row>
    <row r="22">
      <c r="C22" s="15" t="inlineStr">
        <is>
          <t>Source: BloombergNEF US Data Center Capacity Outlook, July 2026, which forecasts 118 GW of installed US capacity by 2030, a 52% upward revision versus its December 2025 forecast, and 194 GW by 2035</t>
        </is>
      </c>
    </row>
    <row r="24" ht="17" customHeight="1">
      <c r="C24" s="8" t="inlineStr">
        <is>
          <t>C.  DEMAND: CAPITAL COMMITTED TO AI INFRASTRUCTURE, CONVERTED TO GW</t>
        </is>
      </c>
      <c r="D24" s="8" t="n"/>
      <c r="E24" s="8" t="n"/>
      <c r="F24" s="8" t="n"/>
      <c r="G24" s="8" t="n"/>
      <c r="H24" s="8" t="n"/>
      <c r="I24" s="8" t="n"/>
      <c r="J24" s="8" t="n"/>
      <c r="K24" s="8" t="n"/>
      <c r="L24" s="8" t="n"/>
      <c r="M24" s="8" t="n"/>
      <c r="N24" s="8" t="n"/>
      <c r="O24" s="8" t="n"/>
      <c r="P24" s="8" t="n"/>
    </row>
    <row r="25" ht="28" customHeight="1">
      <c r="C25" s="29" t="inlineStr">
        <is>
          <t>Line item</t>
        </is>
      </c>
      <c r="D25" s="9" t="inlineStr">
        <is>
          <t>Unit</t>
        </is>
      </c>
      <c r="E25" s="9" t="inlineStr">
        <is>
          <t>2024</t>
        </is>
      </c>
      <c r="F25" s="9" t="inlineStr">
        <is>
          <t>2025</t>
        </is>
      </c>
      <c r="G25" s="9" t="inlineStr">
        <is>
          <t>2026</t>
        </is>
      </c>
      <c r="H25" s="9" t="inlineStr">
        <is>
          <t>2027</t>
        </is>
      </c>
      <c r="I25" s="9" t="inlineStr">
        <is>
          <t>2028</t>
        </is>
      </c>
      <c r="J25" s="9" t="inlineStr">
        <is>
          <t>2029</t>
        </is>
      </c>
      <c r="K25" s="9" t="inlineStr">
        <is>
          <t>2030</t>
        </is>
      </c>
      <c r="L25" s="9" t="inlineStr">
        <is>
          <t>2031</t>
        </is>
      </c>
      <c r="M25" s="9" t="inlineStr">
        <is>
          <t>2032</t>
        </is>
      </c>
      <c r="N25" s="9" t="inlineStr">
        <is>
          <t>2033</t>
        </is>
      </c>
      <c r="O25" s="9" t="inlineStr">
        <is>
          <t>2034</t>
        </is>
      </c>
      <c r="P25" s="9" t="inlineStr">
        <is>
          <t>2035</t>
        </is>
      </c>
    </row>
    <row r="26">
      <c r="C26" s="13" t="inlineStr">
        <is>
          <t>Hyperscaler capital expenditure, four largest</t>
        </is>
      </c>
      <c r="D26" s="14" t="inlineStr">
        <is>
          <t>$B</t>
        </is>
      </c>
      <c r="E26" s="110" t="n">
        <v>228</v>
      </c>
      <c r="F26" s="110" t="n">
        <v>388</v>
      </c>
      <c r="G26" s="110" t="n">
        <v>630</v>
      </c>
      <c r="H26" s="111">
        <f>G26*(1+H27)</f>
        <v/>
      </c>
      <c r="I26" s="111">
        <f>H26*(1+I27)</f>
        <v/>
      </c>
      <c r="J26" s="111">
        <f>I26*(1+J27)</f>
        <v/>
      </c>
      <c r="K26" s="111">
        <f>J26*(1+K27)</f>
        <v/>
      </c>
      <c r="L26" s="111">
        <f>K26*(1+L27)</f>
        <v/>
      </c>
      <c r="M26" s="111">
        <f>L26*(1+M27)</f>
        <v/>
      </c>
      <c r="N26" s="111">
        <f>M26*(1+N27)</f>
        <v/>
      </c>
      <c r="O26" s="111">
        <f>N26*(1+O27)</f>
        <v/>
      </c>
      <c r="P26" s="111">
        <f>O26*(1+P27)</f>
        <v/>
      </c>
    </row>
    <row r="27">
      <c r="C27" s="10" t="inlineStr">
        <is>
          <t>Growth rate applied</t>
        </is>
      </c>
      <c r="D27" s="11" t="inlineStr">
        <is>
          <t>%</t>
        </is>
      </c>
      <c r="E27" s="12" t="n"/>
      <c r="F27" s="12" t="n"/>
      <c r="G27" s="12" t="n"/>
      <c r="H27" s="100" t="n">
        <v>0.2</v>
      </c>
      <c r="I27" s="100" t="n">
        <v>0.15</v>
      </c>
      <c r="J27" s="100" t="n">
        <v>0.12</v>
      </c>
      <c r="K27" s="100" t="n">
        <v>0.08</v>
      </c>
      <c r="L27" s="100" t="n">
        <v>0.06</v>
      </c>
      <c r="M27" s="100" t="n">
        <v>0.05</v>
      </c>
      <c r="N27" s="100" t="n">
        <v>0.05</v>
      </c>
      <c r="O27" s="100" t="n">
        <v>0.04</v>
      </c>
      <c r="P27" s="100" t="n">
        <v>0.04</v>
      </c>
    </row>
    <row r="28">
      <c r="C28" s="13" t="inlineStr">
        <is>
          <t>Other AI infrastructure capital, percentage uplift</t>
        </is>
      </c>
      <c r="D28" s="14" t="inlineStr">
        <is>
          <t>%</t>
        </is>
      </c>
      <c r="E28" s="102" t="n">
        <v>0.4</v>
      </c>
      <c r="F28" s="102" t="n">
        <v>0.4</v>
      </c>
      <c r="G28" s="102" t="n">
        <v>0.4</v>
      </c>
      <c r="H28" s="102" t="n">
        <v>0.4</v>
      </c>
      <c r="I28" s="102" t="n">
        <v>0.4</v>
      </c>
      <c r="J28" s="102" t="n">
        <v>0.4</v>
      </c>
      <c r="K28" s="102" t="n">
        <v>0.4</v>
      </c>
      <c r="L28" s="102" t="n">
        <v>0.4</v>
      </c>
      <c r="M28" s="102" t="n">
        <v>0.4</v>
      </c>
      <c r="N28" s="102" t="n">
        <v>0.4</v>
      </c>
      <c r="O28" s="102" t="n">
        <v>0.4</v>
      </c>
      <c r="P28" s="102" t="n">
        <v>0.4</v>
      </c>
    </row>
    <row r="29">
      <c r="C29" s="10" t="inlineStr">
        <is>
          <t>Total AI infrastructure capital</t>
        </is>
      </c>
      <c r="D29" s="11" t="inlineStr">
        <is>
          <t>$B</t>
        </is>
      </c>
      <c r="E29" s="112">
        <f>E26*(1+E28)</f>
        <v/>
      </c>
      <c r="F29" s="112">
        <f>F26*(1+F28)</f>
        <v/>
      </c>
      <c r="G29" s="112">
        <f>G26*(1+G28)</f>
        <v/>
      </c>
      <c r="H29" s="112">
        <f>H26*(1+H28)</f>
        <v/>
      </c>
      <c r="I29" s="112">
        <f>I26*(1+I28)</f>
        <v/>
      </c>
      <c r="J29" s="112">
        <f>J26*(1+J28)</f>
        <v/>
      </c>
      <c r="K29" s="112">
        <f>K26*(1+K28)</f>
        <v/>
      </c>
      <c r="L29" s="112">
        <f>L26*(1+L28)</f>
        <v/>
      </c>
      <c r="M29" s="112">
        <f>M26*(1+M28)</f>
        <v/>
      </c>
      <c r="N29" s="112">
        <f>N26*(1+N28)</f>
        <v/>
      </c>
      <c r="O29" s="112">
        <f>O26*(1+O28)</f>
        <v/>
      </c>
      <c r="P29" s="112">
        <f>P26*(1+P28)</f>
        <v/>
      </c>
    </row>
    <row r="30">
      <c r="C30" s="13" t="inlineStr">
        <is>
          <t>Data center infrastructure share of capital</t>
        </is>
      </c>
      <c r="D30" s="14" t="inlineStr">
        <is>
          <t>%</t>
        </is>
      </c>
      <c r="E30" s="102" t="n">
        <v>0.275</v>
      </c>
      <c r="F30" s="102" t="n">
        <v>0.275</v>
      </c>
      <c r="G30" s="102" t="n">
        <v>0.275</v>
      </c>
      <c r="H30" s="102" t="n">
        <v>0.275</v>
      </c>
      <c r="I30" s="102" t="n">
        <v>0.275</v>
      </c>
      <c r="J30" s="102" t="n">
        <v>0.275</v>
      </c>
      <c r="K30" s="102" t="n">
        <v>0.275</v>
      </c>
      <c r="L30" s="102" t="n">
        <v>0.275</v>
      </c>
      <c r="M30" s="102" t="n">
        <v>0.275</v>
      </c>
      <c r="N30" s="102" t="n">
        <v>0.275</v>
      </c>
      <c r="O30" s="102" t="n">
        <v>0.275</v>
      </c>
      <c r="P30" s="102" t="n">
        <v>0.275</v>
      </c>
    </row>
    <row r="31">
      <c r="C31" s="10" t="inlineStr">
        <is>
          <t>Infrastructure capital available to deploy</t>
        </is>
      </c>
      <c r="D31" s="11" t="inlineStr">
        <is>
          <t>$B</t>
        </is>
      </c>
      <c r="E31" s="112">
        <f>E29*E30</f>
        <v/>
      </c>
      <c r="F31" s="112">
        <f>F29*F30</f>
        <v/>
      </c>
      <c r="G31" s="112">
        <f>G29*G30</f>
        <v/>
      </c>
      <c r="H31" s="112">
        <f>H29*H30</f>
        <v/>
      </c>
      <c r="I31" s="112">
        <f>I29*I30</f>
        <v/>
      </c>
      <c r="J31" s="112">
        <f>J29*J30</f>
        <v/>
      </c>
      <c r="K31" s="112">
        <f>K29*K30</f>
        <v/>
      </c>
      <c r="L31" s="112">
        <f>L29*L30</f>
        <v/>
      </c>
      <c r="M31" s="112">
        <f>M29*M30</f>
        <v/>
      </c>
      <c r="N31" s="112">
        <f>N29*N30</f>
        <v/>
      </c>
      <c r="O31" s="112">
        <f>O29*O30</f>
        <v/>
      </c>
      <c r="P31" s="112">
        <f>P29*P30</f>
        <v/>
      </c>
    </row>
    <row r="32">
      <c r="C32" s="13" t="inlineStr">
        <is>
          <t>Implied capacity demanded (Assuming average 15 MW Sites)</t>
        </is>
      </c>
      <c r="D32" s="14" t="inlineStr">
        <is>
          <t>GW</t>
        </is>
      </c>
      <c r="E32" s="14" t="inlineStr">
        <is>
          <t>n.a.</t>
        </is>
      </c>
      <c r="F32" s="14" t="inlineStr">
        <is>
          <t>n.a.</t>
        </is>
      </c>
      <c r="G32" s="113">
        <f>G31/15</f>
        <v/>
      </c>
      <c r="H32" s="113">
        <f>H31/15</f>
        <v/>
      </c>
      <c r="I32" s="113">
        <f>I31/15</f>
        <v/>
      </c>
      <c r="J32" s="113">
        <f>J31/15</f>
        <v/>
      </c>
      <c r="K32" s="113">
        <f>K31/15</f>
        <v/>
      </c>
      <c r="L32" s="113">
        <f>L31/15</f>
        <v/>
      </c>
      <c r="M32" s="113">
        <f>M31/15</f>
        <v/>
      </c>
      <c r="N32" s="113">
        <f>N31/15</f>
        <v/>
      </c>
      <c r="O32" s="113">
        <f>O31/15</f>
        <v/>
      </c>
      <c r="P32" s="113">
        <f>P31/15</f>
        <v/>
      </c>
    </row>
    <row r="33">
      <c r="C33" s="15" t="inlineStr">
        <is>
          <t xml:space="preserve">Sources: reported and guided 2026 capital expenditure for Amazon, Alphabet, Microsoft and Meta of approximately $630B in aggregate, versus $388B in 2025. </t>
        </is>
      </c>
    </row>
    <row r="35" ht="17" customHeight="1">
      <c r="C35" s="8" t="inlineStr">
        <is>
          <t>D.  SUPPLY AND DEMAND BALANCE</t>
        </is>
      </c>
      <c r="D35" s="8" t="n"/>
      <c r="E35" s="8" t="n"/>
      <c r="F35" s="8" t="n"/>
      <c r="G35" s="8" t="n"/>
      <c r="H35" s="8" t="n"/>
      <c r="I35" s="8" t="n"/>
      <c r="J35" s="8" t="n"/>
      <c r="K35" s="8" t="n"/>
      <c r="L35" s="8" t="n"/>
      <c r="M35" s="8" t="n"/>
      <c r="N35" s="8" t="n"/>
      <c r="O35" s="8" t="n"/>
      <c r="P35" s="8" t="n"/>
    </row>
    <row r="36" ht="28" customHeight="1">
      <c r="C36" s="29" t="inlineStr">
        <is>
          <t>Line item</t>
        </is>
      </c>
      <c r="D36" s="9" t="inlineStr">
        <is>
          <t>Unit</t>
        </is>
      </c>
      <c r="E36" s="9" t="inlineStr">
        <is>
          <t>2024</t>
        </is>
      </c>
      <c r="F36" s="9" t="inlineStr">
        <is>
          <t>2025</t>
        </is>
      </c>
      <c r="G36" s="9" t="inlineStr">
        <is>
          <t>2026</t>
        </is>
      </c>
      <c r="H36" s="9" t="inlineStr">
        <is>
          <t>2027</t>
        </is>
      </c>
      <c r="I36" s="9" t="inlineStr">
        <is>
          <t>2028</t>
        </is>
      </c>
      <c r="J36" s="9" t="inlineStr">
        <is>
          <t>2029</t>
        </is>
      </c>
      <c r="K36" s="9" t="inlineStr">
        <is>
          <t>2030</t>
        </is>
      </c>
      <c r="L36" s="9" t="inlineStr">
        <is>
          <t>2031</t>
        </is>
      </c>
      <c r="M36" s="9" t="inlineStr">
        <is>
          <t>2032</t>
        </is>
      </c>
      <c r="N36" s="9" t="inlineStr">
        <is>
          <t>2033</t>
        </is>
      </c>
      <c r="O36" s="9" t="inlineStr">
        <is>
          <t>2034</t>
        </is>
      </c>
      <c r="P36" s="9" t="inlineStr">
        <is>
          <t>2035</t>
        </is>
      </c>
    </row>
    <row r="37">
      <c r="C37" s="13" t="inlineStr">
        <is>
          <t>Capacity demanded</t>
        </is>
      </c>
      <c r="D37" s="14" t="inlineStr">
        <is>
          <t>GW</t>
        </is>
      </c>
      <c r="E37" s="14" t="inlineStr">
        <is>
          <t>n.a.</t>
        </is>
      </c>
      <c r="F37" s="14" t="inlineStr">
        <is>
          <t>n.a.</t>
        </is>
      </c>
      <c r="G37" s="114">
        <f>G32</f>
        <v/>
      </c>
      <c r="H37" s="114">
        <f>H32</f>
        <v/>
      </c>
      <c r="I37" s="114">
        <f>I32</f>
        <v/>
      </c>
      <c r="J37" s="114">
        <f>J32</f>
        <v/>
      </c>
      <c r="K37" s="114">
        <f>K32</f>
        <v/>
      </c>
      <c r="L37" s="114">
        <f>L32</f>
        <v/>
      </c>
      <c r="M37" s="114">
        <f>M32</f>
        <v/>
      </c>
      <c r="N37" s="114">
        <f>N32</f>
        <v/>
      </c>
      <c r="O37" s="114">
        <f>O32</f>
        <v/>
      </c>
      <c r="P37" s="114">
        <f>P32</f>
        <v/>
      </c>
    </row>
    <row r="38">
      <c r="C38" s="10" t="inlineStr">
        <is>
          <t>Less: deliverable supply</t>
        </is>
      </c>
      <c r="D38" s="11" t="inlineStr">
        <is>
          <t>GW</t>
        </is>
      </c>
      <c r="E38" s="11" t="inlineStr">
        <is>
          <t>n.a.</t>
        </is>
      </c>
      <c r="F38" s="11" t="inlineStr">
        <is>
          <t>n.a.</t>
        </is>
      </c>
      <c r="G38" s="107">
        <f>-G20</f>
        <v/>
      </c>
      <c r="H38" s="107">
        <f>-H20</f>
        <v/>
      </c>
      <c r="I38" s="107">
        <f>-I20</f>
        <v/>
      </c>
      <c r="J38" s="107">
        <f>-J20</f>
        <v/>
      </c>
      <c r="K38" s="107">
        <f>-K20</f>
        <v/>
      </c>
      <c r="L38" s="107">
        <f>-L20</f>
        <v/>
      </c>
      <c r="M38" s="107">
        <f>-M20</f>
        <v/>
      </c>
      <c r="N38" s="107">
        <f>-N20</f>
        <v/>
      </c>
      <c r="O38" s="107">
        <f>-O20</f>
        <v/>
      </c>
      <c r="P38" s="107">
        <f>-P20</f>
        <v/>
      </c>
    </row>
    <row r="39">
      <c r="C39" s="26" t="inlineStr">
        <is>
          <t>Annual shortfall</t>
        </is>
      </c>
      <c r="D39" s="27" t="inlineStr">
        <is>
          <t>GW</t>
        </is>
      </c>
      <c r="E39" s="27" t="inlineStr">
        <is>
          <t>n.a.</t>
        </is>
      </c>
      <c r="F39" s="27" t="inlineStr">
        <is>
          <t>n.a.</t>
        </is>
      </c>
      <c r="G39" s="115">
        <f>SUM(G37:G38)</f>
        <v/>
      </c>
      <c r="H39" s="115">
        <f>SUM(H37:H38)</f>
        <v/>
      </c>
      <c r="I39" s="115">
        <f>SUM(I37:I38)</f>
        <v/>
      </c>
      <c r="J39" s="115">
        <f>SUM(J37:J38)</f>
        <v/>
      </c>
      <c r="K39" s="115">
        <f>SUM(K37:K38)</f>
        <v/>
      </c>
      <c r="L39" s="115">
        <f>SUM(L37:L38)</f>
        <v/>
      </c>
      <c r="M39" s="115">
        <f>SUM(M37:M38)</f>
        <v/>
      </c>
      <c r="N39" s="115">
        <f>SUM(N37:N38)</f>
        <v/>
      </c>
      <c r="O39" s="115">
        <f>SUM(O37:O38)</f>
        <v/>
      </c>
      <c r="P39" s="115">
        <f>SUM(P37:P38)</f>
        <v/>
      </c>
    </row>
    <row r="40">
      <c r="C40" s="10" t="inlineStr">
        <is>
          <t>Cumulative shortfall since 2026</t>
        </is>
      </c>
      <c r="D40" s="11" t="inlineStr">
        <is>
          <t>GW</t>
        </is>
      </c>
      <c r="E40" s="11" t="inlineStr">
        <is>
          <t>n.a.</t>
        </is>
      </c>
      <c r="F40" s="11" t="inlineStr">
        <is>
          <t>n.a.</t>
        </is>
      </c>
      <c r="G40" s="107">
        <f>G39</f>
        <v/>
      </c>
      <c r="H40" s="107">
        <f>G40+H39</f>
        <v/>
      </c>
      <c r="I40" s="107">
        <f>H40+I39</f>
        <v/>
      </c>
      <c r="J40" s="107">
        <f>I40+J39</f>
        <v/>
      </c>
      <c r="K40" s="107">
        <f>J40+K39</f>
        <v/>
      </c>
      <c r="L40" s="107">
        <f>K40+L39</f>
        <v/>
      </c>
      <c r="M40" s="107">
        <f>L40+M39</f>
        <v/>
      </c>
      <c r="N40" s="107">
        <f>M40+N39</f>
        <v/>
      </c>
      <c r="O40" s="107">
        <f>N40+O39</f>
        <v/>
      </c>
      <c r="P40" s="107">
        <f>O40+P39</f>
        <v/>
      </c>
    </row>
  </sheetData>
  <pageMargins left="0.75" right="0.75" top="1" bottom="1" header="0.5" footer="0.5"/>
  <pageSetup orientation="landscape" scale="67" fitToHeight="0"/>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4.xml><?xml version="1.0" encoding="utf-8"?>
<worksheet xmlns="http://schemas.openxmlformats.org/spreadsheetml/2006/main">
  <sheetPr>
    <tabColor rgb="FF0F2F51"/>
    <outlinePr summaryBelow="1" summaryRight="1"/>
    <pageSetUpPr fitToPage="1"/>
  </sheetPr>
  <dimension ref="C3:O20"/>
  <sheetViews>
    <sheetView showGridLines="0" tabSelected="1" view="pageBreakPreview" zoomScale="115" zoomScaleNormal="100" zoomScaleSheetLayoutView="115" workbookViewId="0">
      <selection activeCell="A1" sqref="A1"/>
    </sheetView>
  </sheetViews>
  <sheetFormatPr baseColWidth="8" defaultRowHeight="14.5"/>
  <cols>
    <col width="2" customWidth="1" min="1" max="2"/>
    <col width="26" customWidth="1" min="3" max="3"/>
    <col width="8" customWidth="1" min="4" max="4"/>
    <col width="26" customWidth="1" min="5" max="5"/>
    <col width="11" customWidth="1" min="6" max="8"/>
    <col width="11.36328125" bestFit="1" customWidth="1" min="9" max="10"/>
    <col width="13.7265625" bestFit="1" customWidth="1" min="11" max="11"/>
    <col width="12.1796875" bestFit="1" customWidth="1" min="12" max="12"/>
    <col width="11" customWidth="1" min="13" max="14"/>
    <col width="24.6328125" customWidth="1" min="15" max="15"/>
  </cols>
  <sheetData>
    <row r="3" ht="20" customHeight="1">
      <c r="C3" s="7" t="inlineStr">
        <is>
          <t>PUBLIC COMPARABLES: LISTED DATA CENTER AND AI INFRASTRUCTURE OWNERS</t>
        </is>
      </c>
      <c r="D3" s="7" t="n"/>
      <c r="E3" s="7" t="n"/>
      <c r="F3" s="7" t="n"/>
      <c r="G3" s="7" t="n"/>
      <c r="H3" s="7" t="n"/>
      <c r="I3" s="7" t="n"/>
      <c r="J3" s="7" t="n"/>
      <c r="K3" s="7" t="n"/>
      <c r="L3" s="7" t="n"/>
      <c r="M3" s="7" t="n"/>
      <c r="N3" s="7" t="n"/>
      <c r="O3" s="7" t="n"/>
    </row>
    <row r="4" ht="12" customHeight="1">
      <c r="C4" s="116" t="inlineStr">
        <is>
          <t>Market data as of 23-Sep-2026. Capacity figures per company disclosure and press reporting on the dates noted, and remain estimates.</t>
        </is>
      </c>
    </row>
    <row r="5" ht="17" customHeight="1">
      <c r="C5" s="8" t="inlineStr">
        <is>
          <t>A.  TRADING COMPARABLES</t>
        </is>
      </c>
      <c r="D5" s="8" t="n"/>
      <c r="E5" s="8" t="n"/>
      <c r="F5" s="8" t="n"/>
      <c r="G5" s="8" t="n"/>
      <c r="H5" s="8" t="n"/>
      <c r="I5" s="8" t="n"/>
      <c r="J5" s="8" t="n"/>
      <c r="K5" s="8" t="n"/>
      <c r="L5" s="8" t="n"/>
      <c r="M5" s="8" t="n"/>
      <c r="N5" s="8" t="n"/>
      <c r="O5" s="8" t="n"/>
    </row>
    <row r="6" ht="28" customHeight="1">
      <c r="C6" s="9" t="inlineStr">
        <is>
          <t>Company</t>
        </is>
      </c>
      <c r="D6" s="9" t="inlineStr">
        <is>
          <t>Ticker</t>
        </is>
      </c>
      <c r="E6" s="9" t="inlineStr">
        <is>
          <t>Business model</t>
        </is>
      </c>
      <c r="F6" s="9" t="inlineStr">
        <is>
          <t>Market cap ($B)</t>
        </is>
      </c>
      <c r="G6" s="9" t="inlineStr">
        <is>
          <t>Net debt ($B)</t>
        </is>
      </c>
      <c r="H6" s="9" t="inlineStr">
        <is>
          <t>Enterprise value ($B)</t>
        </is>
      </c>
      <c r="I6" s="9" t="inlineStr">
        <is>
          <t>Operating capacity (GW)</t>
        </is>
      </c>
      <c r="J6" s="9" t="inlineStr">
        <is>
          <t>Secured capacity (GW)</t>
        </is>
      </c>
      <c r="K6" s="9" t="inlineStr">
        <is>
          <t>EV per operating MW ($M)</t>
        </is>
      </c>
      <c r="L6" s="9" t="inlineStr">
        <is>
          <t>EV per secured MW ($M)</t>
        </is>
      </c>
      <c r="M6" s="9" t="inlineStr">
        <is>
          <t>EBITDA, TTM ($B)</t>
        </is>
      </c>
      <c r="N6" s="9" t="inlineStr">
        <is>
          <t>EV / EBITDA, TTM (x)</t>
        </is>
      </c>
      <c r="O6" s="9" t="inlineStr">
        <is>
          <t>Notes</t>
        </is>
      </c>
    </row>
    <row r="7">
      <c r="C7" s="32" t="inlineStr">
        <is>
          <t>Data center REITs</t>
        </is>
      </c>
      <c r="D7" s="3" t="n"/>
      <c r="E7" s="3" t="n"/>
      <c r="F7" s="3" t="n"/>
      <c r="G7" s="3" t="n"/>
      <c r="H7" s="3" t="n"/>
      <c r="I7" s="3" t="n"/>
      <c r="J7" s="3" t="n"/>
      <c r="K7" s="3" t="n"/>
      <c r="L7" s="3" t="n"/>
      <c r="M7" s="3" t="n"/>
      <c r="N7" s="3" t="n"/>
      <c r="O7" s="3" t="n"/>
    </row>
    <row r="8" ht="34" customHeight="1">
      <c r="C8" s="10" t="inlineStr">
        <is>
          <t>Equinix</t>
        </is>
      </c>
      <c r="D8" s="33" t="inlineStr">
        <is>
          <t>EQIX</t>
        </is>
      </c>
      <c r="E8" s="30" t="inlineStr">
        <is>
          <t>Retail colocation and interconnection</t>
        </is>
      </c>
      <c r="F8" s="117" t="n">
        <v>102.39</v>
      </c>
      <c r="G8" s="117" t="n">
        <v>22.38</v>
      </c>
      <c r="H8" s="118">
        <f>F8+G8</f>
        <v/>
      </c>
      <c r="I8" s="106" t="n">
        <v>1.5</v>
      </c>
      <c r="J8" s="106" t="n">
        <v>3</v>
      </c>
      <c r="K8" s="107">
        <f>H8*1000/(I8*1000)</f>
        <v/>
      </c>
      <c r="L8" s="107">
        <f>H8*1000/(J8*1000)</f>
        <v/>
      </c>
      <c r="M8" s="117" t="n">
        <v>4.54</v>
      </c>
      <c r="N8" s="119">
        <f>H8/M8</f>
        <v/>
      </c>
      <c r="O8" s="120" t="inlineStr">
        <is>
          <t>Market data 23-Sep-2026 per stockanalysis.com. EV $124.8B, EBITDA is trailing twelve months. Capacity estimated from the IBX portfolio.</t>
        </is>
      </c>
    </row>
    <row r="9" ht="34" customHeight="1">
      <c r="C9" s="13" t="inlineStr">
        <is>
          <t>Digital Realty Trust</t>
        </is>
      </c>
      <c r="D9" s="37" t="inlineStr">
        <is>
          <t>DLR</t>
        </is>
      </c>
      <c r="E9" s="31" t="inlineStr">
        <is>
          <t>Hyperscale leasing and colocation</t>
        </is>
      </c>
      <c r="F9" s="121" t="n">
        <v>68.53</v>
      </c>
      <c r="G9" s="121" t="n">
        <v>18.16</v>
      </c>
      <c r="H9" s="122">
        <f>F9+G9</f>
        <v/>
      </c>
      <c r="I9" s="108" t="n">
        <v>2.6</v>
      </c>
      <c r="J9" s="108" t="n">
        <v>5.5</v>
      </c>
      <c r="K9" s="114">
        <f>H9*1000/(I9*1000)</f>
        <v/>
      </c>
      <c r="L9" s="114">
        <f>H9*1000/(J9*1000)</f>
        <v/>
      </c>
      <c r="M9" s="121" t="n">
        <v>3.21</v>
      </c>
      <c r="N9" s="123">
        <f>H9/M9</f>
        <v/>
      </c>
      <c r="O9" s="124" t="inlineStr">
        <is>
          <t>Market data 23-Sep-2026 per stockanalysis.com. EV $86.7B. Capacity estimated across the global portfolio including advanced stage pipeline.</t>
        </is>
      </c>
    </row>
    <row r="10">
      <c r="C10" s="32" t="inlineStr">
        <is>
          <t>AI cloud platforms</t>
        </is>
      </c>
      <c r="D10" s="3" t="n"/>
      <c r="E10" s="3" t="n"/>
      <c r="F10" s="3" t="n"/>
      <c r="G10" s="3" t="n"/>
      <c r="H10" s="3" t="n"/>
      <c r="I10" s="3" t="n"/>
      <c r="J10" s="3" t="n"/>
      <c r="K10" s="3" t="n"/>
      <c r="L10" s="3" t="n"/>
      <c r="M10" s="3" t="n"/>
      <c r="N10" s="3" t="n"/>
      <c r="O10" s="3" t="n"/>
    </row>
    <row r="11" ht="34" customHeight="1">
      <c r="C11" s="10" t="inlineStr">
        <is>
          <t>CoreWeave</t>
        </is>
      </c>
      <c r="D11" s="33" t="inlineStr">
        <is>
          <t>CRWV</t>
        </is>
      </c>
      <c r="E11" s="30" t="inlineStr">
        <is>
          <t>GPU cloud, leased and owned capacity</t>
        </is>
      </c>
      <c r="F11" s="117" t="n">
        <v>47.93</v>
      </c>
      <c r="G11" s="117" t="n">
        <v>46.07</v>
      </c>
      <c r="H11" s="118">
        <f>F11+G11</f>
        <v/>
      </c>
      <c r="I11" s="106" t="n">
        <v>0.9</v>
      </c>
      <c r="J11" s="106" t="n">
        <v>2.9</v>
      </c>
      <c r="K11" s="107">
        <f>H11*1000/(I11*1000)</f>
        <v/>
      </c>
      <c r="L11" s="107">
        <f>H11*1000/(J11*1000)</f>
        <v/>
      </c>
      <c r="M11" s="117" t="n">
        <v>3.79</v>
      </c>
      <c r="N11" s="119">
        <f>H11/M11</f>
        <v/>
      </c>
      <c r="O11" s="120" t="inlineStr">
        <is>
          <t>Market data 23-Sep-2026 per stockanalysis.com. EV $94.0B on $51.6B of gross debt, the most levered balance sheet on this page. Capacity is leased rather than owned.</t>
        </is>
      </c>
    </row>
    <row r="12" ht="34" customHeight="1">
      <c r="C12" s="13" t="inlineStr">
        <is>
          <t>IREN</t>
        </is>
      </c>
      <c r="D12" s="37" t="inlineStr">
        <is>
          <t>IREN</t>
        </is>
      </c>
      <c r="E12" s="31" t="inlineStr">
        <is>
          <t>Owned power plus GPU cloud</t>
        </is>
      </c>
      <c r="F12" s="121" t="n">
        <v>18.54</v>
      </c>
      <c r="G12" s="121" t="n">
        <v>1.94</v>
      </c>
      <c r="H12" s="122">
        <f>F12+G12</f>
        <v/>
      </c>
      <c r="I12" s="125" t="n">
        <v>0.3</v>
      </c>
      <c r="J12" s="125" t="n">
        <v>5</v>
      </c>
      <c r="K12" s="114">
        <f>H12*1000/(I12*1000)</f>
        <v/>
      </c>
      <c r="L12" s="114">
        <f>H12*1000/(J12*1000)</f>
        <v/>
      </c>
      <c r="M12" s="121" t="n">
        <v>0.04</v>
      </c>
      <c r="N12" s="126" t="inlineStr">
        <is>
          <t>n.m.</t>
        </is>
      </c>
      <c r="O12" s="124" t="inlineStr">
        <is>
          <t>Market data 23-Sep-2026 per stockanalysis.com. Roughly 5 GW contracted or secured at 30-Jun-2026 across four countries. Operating figure is the 2026 target of 0.3 GW of IT capacity. EBITDA of $38M is not meaningful against a $20.5B EV.</t>
        </is>
      </c>
    </row>
    <row r="13">
      <c r="C13" s="32" t="inlineStr">
        <is>
          <t>Powered land and converted miners</t>
        </is>
      </c>
      <c r="D13" s="3" t="n"/>
      <c r="E13" s="3" t="n"/>
      <c r="F13" s="3" t="n"/>
      <c r="G13" s="3" t="n"/>
      <c r="H13" s="3" t="n"/>
      <c r="I13" s="3" t="n"/>
      <c r="J13" s="3" t="n"/>
      <c r="K13" s="3" t="n"/>
      <c r="L13" s="3" t="n"/>
      <c r="M13" s="3" t="n"/>
      <c r="N13" s="3" t="n"/>
      <c r="O13" s="3" t="n"/>
    </row>
    <row r="14" ht="34" customHeight="1">
      <c r="C14" s="10" t="inlineStr">
        <is>
          <t>TeraWulf</t>
        </is>
      </c>
      <c r="D14" s="33" t="inlineStr">
        <is>
          <t>WULF</t>
        </is>
      </c>
      <c r="E14" s="30" t="inlineStr">
        <is>
          <t>Powered land, colocation to AI tenants</t>
        </is>
      </c>
      <c r="F14" s="117" t="n">
        <v>8.16</v>
      </c>
      <c r="G14" s="117" t="n">
        <v>2.62</v>
      </c>
      <c r="H14" s="118">
        <f>F14+G14</f>
        <v/>
      </c>
      <c r="I14" s="106" t="n">
        <v>0.4</v>
      </c>
      <c r="J14" s="106" t="n">
        <v>2.9</v>
      </c>
      <c r="K14" s="107">
        <f>H14*1000/(I14*1000)</f>
        <v/>
      </c>
      <c r="L14" s="107">
        <f>H14*1000/(J14*1000)</f>
        <v/>
      </c>
      <c r="M14" s="117" t="n">
        <v>-0.27</v>
      </c>
      <c r="N14" s="127" t="inlineStr">
        <is>
          <t>n.m.</t>
        </is>
      </c>
      <c r="O14" s="120" t="inlineStr">
        <is>
          <t>Market data 23-Sep-2026 per stockanalysis.com. EBITDA is negative on a trailing basis, so no multiple is shown. Platform of 2.9 GW with more than $13B of contracted revenue.</t>
        </is>
      </c>
    </row>
    <row r="15" ht="34" customHeight="1">
      <c r="C15" s="13" t="inlineStr">
        <is>
          <t>Cipher Mining</t>
        </is>
      </c>
      <c r="D15" s="37" t="inlineStr">
        <is>
          <t>CIFR</t>
        </is>
      </c>
      <c r="E15" s="31" t="inlineStr">
        <is>
          <t>Powered land, HPC colocation</t>
        </is>
      </c>
      <c r="F15" s="121" t="n">
        <v>7.62</v>
      </c>
      <c r="G15" s="121" t="n">
        <v>4.76</v>
      </c>
      <c r="H15" s="122">
        <f>F15+G15</f>
        <v/>
      </c>
      <c r="I15" s="108" t="n">
        <v>0.3</v>
      </c>
      <c r="J15" s="125" t="n">
        <v>3.2</v>
      </c>
      <c r="K15" s="114">
        <f>H15*1000/(I15*1000)</f>
        <v/>
      </c>
      <c r="L15" s="114">
        <f>H15*1000/(J15*1000)</f>
        <v/>
      </c>
      <c r="M15" s="121" t="n">
        <v>0.1</v>
      </c>
      <c r="N15" s="126" t="inlineStr">
        <is>
          <t>n.m.</t>
        </is>
      </c>
      <c r="O15" s="124" t="inlineStr">
        <is>
          <t>Market data 23-Sep-2026 per stockanalysis.com. Secured capacity raised to 3.2 GW on conditional ERCOT status for its Texas sites granted 16-Sep-2026. 700 MW of that is contracted HPC.</t>
        </is>
      </c>
    </row>
    <row r="16" ht="34" customHeight="1">
      <c r="C16" s="10" t="inlineStr">
        <is>
          <t>Galaxy Digital</t>
        </is>
      </c>
      <c r="D16" s="33" t="inlineStr">
        <is>
          <t>GLXY</t>
        </is>
      </c>
      <c r="E16" s="30" t="inlineStr">
        <is>
          <t>Helios campus, colocation to CoreWeave</t>
        </is>
      </c>
      <c r="F16" s="117" t="n">
        <v>10.08</v>
      </c>
      <c r="G16" s="117" t="n">
        <v>3.53</v>
      </c>
      <c r="H16" s="118">
        <f>F16+G16</f>
        <v/>
      </c>
      <c r="I16" s="106" t="n">
        <v>0.2</v>
      </c>
      <c r="J16" s="106" t="n">
        <v>0.8</v>
      </c>
      <c r="K16" s="107">
        <f>H16*1000/(I16*1000)</f>
        <v/>
      </c>
      <c r="L16" s="107">
        <f>H16*1000/(J16*1000)</f>
        <v/>
      </c>
      <c r="M16" s="127" t="inlineStr">
        <is>
          <t>n.m.</t>
        </is>
      </c>
      <c r="N16" s="127" t="inlineStr">
        <is>
          <t>n.m.</t>
        </is>
      </c>
      <c r="O16" s="120" t="inlineStr">
        <is>
          <t>Market data 23-Sep-2026 per stockanalysis.com. EBITDA is not comparable because the reported figure consolidates crypto trading flows rather than infrastructure earnings, so no multiple is shown. 200 MW contracted to CoreWeave at Helios.</t>
        </is>
      </c>
    </row>
    <row r="18" ht="11" customHeight="1">
      <c r="C18" s="128" t="inlineStr">
        <is>
          <t>Enterprise value is market capitalization plus net debt, where net debt is total debt less cash and equivalents. Figures tie to the source EV within rounding.</t>
        </is>
      </c>
    </row>
    <row r="19" ht="11" customHeight="1">
      <c r="C19" s="128" t="inlineStr">
        <is>
          <t>EBITDA is trailing twelve months rather than a forward estimate. Multiples above 50x, and those struck on negative or non comparable EBITDA, are shown as not meaningful.</t>
        </is>
      </c>
    </row>
    <row r="20" ht="11" customHeight="1">
      <c r="C20" s="128" t="inlineStr">
        <is>
          <t>Operating capacity is critical IT load in service. Secured capacity is operating capacity plus contracted power and advanced stage pipeline. The two denominators produce very different results, so read enterprise value per megawatt only alongside the basis it is struck on.</t>
        </is>
      </c>
    </row>
  </sheetData>
  <pageMargins left="0.75" right="0.75" top="1" bottom="1" header="0.5" footer="0.5"/>
  <pageSetup orientation="landscape" scale="60" fitToHeight="0"/>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xl/worksheets/sheet5.xml><?xml version="1.0" encoding="utf-8"?>
<worksheet xmlns="http://schemas.openxmlformats.org/spreadsheetml/2006/main">
  <sheetPr>
    <tabColor rgb="FF0F2F51"/>
    <outlinePr summaryBelow="1" summaryRight="1"/>
    <pageSetUpPr fitToPage="1"/>
  </sheetPr>
  <dimension ref="C3:L20"/>
  <sheetViews>
    <sheetView showGridLines="0" view="pageBreakPreview" zoomScale="115" zoomScaleNormal="100" zoomScaleSheetLayoutView="115" workbookViewId="0">
      <selection activeCell="A1" sqref="A1"/>
    </sheetView>
  </sheetViews>
  <sheetFormatPr baseColWidth="8" defaultRowHeight="14.5"/>
  <cols>
    <col width="2" customWidth="1" min="1" max="2"/>
    <col width="10" customWidth="1" min="3" max="3"/>
    <col width="24" customWidth="1" min="4" max="4"/>
    <col width="30" customWidth="1" min="5" max="5"/>
    <col width="12" customWidth="1" min="6" max="8"/>
    <col width="13.7265625" bestFit="1" customWidth="1" min="9" max="9"/>
    <col width="12" customWidth="1" min="10" max="11"/>
    <col width="21.1796875" bestFit="1" customWidth="1" min="12" max="12"/>
    <col width="2.6328125" customWidth="1" min="13" max="13"/>
  </cols>
  <sheetData>
    <row r="3" ht="20" customHeight="1">
      <c r="C3" s="7" t="inlineStr">
        <is>
          <t>PRIVATE COMPARABLES: PLATFORM M&amp;A AND PROJECT LEVEL FINANCINGS</t>
        </is>
      </c>
      <c r="D3" s="7" t="n"/>
      <c r="E3" s="7" t="n"/>
      <c r="F3" s="7" t="n"/>
      <c r="G3" s="7" t="n"/>
      <c r="H3" s="7" t="n"/>
      <c r="I3" s="7" t="n"/>
      <c r="J3" s="7" t="n"/>
      <c r="K3" s="7" t="n"/>
      <c r="L3" s="7" t="n"/>
    </row>
    <row r="5" ht="17" customHeight="1">
      <c r="C5" s="8" t="inlineStr">
        <is>
          <t>A.  PLATFORM M&amp;A TRANSACTIONS</t>
        </is>
      </c>
      <c r="D5" s="8" t="n"/>
      <c r="E5" s="8" t="n"/>
      <c r="F5" s="8" t="n"/>
      <c r="G5" s="8" t="n"/>
      <c r="H5" s="8" t="n"/>
      <c r="I5" s="8" t="n"/>
      <c r="J5" s="8" t="n"/>
      <c r="K5" s="8" t="n"/>
      <c r="L5" s="8" t="n"/>
    </row>
    <row r="6" ht="28" customHeight="1">
      <c r="C6" s="9" t="inlineStr">
        <is>
          <t>Date</t>
        </is>
      </c>
      <c r="D6" s="9" t="inlineStr">
        <is>
          <t>Target</t>
        </is>
      </c>
      <c r="E6" s="9" t="inlineStr">
        <is>
          <t>Acquirer</t>
        </is>
      </c>
      <c r="F6" s="9" t="inlineStr">
        <is>
          <t>Enterprise value ($B)</t>
        </is>
      </c>
      <c r="G6" s="9" t="inlineStr">
        <is>
          <t>Operating capacity (GW)</t>
        </is>
      </c>
      <c r="H6" s="9" t="inlineStr">
        <is>
          <t>Total capacity (GW)</t>
        </is>
      </c>
      <c r="I6" s="9" t="inlineStr">
        <is>
          <t>EV per operating MW ($M)</t>
        </is>
      </c>
      <c r="J6" s="9" t="inlineStr">
        <is>
          <t>EV per total MW ($M)</t>
        </is>
      </c>
      <c r="K6" s="9" t="inlineStr">
        <is>
          <t>EV / EBITDA (x)</t>
        </is>
      </c>
      <c r="L6" s="9" t="inlineStr">
        <is>
          <t>Comment</t>
        </is>
      </c>
    </row>
    <row r="7" ht="30" customHeight="1">
      <c r="C7" s="33" t="inlineStr">
        <is>
          <t>Oct-25</t>
        </is>
      </c>
      <c r="D7" s="17" t="inlineStr">
        <is>
          <t>Aligned Data Centers</t>
        </is>
      </c>
      <c r="E7" s="30" t="inlineStr">
        <is>
          <t>AIP, MGX and GIP (BlackRock)</t>
        </is>
      </c>
      <c r="F7" s="129" t="n">
        <v>40</v>
      </c>
      <c r="G7" s="106" t="n">
        <v>1.5</v>
      </c>
      <c r="H7" s="106" t="n">
        <v>5</v>
      </c>
      <c r="I7" s="107">
        <f>F7*1000/(G7*1000)</f>
        <v/>
      </c>
      <c r="J7" s="107">
        <f>F7*1000/(H7*1000)</f>
        <v/>
      </c>
      <c r="K7" s="11" t="inlineStr">
        <is>
          <t>n.a.</t>
        </is>
      </c>
      <c r="L7" s="36" t="inlineStr">
        <is>
          <t>Largest private data center transaction on record. Capacity spans 50 facilities.</t>
        </is>
      </c>
    </row>
    <row r="8" ht="30" customHeight="1">
      <c r="C8" s="37" t="inlineStr">
        <is>
          <t>Sep-24</t>
        </is>
      </c>
      <c r="D8" s="19" t="inlineStr">
        <is>
          <t>AirTrunk</t>
        </is>
      </c>
      <c r="E8" s="31" t="inlineStr">
        <is>
          <t>Blackstone and CPP Investments</t>
        </is>
      </c>
      <c r="F8" s="130" t="n">
        <v>16</v>
      </c>
      <c r="G8" s="108" t="n">
        <v>0.8</v>
      </c>
      <c r="H8" s="108" t="n">
        <v>1.8</v>
      </c>
      <c r="I8" s="114">
        <f>F8*1000/(G8*1000)</f>
        <v/>
      </c>
      <c r="J8" s="114">
        <f>F8*1000/(H8*1000)</f>
        <v/>
      </c>
      <c r="K8" s="131" t="n">
        <v>28</v>
      </c>
      <c r="L8" s="40" t="inlineStr">
        <is>
          <t>Asia Pacific platform. Priced at a scarcity premium for secured power.</t>
        </is>
      </c>
    </row>
    <row r="9" ht="30" customHeight="1">
      <c r="C9" s="33" t="inlineStr">
        <is>
          <t>2023</t>
        </is>
      </c>
      <c r="D9" s="17" t="inlineStr">
        <is>
          <t>Vantage Data Centers</t>
        </is>
      </c>
      <c r="E9" s="30" t="inlineStr">
        <is>
          <t>DigitalBridge and Silver Lake</t>
        </is>
      </c>
      <c r="F9" s="129" t="n">
        <v>30</v>
      </c>
      <c r="G9" s="106" t="n">
        <v>1.5</v>
      </c>
      <c r="H9" s="106" t="n">
        <v>3</v>
      </c>
      <c r="I9" s="107">
        <f>F9*1000/(G9*1000)</f>
        <v/>
      </c>
      <c r="J9" s="107">
        <f>F9*1000/(H9*1000)</f>
        <v/>
      </c>
      <c r="K9" s="11" t="inlineStr">
        <is>
          <t>n.a.</t>
        </is>
      </c>
      <c r="L9" s="36" t="inlineStr">
        <is>
          <t>Recapitalization of the global platform.</t>
        </is>
      </c>
    </row>
    <row r="10" ht="30" customHeight="1">
      <c r="C10" s="37" t="inlineStr">
        <is>
          <t>Dec-22</t>
        </is>
      </c>
      <c r="D10" s="19" t="inlineStr">
        <is>
          <t>Switch</t>
        </is>
      </c>
      <c r="E10" s="31" t="inlineStr">
        <is>
          <t>DigitalBridge and IFM Investors</t>
        </is>
      </c>
      <c r="F10" s="130" t="n">
        <v>11</v>
      </c>
      <c r="G10" s="108" t="n">
        <v>0.5</v>
      </c>
      <c r="H10" s="108" t="n">
        <v>0.7</v>
      </c>
      <c r="I10" s="114">
        <f>F10*1000/(G10*1000)</f>
        <v/>
      </c>
      <c r="J10" s="114">
        <f>F10*1000/(H10*1000)</f>
        <v/>
      </c>
      <c r="K10" s="131" t="n">
        <v>23</v>
      </c>
      <c r="L10" s="40" t="inlineStr">
        <is>
          <t>Take private of a US hyperscale and colocation operator.</t>
        </is>
      </c>
    </row>
    <row r="11" ht="30" customHeight="1">
      <c r="C11" s="33" t="inlineStr">
        <is>
          <t>Nov-21</t>
        </is>
      </c>
      <c r="D11" s="17" t="inlineStr">
        <is>
          <t>CyrusOne</t>
        </is>
      </c>
      <c r="E11" s="30" t="inlineStr">
        <is>
          <t>KKR and Global Infrastructure Partners</t>
        </is>
      </c>
      <c r="F11" s="129" t="n">
        <v>15</v>
      </c>
      <c r="G11" s="106" t="n">
        <v>1</v>
      </c>
      <c r="H11" s="106" t="n">
        <v>1.4</v>
      </c>
      <c r="I11" s="107">
        <f>F11*1000/(G11*1000)</f>
        <v/>
      </c>
      <c r="J11" s="107">
        <f>F11*1000/(H11*1000)</f>
        <v/>
      </c>
      <c r="K11" s="132" t="n">
        <v>25</v>
      </c>
      <c r="L11" s="36" t="inlineStr">
        <is>
          <t>Take private of a listed hyperscale REIT.</t>
        </is>
      </c>
    </row>
    <row r="12" ht="30" customHeight="1">
      <c r="C12" s="37" t="inlineStr">
        <is>
          <t>Nov-21</t>
        </is>
      </c>
      <c r="D12" s="19" t="inlineStr">
        <is>
          <t>CoreSite</t>
        </is>
      </c>
      <c r="E12" s="31" t="inlineStr">
        <is>
          <t>American Tower</t>
        </is>
      </c>
      <c r="F12" s="130" t="n">
        <v>10.1</v>
      </c>
      <c r="G12" s="108" t="n">
        <v>0.3</v>
      </c>
      <c r="H12" s="108" t="n">
        <v>0.4</v>
      </c>
      <c r="I12" s="114">
        <f>F12*1000/(G12*1000)</f>
        <v/>
      </c>
      <c r="J12" s="114">
        <f>F12*1000/(H12*1000)</f>
        <v/>
      </c>
      <c r="K12" s="131" t="n">
        <v>26</v>
      </c>
      <c r="L12" s="40" t="inlineStr">
        <is>
          <t>Interconnection dense portfolio, priced on connectivity rather than raw power.</t>
        </is>
      </c>
    </row>
    <row r="13" ht="30" customHeight="1">
      <c r="C13" s="33" t="inlineStr">
        <is>
          <t>Jun-21</t>
        </is>
      </c>
      <c r="D13" s="17" t="inlineStr">
        <is>
          <t>QTS Realty Trust</t>
        </is>
      </c>
      <c r="E13" s="30" t="inlineStr">
        <is>
          <t>Blackstone</t>
        </is>
      </c>
      <c r="F13" s="129" t="n">
        <v>10</v>
      </c>
      <c r="G13" s="106" t="n">
        <v>0.7</v>
      </c>
      <c r="H13" s="106" t="n">
        <v>1.5</v>
      </c>
      <c r="I13" s="107">
        <f>F13*1000/(G13*1000)</f>
        <v/>
      </c>
      <c r="J13" s="107">
        <f>F13*1000/(H13*1000)</f>
        <v/>
      </c>
      <c r="K13" s="132" t="n">
        <v>25</v>
      </c>
      <c r="L13" s="36" t="inlineStr">
        <is>
          <t>Take private that opened the current cycle of infrastructure capital entering the sector.</t>
        </is>
      </c>
    </row>
    <row r="15" ht="17" customHeight="1">
      <c r="C15" s="8" t="inlineStr">
        <is>
          <t>B.  PROJECT LEVEL FINANCING AND DEVELOPMENT COMPARABLES</t>
        </is>
      </c>
      <c r="D15" s="8" t="n"/>
      <c r="E15" s="8" t="n"/>
      <c r="F15" s="8" t="n"/>
      <c r="G15" s="8" t="n"/>
      <c r="H15" s="8" t="n"/>
      <c r="I15" s="8" t="n"/>
      <c r="J15" s="8" t="n"/>
      <c r="K15" s="8" t="n"/>
      <c r="L15" s="8" t="n"/>
    </row>
    <row r="16" ht="28" customHeight="1">
      <c r="C16" s="9" t="inlineStr">
        <is>
          <t>Year</t>
        </is>
      </c>
      <c r="D16" s="9" t="inlineStr">
        <is>
          <t>Project</t>
        </is>
      </c>
      <c r="E16" s="9" t="inlineStr">
        <is>
          <t>Sponsor and capital</t>
        </is>
      </c>
      <c r="F16" s="9" t="inlineStr">
        <is>
          <t>Program cost ($B)</t>
        </is>
      </c>
      <c r="G16" s="9" t="inlineStr">
        <is>
          <t>Capacity (GW)</t>
        </is>
      </c>
      <c r="H16" s="9" t="n"/>
      <c r="I16" s="9" t="inlineStr">
        <is>
          <t>Cost per MW ($M)</t>
        </is>
      </c>
      <c r="J16" s="9" t="n"/>
      <c r="K16" s="9" t="n"/>
      <c r="L16" s="9" t="inlineStr">
        <is>
          <t>Comment</t>
        </is>
      </c>
    </row>
    <row r="17" ht="44" customHeight="1">
      <c r="C17" s="33" t="inlineStr">
        <is>
          <t>2026</t>
        </is>
      </c>
      <c r="D17" s="17" t="inlineStr">
        <is>
          <t>Frontier, Shackelford County TX</t>
        </is>
      </c>
      <c r="E17" s="36" t="inlineStr">
        <is>
          <t>Vantage Data Centers, $22B debt led by JPMorgan and MUFG</t>
        </is>
      </c>
      <c r="F17" s="129" t="n">
        <v>25</v>
      </c>
      <c r="G17" s="106" t="n">
        <v>1.4</v>
      </c>
      <c r="H17" s="12" t="n"/>
      <c r="I17" s="133">
        <f>F17*1000/(G17*1000)</f>
        <v/>
      </c>
      <c r="J17" s="12" t="n"/>
      <c r="K17" s="12" t="n"/>
      <c r="L17" s="36" t="inlineStr">
        <is>
          <t>Ten buildings across 3.7M square feet. First delivery in the second half of 2026. The closest comparable to the base case cost stack.</t>
        </is>
      </c>
    </row>
    <row r="18" ht="44" customHeight="1">
      <c r="C18" s="37" t="inlineStr">
        <is>
          <t>2026</t>
        </is>
      </c>
      <c r="D18" s="19" t="inlineStr">
        <is>
          <t>Hyperion, Richland Parish LA</t>
        </is>
      </c>
      <c r="E18" s="40" t="inlineStr">
        <is>
          <t>Meta, $27B joint venture with Blue Owl Capital</t>
        </is>
      </c>
      <c r="F18" s="130" t="n">
        <v>50</v>
      </c>
      <c r="G18" s="108" t="n">
        <v>5</v>
      </c>
      <c r="I18" s="134">
        <f>F18*1000/(G18*1000)</f>
        <v/>
      </c>
      <c r="L18" s="40" t="inlineStr">
        <is>
          <t>Expanded to 5 GW in July 2026 with roughly 2 GW targeted online by 2030. Directly comparable in scale to this program.</t>
        </is>
      </c>
    </row>
    <row r="19" ht="44" customHeight="1">
      <c r="C19" s="33" t="inlineStr">
        <is>
          <t>2025</t>
        </is>
      </c>
      <c r="D19" s="17" t="inlineStr">
        <is>
          <t>Stargate Abilene TX, shell scope</t>
        </is>
      </c>
      <c r="E19" s="36" t="inlineStr">
        <is>
          <t>OpenAI, Oracle, SoftBank and MGX, build to suit joint venture</t>
        </is>
      </c>
      <c r="F19" s="129" t="n">
        <v>3.4</v>
      </c>
      <c r="G19" s="106" t="n">
        <v>1.2</v>
      </c>
      <c r="H19" s="12" t="n"/>
      <c r="I19" s="133">
        <f>F19*1000/(G19*1000)</f>
        <v/>
      </c>
      <c r="J19" s="12" t="n"/>
      <c r="K19" s="12" t="n"/>
      <c r="L19" s="36" t="inlineStr">
        <is>
          <t>Shell and powered scope only. Excludes electrical and mechanical fitout and all IT equipment, which is why the cost per MW is far below the others.</t>
        </is>
      </c>
    </row>
    <row r="20" ht="44" customHeight="1">
      <c r="C20" s="37" t="inlineStr">
        <is>
          <t>2025</t>
        </is>
      </c>
      <c r="D20" s="19" t="inlineStr">
        <is>
          <t>Stargate program, all in</t>
        </is>
      </c>
      <c r="E20" s="40" t="inlineStr">
        <is>
          <t>OpenAI, Oracle, SoftBank and MGX</t>
        </is>
      </c>
      <c r="F20" s="130" t="n">
        <v>500</v>
      </c>
      <c r="G20" s="108" t="n">
        <v>10</v>
      </c>
      <c r="I20" s="134">
        <f>F20*1000/(G20*1000)</f>
        <v/>
      </c>
      <c r="L20" s="40" t="inlineStr">
        <is>
          <t>Full program including GPUs, servers and networking. Sets the upper bound because it is the only line here that includes IT equipment.</t>
        </is>
      </c>
    </row>
  </sheetData>
  <pageMargins left="0.75" right="0.75" top="1" bottom="1" header="0.5" footer="0.5"/>
  <pageSetup orientation="landscape" scale="74" fitToHeight="0"/>
  <headerFooter>
    <oddHeader/>
    <oddFooter>&amp;L&amp;6 &amp;K9AA0A8CONFIDENTIAL   |   FOR DISCUSSION PURPOSES ONLY   |   NOT AN OFFER TO SELL OR A SOLICITATION OF AN OFFER TO BUY SECURITIES&amp;R&amp;6 &amp;K9AA0A8Page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crussell@sixthstreet.com</dc:creator>
  <dcterms:created xsi:type="dcterms:W3CDTF">2026-09-23T20:04:09Z</dcterms:created>
  <dcterms:modified xsi:type="dcterms:W3CDTF">2026-09-23T21:37:51Z</dcterms:modified>
  <cp:lastModifiedBy>Russell, Charlie</cp:lastModifiedBy>
</cp:coreProperties>
</file>