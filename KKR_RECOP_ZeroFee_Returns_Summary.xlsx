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 Summary" sheetId="1" state="visible" r:id="rId1"/>
    <sheet xmlns:r="http://schemas.openxmlformats.org/officeDocument/2006/relationships" name="Quarterly 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-"/>
    <numFmt numFmtId="165" formatCode="0.00&quot;x&quot;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Calibri"/>
      <color rgb="000F2F51"/>
      <sz val="14"/>
    </font>
    <font>
      <name val="Calibri"/>
      <b val="1"/>
      <color rgb="00FFFFFF"/>
      <sz val="10"/>
    </font>
    <font>
      <name val="Calibri"/>
      <sz val="10"/>
    </font>
    <font>
      <name val="Calibri"/>
      <color rgb="000000FF"/>
      <sz val="10"/>
    </font>
    <font>
      <name val="Calibri"/>
      <b val="1"/>
      <sz val="10"/>
    </font>
    <font>
      <name val="Calibri"/>
      <i val="1"/>
      <color rgb="00808080"/>
      <sz val="7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0F2F5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0" fontId="3" fillId="4" borderId="0" pivotButton="0" quotePrefix="0" xfId="0"/>
    <xf numFmtId="164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5" fillId="0" borderId="1" pivotButton="0" quotePrefix="0" xfId="0"/>
    <xf numFmtId="166" fontId="5" fillId="0" borderId="1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0" fontId="4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66" fontId="3" fillId="4" borderId="0" applyAlignment="1" pivotButton="0" quotePrefix="0" xfId="0">
      <alignment horizontal="center"/>
    </xf>
    <xf numFmtId="0" fontId="2" fillId="3" borderId="0" pivotButton="0" quotePrefix="0" xfId="0"/>
    <xf numFmtId="166" fontId="2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KKR RECOP I: ZERO FEE CASH FLOW CHECK</t>
        </is>
      </c>
    </row>
    <row r="3" ht="3" customHeight="1">
      <c r="B3" s="2" t="n"/>
      <c r="C3" s="2" t="n"/>
      <c r="D3" s="2" t="n"/>
      <c r="E3" s="2" t="n"/>
      <c r="F3" s="2" t="n"/>
      <c r="G3" s="2" t="n"/>
    </row>
    <row r="5" ht="30" customHeight="1">
      <c r="B5" s="3" t="inlineStr">
        <is>
          <t>Forward Returns (Buyer, 50% Price, 1/1/2027)</t>
        </is>
      </c>
      <c r="C5" s="4" t="inlineStr">
        <is>
          <t>Base (Current Fees)</t>
        </is>
      </c>
      <c r="D5" s="4" t="inlineStr">
        <is>
          <t>Zero Fees (1.75% Reserve)</t>
        </is>
      </c>
      <c r="E5" s="4" t="inlineStr">
        <is>
          <t>Zero Fees (No Reserve)</t>
        </is>
      </c>
    </row>
    <row r="6">
      <c r="B6" s="5" t="inlineStr">
        <is>
          <t>Gross B Piece IRR</t>
        </is>
      </c>
      <c r="C6" s="6" t="n">
        <v>0.178015646635386</v>
      </c>
      <c r="D6" s="6" t="n">
        <v>0.179072035713931</v>
      </c>
      <c r="E6" s="6" t="n">
        <v>0.183378382489295</v>
      </c>
    </row>
    <row r="7">
      <c r="B7" s="7" t="inlineStr">
        <is>
          <t>IRR after Fund Fees and Expenses</t>
        </is>
      </c>
      <c r="C7" s="8" t="n">
        <v>0.17294509909553</v>
      </c>
      <c r="D7" s="8" t="n">
        <v>0.179072035713931</v>
      </c>
      <c r="E7" s="8" t="n">
        <v>0.183378382489295</v>
      </c>
    </row>
    <row r="8">
      <c r="B8" s="5" t="inlineStr">
        <is>
          <t>IRR after Rialto DD and IHPS Fees</t>
        </is>
      </c>
      <c r="C8" s="6" t="n">
        <v>0.16939822012765</v>
      </c>
      <c r="D8" s="6" t="n">
        <v>0.179072035713931</v>
      </c>
      <c r="E8" s="6" t="n">
        <v>0.183378382489295</v>
      </c>
    </row>
    <row r="9">
      <c r="B9" s="7" t="inlineStr">
        <is>
          <t>Gross MOIC</t>
        </is>
      </c>
      <c r="C9" s="9" t="n">
        <v>1.718959341046178</v>
      </c>
      <c r="D9" s="9" t="n">
        <v>1.724144667460812</v>
      </c>
      <c r="E9" s="9" t="n">
        <v>1.724144667460812</v>
      </c>
    </row>
    <row r="10">
      <c r="B10" s="5" t="inlineStr">
        <is>
          <t>Net MOIC after Fund Fees</t>
        </is>
      </c>
      <c r="C10" s="10" t="n">
        <v>1.700029398918137</v>
      </c>
      <c r="D10" s="10" t="n">
        <v>1.724144667460812</v>
      </c>
      <c r="E10" s="10" t="n">
        <v>1.724144667460812</v>
      </c>
    </row>
    <row r="11">
      <c r="B11" s="7" t="inlineStr">
        <is>
          <t>Net MOIC after Rialto Fees</t>
        </is>
      </c>
      <c r="C11" s="9" t="n">
        <v>1.684574077531479</v>
      </c>
      <c r="D11" s="9" t="n">
        <v>1.724144667460812</v>
      </c>
      <c r="E11" s="9" t="n">
        <v>1.724144667460812</v>
      </c>
    </row>
    <row r="12">
      <c r="B12" s="11" t="inlineStr">
        <is>
          <t>Gross less Net IRR after Fund Fees (bps)</t>
        </is>
      </c>
      <c r="C12" s="12">
        <f>(C6-C7)*10000</f>
        <v/>
      </c>
      <c r="D12" s="12">
        <f>(D6-D7)*10000</f>
        <v/>
      </c>
      <c r="E12" s="12">
        <f>(E6-E7)*10000</f>
        <v/>
      </c>
    </row>
    <row r="14" ht="30" customHeight="1">
      <c r="B14" s="3" t="inlineStr">
        <is>
          <t>HTM Scenario: Fund Life LP Cash Flows</t>
        </is>
      </c>
      <c r="C14" s="4" t="inlineStr">
        <is>
          <t>Base (Current Fees)</t>
        </is>
      </c>
      <c r="D14" s="4" t="inlineStr">
        <is>
          <t>Zero Fees (1.75% Reserve)</t>
        </is>
      </c>
      <c r="E14" s="4" t="inlineStr">
        <is>
          <t>Zero Fees (No Reserve)</t>
        </is>
      </c>
    </row>
    <row r="15">
      <c r="B15" s="5" t="inlineStr">
        <is>
          <t>Gross B Piece IRR (Monthly Cash Flows)</t>
        </is>
      </c>
      <c r="C15" s="6" t="n">
        <v>0.0577758307940169</v>
      </c>
      <c r="D15" s="6" t="n">
        <v>0.0577758307940169</v>
      </c>
      <c r="E15" s="6" t="n">
        <v>0.0577758307940169</v>
      </c>
    </row>
    <row r="16">
      <c r="B16" s="7" t="inlineStr">
        <is>
          <t>Net IRR to LPs (Quarterly Distributions)</t>
        </is>
      </c>
      <c r="C16" s="8" t="n">
        <v>0.0462106636131198</v>
      </c>
      <c r="D16" s="8" t="n">
        <v>0.0559332233920075</v>
      </c>
      <c r="E16" s="8" t="n">
        <v>0.0570296896050984</v>
      </c>
    </row>
    <row r="17">
      <c r="B17" s="5" t="inlineStr">
        <is>
          <t>Selling LPs, Sale Scenario IRR</t>
        </is>
      </c>
      <c r="C17" s="6" t="n">
        <v>0.0202210237118838</v>
      </c>
      <c r="D17" s="6" t="n">
        <v>0.032060070043555</v>
      </c>
      <c r="E17" s="6" t="n">
        <v>0.0327718567781811</v>
      </c>
    </row>
    <row r="18">
      <c r="B18" s="7" t="inlineStr">
        <is>
          <t>Gross MOIC</t>
        </is>
      </c>
      <c r="C18" s="9" t="n">
        <v>1.517846438439984</v>
      </c>
      <c r="D18" s="9" t="n">
        <v>1.517846438439984</v>
      </c>
      <c r="E18" s="9" t="n">
        <v>1.517846438439984</v>
      </c>
    </row>
    <row r="19">
      <c r="B19" s="5" t="inlineStr">
        <is>
          <t>Net MOIC to LPs</t>
        </is>
      </c>
      <c r="C19" s="10" t="n">
        <v>1.435832682475895</v>
      </c>
      <c r="D19" s="10" t="n">
        <v>1.517846438439984</v>
      </c>
      <c r="E19" s="10" t="n">
        <v>1.517846438439984</v>
      </c>
    </row>
    <row r="20">
      <c r="B20" s="11" t="inlineStr">
        <is>
          <t>Gross less Net IRR (bps)</t>
        </is>
      </c>
      <c r="C20" s="12">
        <f>(C15-C16)*10000</f>
        <v/>
      </c>
      <c r="D20" s="12">
        <f>(D15-D16)*10000</f>
        <v/>
      </c>
      <c r="E20" s="12">
        <f>(E15-E16)*10000</f>
        <v/>
      </c>
    </row>
    <row r="22" ht="30" customHeight="1">
      <c r="B22" s="3" t="inlineStr">
        <is>
          <t>IRR Bridge: Gross to Net (HTM Fund Life)</t>
        </is>
      </c>
      <c r="C22" s="4" t="inlineStr">
        <is>
          <t>IRR</t>
        </is>
      </c>
      <c r="D22" s="4" t="inlineStr">
        <is>
          <t>Change (bps)</t>
        </is>
      </c>
      <c r="E22" s="4" t="inlineStr"/>
    </row>
    <row r="23">
      <c r="B23" s="5" t="inlineStr">
        <is>
          <t>Gross B piece IRR, monthly cash flows</t>
        </is>
      </c>
      <c r="C23" s="13">
        <f>C15</f>
        <v/>
      </c>
    </row>
    <row r="24">
      <c r="B24" s="5" t="inlineStr">
        <is>
          <t>Pure quarterly roll up, no reserve (independent calc)</t>
        </is>
      </c>
      <c r="C24" s="14" t="n">
        <v>0.05709</v>
      </c>
      <c r="D24" s="15">
        <f>(C24-C23)*10000</f>
        <v/>
      </c>
    </row>
    <row r="25">
      <c r="B25" s="5" t="inlineStr">
        <is>
          <t>Zero fee, no reserve (model)</t>
        </is>
      </c>
      <c r="C25" s="13">
        <f>E16</f>
        <v/>
      </c>
      <c r="D25" s="15">
        <f>(C25-C24)*10000</f>
        <v/>
      </c>
    </row>
    <row r="26">
      <c r="B26" s="5" t="inlineStr">
        <is>
          <t>Zero fee, 1.75% reserve (model)</t>
        </is>
      </c>
      <c r="C26" s="13">
        <f>D16</f>
        <v/>
      </c>
      <c r="D26" s="15">
        <f>(C26-C25)*10000</f>
        <v/>
      </c>
    </row>
    <row r="27">
      <c r="B27" s="11" t="inlineStr">
        <is>
          <t>Base, current fees (model)</t>
        </is>
      </c>
      <c r="C27" s="16">
        <f>C16</f>
        <v/>
      </c>
      <c r="D27" s="12">
        <f>(C27-C26)*10000</f>
        <v/>
      </c>
      <c r="E27" s="17" t="n"/>
    </row>
    <row r="29" ht="30" customHeight="1">
      <c r="B29" s="18" t="inlineStr">
        <is>
          <t>Source: KKR_RECOP_Model_2026.10.10.xlsx recalculated with Assumptions D8:E10, D11, D35 and D36 set to 0 (IM fee, fund admin, G&amp;A, org costs, DD fee, IHPS fee). GP promote is 0 in all cases (UW cash flows do not meet the hurdle).</t>
        </is>
      </c>
    </row>
    <row r="30" ht="30" customHeight="1">
      <c r="B30" s="18" t="inlineStr">
        <is>
          <t>Zero Fees (No Reserve) additionally sets Assumptions D33 (Running Cash Bal. % of Rem. Eq.) to 0. Blue figures are outputs pasted from the recalculated model.</t>
        </is>
      </c>
    </row>
    <row r="31" ht="30" customHeight="1">
      <c r="B31" s="18" t="inlineStr">
        <is>
          <t>Quarterly timing is the model's existing distribution convention (HTM Output row 225): monthly collections accumulate and pay at calendar quarter ends. Cash on hand at the 6/30/2026 cutoff ($15.3M) is held and released in the forward period.</t>
        </is>
      </c>
    </row>
  </sheetData>
  <mergeCells count="3">
    <mergeCell ref="B31:E31"/>
    <mergeCell ref="B29:E29"/>
    <mergeCell ref="B30:E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B2" s="1" t="inlineStr">
        <is>
          <t>QUARTERLY CASH FLOWS TO LPS: GROSS VS ZERO FEE VS BASE</t>
        </is>
      </c>
    </row>
    <row r="3" ht="3" customHeight="1">
      <c r="B3" s="2" t="n"/>
      <c r="C3" s="2" t="n"/>
      <c r="D3" s="2" t="n"/>
      <c r="E3" s="2" t="n"/>
      <c r="F3" s="2" t="n"/>
      <c r="G3" s="2" t="n"/>
      <c r="H3" s="2" t="n"/>
      <c r="I3" s="2" t="n"/>
    </row>
    <row r="5" ht="42" customHeight="1">
      <c r="B5" s="4" t="inlineStr">
        <is>
          <t>Quarter</t>
        </is>
      </c>
      <c r="C5" s="4" t="inlineStr">
        <is>
          <t>Capital Calls</t>
        </is>
      </c>
      <c r="D5" s="4" t="inlineStr">
        <is>
          <t>Gross B Piece Distributions (Monthly Sum)</t>
        </is>
      </c>
      <c r="E5" s="4" t="inlineStr">
        <is>
          <t>Zero Fee LP Net CF (Quarterly Timing)</t>
        </is>
      </c>
      <c r="F5" s="4" t="inlineStr">
        <is>
          <t>Base LP Net CF (Current Fees)</t>
        </is>
      </c>
      <c r="G5" s="4" t="inlineStr">
        <is>
          <t>Timing Difference (Zero Fee less Gross)</t>
        </is>
      </c>
      <c r="H5" s="4" t="inlineStr">
        <is>
          <t>Fee Drag (Zero Fee less Base)</t>
        </is>
      </c>
    </row>
    <row r="6">
      <c r="B6" s="5" t="inlineStr">
        <is>
          <t>2017 Q1</t>
        </is>
      </c>
      <c r="C6" s="19" t="n">
        <v>-43347451</v>
      </c>
      <c r="D6" s="19" t="n">
        <v>420938.93</v>
      </c>
      <c r="E6" s="19" t="n">
        <v>-43347451</v>
      </c>
      <c r="F6" s="19" t="n">
        <v>-43347451</v>
      </c>
      <c r="G6" s="15">
        <f>E6-C6-D6</f>
        <v/>
      </c>
      <c r="H6" s="15">
        <f>E6-F6</f>
        <v/>
      </c>
    </row>
    <row r="7">
      <c r="B7" s="7" t="inlineStr">
        <is>
          <t>2017 Q2</t>
        </is>
      </c>
      <c r="C7" s="20" t="n">
        <v>-94411796.27062801</v>
      </c>
      <c r="D7" s="20" t="n">
        <v>1308199.481238039</v>
      </c>
      <c r="E7" s="20" t="n">
        <v>-94411796.27062801</v>
      </c>
      <c r="F7" s="20" t="n">
        <v>-94411796.27062801</v>
      </c>
      <c r="G7" s="21">
        <f>E7-C7-D7</f>
        <v/>
      </c>
      <c r="H7" s="21">
        <f>E7-F7</f>
        <v/>
      </c>
    </row>
    <row r="8">
      <c r="B8" s="5" t="inlineStr">
        <is>
          <t>2017 Q3</t>
        </is>
      </c>
      <c r="C8" s="19" t="n">
        <v>-84968513.2928257</v>
      </c>
      <c r="D8" s="19" t="n">
        <v>4657131.03</v>
      </c>
      <c r="E8" s="19" t="n">
        <v>-82482243.85158765</v>
      </c>
      <c r="F8" s="19" t="n">
        <v>-84968513.2928257</v>
      </c>
      <c r="G8" s="15">
        <f>E8-C8-D8</f>
        <v/>
      </c>
      <c r="H8" s="15">
        <f>E8-F8</f>
        <v/>
      </c>
    </row>
    <row r="9">
      <c r="B9" s="7" t="inlineStr">
        <is>
          <t>2017 Q4</t>
        </is>
      </c>
      <c r="C9" s="20" t="n">
        <v>-202549122.1453831</v>
      </c>
      <c r="D9" s="20" t="n">
        <v>8078159.75000002</v>
      </c>
      <c r="E9" s="20" t="n">
        <v>-198010962.3953831</v>
      </c>
      <c r="F9" s="20" t="n">
        <v>-200645354.3042277</v>
      </c>
      <c r="G9" s="21">
        <f>E9-C9-D9</f>
        <v/>
      </c>
      <c r="H9" s="21">
        <f>E9-F9</f>
        <v/>
      </c>
    </row>
    <row r="10">
      <c r="B10" s="5" t="inlineStr">
        <is>
          <t>2018 Q1</t>
        </is>
      </c>
      <c r="C10" s="19" t="n">
        <v>-73270595.3540436</v>
      </c>
      <c r="D10" s="19" t="n">
        <v>10906722.24</v>
      </c>
      <c r="E10" s="19" t="n">
        <v>-63643873.11404359</v>
      </c>
      <c r="F10" s="19" t="n">
        <v>-65112749.050776</v>
      </c>
      <c r="G10" s="15">
        <f>E10-C10-D10</f>
        <v/>
      </c>
      <c r="H10" s="15">
        <f>E10-F10</f>
        <v/>
      </c>
    </row>
    <row r="11">
      <c r="B11" s="7" t="inlineStr">
        <is>
          <t>2018 Q2</t>
        </is>
      </c>
      <c r="C11" s="20" t="n">
        <v>-55125851.6062273</v>
      </c>
      <c r="D11" s="20" t="n">
        <v>13408584.44</v>
      </c>
      <c r="E11" s="20" t="n">
        <v>-42687267.1662273</v>
      </c>
      <c r="F11" s="20" t="n">
        <v>-44404077.989026</v>
      </c>
      <c r="G11" s="21">
        <f>E11-C11-D11</f>
        <v/>
      </c>
      <c r="H11" s="21">
        <f>E11-F11</f>
        <v/>
      </c>
    </row>
    <row r="12">
      <c r="B12" s="5" t="inlineStr">
        <is>
          <t>2018 Q3</t>
        </is>
      </c>
      <c r="C12" s="19" t="n">
        <v>-41157452.0229264</v>
      </c>
      <c r="D12" s="19" t="n">
        <v>14158366.67</v>
      </c>
      <c r="E12" s="19" t="n">
        <v>-27719085.3529264</v>
      </c>
      <c r="F12" s="19" t="n">
        <v>-29514781.2921024</v>
      </c>
      <c r="G12" s="15">
        <f>E12-C12-D12</f>
        <v/>
      </c>
      <c r="H12" s="15">
        <f>E12-F12</f>
        <v/>
      </c>
    </row>
    <row r="13">
      <c r="B13" s="7" t="inlineStr">
        <is>
          <t>2018 Q4</t>
        </is>
      </c>
      <c r="C13" s="20" t="n">
        <v>-210675860.322553</v>
      </c>
      <c r="D13" s="20" t="n">
        <v>17003849.72999999</v>
      </c>
      <c r="E13" s="20" t="n">
        <v>-197362010.592553</v>
      </c>
      <c r="F13" s="20" t="n">
        <v>-199665317.4596614</v>
      </c>
      <c r="G13" s="21">
        <f>E13-C13-D13</f>
        <v/>
      </c>
      <c r="H13" s="21">
        <f>E13-F13</f>
        <v/>
      </c>
    </row>
    <row r="14">
      <c r="B14" s="5" t="inlineStr">
        <is>
          <t>2019 Q1</t>
        </is>
      </c>
      <c r="C14" s="19" t="n">
        <v>-79865719.28251299</v>
      </c>
      <c r="D14" s="19" t="n">
        <v>20029237.7</v>
      </c>
      <c r="E14" s="19" t="n">
        <v>-61226481.582513</v>
      </c>
      <c r="F14" s="19" t="n">
        <v>-63781547.6954507</v>
      </c>
      <c r="G14" s="15">
        <f>E14-C14-D14</f>
        <v/>
      </c>
      <c r="H14" s="15">
        <f>E14-F14</f>
        <v/>
      </c>
    </row>
    <row r="15">
      <c r="B15" s="7" t="inlineStr">
        <is>
          <t>2019 Q2</t>
        </is>
      </c>
      <c r="C15" s="20" t="n">
        <v>-122465153.732799</v>
      </c>
      <c r="D15" s="20" t="n">
        <v>22726452.32999999</v>
      </c>
      <c r="E15" s="20" t="n">
        <v>-101888701.402799</v>
      </c>
      <c r="F15" s="20" t="n">
        <v>-104746733.9148137</v>
      </c>
      <c r="G15" s="21">
        <f>E15-C15-D15</f>
        <v/>
      </c>
      <c r="H15" s="21">
        <f>E15-F15</f>
        <v/>
      </c>
    </row>
    <row r="16">
      <c r="B16" s="5" t="inlineStr">
        <is>
          <t>2019 Q3</t>
        </is>
      </c>
      <c r="C16" s="19" t="n">
        <v>0</v>
      </c>
      <c r="D16" s="19" t="n">
        <v>24904510.55</v>
      </c>
      <c r="E16" s="19" t="n">
        <v>24904510.55</v>
      </c>
      <c r="F16" s="19" t="n">
        <v>21881977.694289</v>
      </c>
      <c r="G16" s="15">
        <f>E16-C16-D16</f>
        <v/>
      </c>
      <c r="H16" s="15">
        <f>E16-F16</f>
        <v/>
      </c>
    </row>
    <row r="17">
      <c r="B17" s="7" t="inlineStr">
        <is>
          <t>2019 Q4</t>
        </is>
      </c>
      <c r="C17" s="20" t="n">
        <v>0</v>
      </c>
      <c r="D17" s="20" t="n">
        <v>24473243.41</v>
      </c>
      <c r="E17" s="20" t="n">
        <v>24473243.41</v>
      </c>
      <c r="F17" s="20" t="n">
        <v>21450710.554289</v>
      </c>
      <c r="G17" s="21">
        <f>E17-C17-D17</f>
        <v/>
      </c>
      <c r="H17" s="21">
        <f>E17-F17</f>
        <v/>
      </c>
    </row>
    <row r="18">
      <c r="B18" s="5" t="inlineStr">
        <is>
          <t>2020 Q1</t>
        </is>
      </c>
      <c r="C18" s="19" t="n">
        <v>0</v>
      </c>
      <c r="D18" s="19" t="n">
        <v>24784637.9</v>
      </c>
      <c r="E18" s="19" t="n">
        <v>24784637.9</v>
      </c>
      <c r="F18" s="19" t="n">
        <v>22014064.4230465</v>
      </c>
      <c r="G18" s="15">
        <f>E18-C18-D18</f>
        <v/>
      </c>
      <c r="H18" s="15">
        <f>E18-F18</f>
        <v/>
      </c>
    </row>
    <row r="19">
      <c r="B19" s="7" t="inlineStr">
        <is>
          <t>2020 Q2</t>
        </is>
      </c>
      <c r="C19" s="20" t="n">
        <v>0</v>
      </c>
      <c r="D19" s="20" t="n">
        <v>24894382.65</v>
      </c>
      <c r="E19" s="20" t="n">
        <v>24924382.65</v>
      </c>
      <c r="F19" s="20" t="n">
        <v>22156103.3523358</v>
      </c>
      <c r="G19" s="21">
        <f>E19-C19-D19</f>
        <v/>
      </c>
      <c r="H19" s="21">
        <f>E19-F19</f>
        <v/>
      </c>
    </row>
    <row r="20">
      <c r="B20" s="5" t="inlineStr">
        <is>
          <t>2020 Q3</t>
        </is>
      </c>
      <c r="C20" s="19" t="n">
        <v>0</v>
      </c>
      <c r="D20" s="19" t="n">
        <v>24155075.59</v>
      </c>
      <c r="E20" s="19" t="n">
        <v>24155075.59</v>
      </c>
      <c r="F20" s="19" t="n">
        <v>21387943.3819805</v>
      </c>
      <c r="G20" s="15">
        <f>E20-C20-D20</f>
        <v/>
      </c>
      <c r="H20" s="15">
        <f>E20-F20</f>
        <v/>
      </c>
    </row>
    <row r="21">
      <c r="B21" s="7" t="inlineStr">
        <is>
          <t>2020 Q4</t>
        </is>
      </c>
      <c r="C21" s="20" t="n">
        <v>0</v>
      </c>
      <c r="D21" s="20" t="n">
        <v>22613624.48</v>
      </c>
      <c r="E21" s="20" t="n">
        <v>22613624.48</v>
      </c>
      <c r="F21" s="20" t="n">
        <v>19846469.7784797</v>
      </c>
      <c r="G21" s="21">
        <f>E21-C21-D21</f>
        <v/>
      </c>
      <c r="H21" s="21">
        <f>E21-F21</f>
        <v/>
      </c>
    </row>
    <row r="22">
      <c r="B22" s="5" t="inlineStr">
        <is>
          <t>2021 Q1</t>
        </is>
      </c>
      <c r="C22" s="19" t="n">
        <v>0</v>
      </c>
      <c r="D22" s="19" t="n">
        <v>22738498.27</v>
      </c>
      <c r="E22" s="19" t="n">
        <v>22738498.27</v>
      </c>
      <c r="F22" s="19" t="n">
        <v>20223018.8456405</v>
      </c>
      <c r="G22" s="15">
        <f>E22-C22-D22</f>
        <v/>
      </c>
      <c r="H22" s="15">
        <f>E22-F22</f>
        <v/>
      </c>
    </row>
    <row r="23">
      <c r="B23" s="7" t="inlineStr">
        <is>
          <t>2021 Q2</t>
        </is>
      </c>
      <c r="C23" s="20" t="n">
        <v>0</v>
      </c>
      <c r="D23" s="20" t="n">
        <v>23106370.58</v>
      </c>
      <c r="E23" s="20" t="n">
        <v>23106370.58</v>
      </c>
      <c r="F23" s="20" t="n">
        <v>20590904.7008467</v>
      </c>
      <c r="G23" s="21">
        <f>E23-C23-D23</f>
        <v/>
      </c>
      <c r="H23" s="21">
        <f>E23-F23</f>
        <v/>
      </c>
    </row>
    <row r="24">
      <c r="B24" s="5" t="inlineStr">
        <is>
          <t>2021 Q3</t>
        </is>
      </c>
      <c r="C24" s="19" t="n">
        <v>0</v>
      </c>
      <c r="D24" s="19" t="n">
        <v>23018871.93</v>
      </c>
      <c r="E24" s="19" t="n">
        <v>23018871.93</v>
      </c>
      <c r="F24" s="19" t="n">
        <v>20503408.210797</v>
      </c>
      <c r="G24" s="15">
        <f>E24-C24-D24</f>
        <v/>
      </c>
      <c r="H24" s="15">
        <f>E24-F24</f>
        <v/>
      </c>
    </row>
    <row r="25">
      <c r="B25" s="7" t="inlineStr">
        <is>
          <t>2021 Q4</t>
        </is>
      </c>
      <c r="C25" s="20" t="n">
        <v>0</v>
      </c>
      <c r="D25" s="20" t="n">
        <v>23263310.41</v>
      </c>
      <c r="E25" s="20" t="n">
        <v>23263310.41</v>
      </c>
      <c r="F25" s="20" t="n">
        <v>20747857.3872419</v>
      </c>
      <c r="G25" s="21">
        <f>E25-C25-D25</f>
        <v/>
      </c>
      <c r="H25" s="21">
        <f>E25-F25</f>
        <v/>
      </c>
    </row>
    <row r="26">
      <c r="B26" s="5" t="inlineStr">
        <is>
          <t>2022 Q1</t>
        </is>
      </c>
      <c r="C26" s="19" t="n">
        <v>0</v>
      </c>
      <c r="D26" s="19" t="n">
        <v>23491745.78</v>
      </c>
      <c r="E26" s="19" t="n">
        <v>23511745.78</v>
      </c>
      <c r="F26" s="19" t="n">
        <v>21250277.443659</v>
      </c>
      <c r="G26" s="15">
        <f>E26-C26-D26</f>
        <v/>
      </c>
      <c r="H26" s="15">
        <f>E26-F26</f>
        <v/>
      </c>
    </row>
    <row r="27">
      <c r="B27" s="7" t="inlineStr">
        <is>
          <t>2022 Q2</t>
        </is>
      </c>
      <c r="C27" s="20" t="n">
        <v>0</v>
      </c>
      <c r="D27" s="20" t="n">
        <v>24308029.27</v>
      </c>
      <c r="E27" s="20" t="n">
        <v>24338029.27</v>
      </c>
      <c r="F27" s="20" t="n">
        <v>22079538.3151582</v>
      </c>
      <c r="G27" s="21">
        <f>E27-C27-D27</f>
        <v/>
      </c>
      <c r="H27" s="21">
        <f>E27-F27</f>
        <v/>
      </c>
    </row>
    <row r="28">
      <c r="B28" s="5" t="inlineStr">
        <is>
          <t>2022 Q3</t>
        </is>
      </c>
      <c r="C28" s="19" t="n">
        <v>0</v>
      </c>
      <c r="D28" s="19" t="n">
        <v>23621752</v>
      </c>
      <c r="E28" s="19" t="n">
        <v>23621752</v>
      </c>
      <c r="F28" s="19" t="n">
        <v>21364754.1654537</v>
      </c>
      <c r="G28" s="15">
        <f>E28-C28-D28</f>
        <v/>
      </c>
      <c r="H28" s="15">
        <f>E28-F28</f>
        <v/>
      </c>
    </row>
    <row r="29">
      <c r="B29" s="7" t="inlineStr">
        <is>
          <t>2022 Q4</t>
        </is>
      </c>
      <c r="C29" s="20" t="n">
        <v>0</v>
      </c>
      <c r="D29" s="20" t="n">
        <v>23307980.48</v>
      </c>
      <c r="E29" s="20" t="n">
        <v>23337980.48</v>
      </c>
      <c r="F29" s="20" t="n">
        <v>21083167.7377</v>
      </c>
      <c r="G29" s="21">
        <f>E29-C29-D29</f>
        <v/>
      </c>
      <c r="H29" s="21">
        <f>E29-F29</f>
        <v/>
      </c>
    </row>
    <row r="30">
      <c r="B30" s="5" t="inlineStr">
        <is>
          <t>2023 Q1</t>
        </is>
      </c>
      <c r="C30" s="19" t="n">
        <v>0</v>
      </c>
      <c r="D30" s="19" t="n">
        <v>22998919.33</v>
      </c>
      <c r="E30" s="19" t="n">
        <v>22998919.33</v>
      </c>
      <c r="F30" s="19" t="n">
        <v>20995489.7743577</v>
      </c>
      <c r="G30" s="15">
        <f>E30-C30-D30</f>
        <v/>
      </c>
      <c r="H30" s="15">
        <f>E30-F30</f>
        <v/>
      </c>
    </row>
    <row r="31">
      <c r="B31" s="7" t="inlineStr">
        <is>
          <t>2023 Q2</t>
        </is>
      </c>
      <c r="C31" s="20" t="n">
        <v>0</v>
      </c>
      <c r="D31" s="20" t="n">
        <v>23865107.95</v>
      </c>
      <c r="E31" s="20" t="n">
        <v>23865107.95</v>
      </c>
      <c r="F31" s="20" t="n">
        <v>21861635.1232342</v>
      </c>
      <c r="G31" s="21">
        <f>E31-C31-D31</f>
        <v/>
      </c>
      <c r="H31" s="21">
        <f>E31-F31</f>
        <v/>
      </c>
    </row>
    <row r="32">
      <c r="B32" s="5" t="inlineStr">
        <is>
          <t>2023 Q3</t>
        </is>
      </c>
      <c r="C32" s="19" t="n">
        <v>0</v>
      </c>
      <c r="D32" s="19" t="n">
        <v>22958501.82</v>
      </c>
      <c r="E32" s="19" t="n">
        <v>22958501.82</v>
      </c>
      <c r="F32" s="19" t="n">
        <v>20955014.527605</v>
      </c>
      <c r="G32" s="15">
        <f>E32-C32-D32</f>
        <v/>
      </c>
      <c r="H32" s="15">
        <f>E32-F32</f>
        <v/>
      </c>
    </row>
    <row r="33">
      <c r="B33" s="7" t="inlineStr">
        <is>
          <t>2023 Q4</t>
        </is>
      </c>
      <c r="C33" s="20" t="n">
        <v>0</v>
      </c>
      <c r="D33" s="20" t="n">
        <v>22093692.86</v>
      </c>
      <c r="E33" s="20" t="n">
        <v>22083692.86</v>
      </c>
      <c r="F33" s="20" t="n">
        <v>20079707.1628008</v>
      </c>
      <c r="G33" s="21">
        <f>E33-C33-D33</f>
        <v/>
      </c>
      <c r="H33" s="21">
        <f>E33-F33</f>
        <v/>
      </c>
    </row>
    <row r="34">
      <c r="B34" s="5" t="inlineStr">
        <is>
          <t>2024 Q1</t>
        </is>
      </c>
      <c r="C34" s="19" t="n">
        <v>0</v>
      </c>
      <c r="D34" s="19" t="n">
        <v>22024872.88</v>
      </c>
      <c r="E34" s="19" t="n">
        <v>22814872.88</v>
      </c>
      <c r="F34" s="19" t="n">
        <v>21086140.9043033</v>
      </c>
      <c r="G34" s="15">
        <f>E34-C34-D34</f>
        <v/>
      </c>
      <c r="H34" s="15">
        <f>E34-F34</f>
        <v/>
      </c>
    </row>
    <row r="35">
      <c r="B35" s="7" t="inlineStr">
        <is>
          <t>2024 Q2</t>
        </is>
      </c>
      <c r="C35" s="20" t="n">
        <v>0</v>
      </c>
      <c r="D35" s="20" t="n">
        <v>21777095.53</v>
      </c>
      <c r="E35" s="20" t="n">
        <v>21907095.53</v>
      </c>
      <c r="F35" s="20" t="n">
        <v>20231252.609646</v>
      </c>
      <c r="G35" s="21">
        <f>E35-C35-D35</f>
        <v/>
      </c>
      <c r="H35" s="21">
        <f>E35-F35</f>
        <v/>
      </c>
    </row>
    <row r="36">
      <c r="B36" s="5" t="inlineStr">
        <is>
          <t>2024 Q3</t>
        </is>
      </c>
      <c r="C36" s="19" t="n">
        <v>0</v>
      </c>
      <c r="D36" s="19" t="n">
        <v>22293655.04</v>
      </c>
      <c r="E36" s="19" t="n">
        <v>22523655.04</v>
      </c>
      <c r="F36" s="19" t="n">
        <v>20865717.6166413</v>
      </c>
      <c r="G36" s="15">
        <f>E36-C36-D36</f>
        <v/>
      </c>
      <c r="H36" s="15">
        <f>E36-F36</f>
        <v/>
      </c>
    </row>
    <row r="37">
      <c r="B37" s="7" t="inlineStr">
        <is>
          <t>2024 Q4</t>
        </is>
      </c>
      <c r="C37" s="20" t="n">
        <v>0</v>
      </c>
      <c r="D37" s="20" t="n">
        <v>20592562.63</v>
      </c>
      <c r="E37" s="20" t="n">
        <v>20622562.63</v>
      </c>
      <c r="F37" s="20" t="n">
        <v>18977281.7239277</v>
      </c>
      <c r="G37" s="21">
        <f>E37-C37-D37</f>
        <v/>
      </c>
      <c r="H37" s="21">
        <f>E37-F37</f>
        <v/>
      </c>
    </row>
    <row r="38">
      <c r="B38" s="5" t="inlineStr">
        <is>
          <t>2025 Q1</t>
        </is>
      </c>
      <c r="C38" s="19" t="n">
        <v>0</v>
      </c>
      <c r="D38" s="19" t="n">
        <v>20309232.16</v>
      </c>
      <c r="E38" s="19" t="n">
        <v>20479232.16</v>
      </c>
      <c r="F38" s="19" t="n">
        <v>19773663.2980926</v>
      </c>
      <c r="G38" s="15">
        <f>E38-C38-D38</f>
        <v/>
      </c>
      <c r="H38" s="15">
        <f>E38-F38</f>
        <v/>
      </c>
    </row>
    <row r="39">
      <c r="B39" s="7" t="inlineStr">
        <is>
          <t>2025 Q2</t>
        </is>
      </c>
      <c r="C39" s="20" t="n">
        <v>0</v>
      </c>
      <c r="D39" s="20" t="n">
        <v>20974491.39</v>
      </c>
      <c r="E39" s="20" t="n">
        <v>21014491.39</v>
      </c>
      <c r="F39" s="20" t="n">
        <v>20312076.7221986</v>
      </c>
      <c r="G39" s="21">
        <f>E39-C39-D39</f>
        <v/>
      </c>
      <c r="H39" s="21">
        <f>E39-F39</f>
        <v/>
      </c>
    </row>
    <row r="40">
      <c r="B40" s="5" t="inlineStr">
        <is>
          <t>2025 Q3</t>
        </is>
      </c>
      <c r="C40" s="19" t="n">
        <v>0</v>
      </c>
      <c r="D40" s="19" t="n">
        <v>22972744.48</v>
      </c>
      <c r="E40" s="19" t="n">
        <v>23032744.48</v>
      </c>
      <c r="F40" s="19" t="n">
        <v>22333276.8250639</v>
      </c>
      <c r="G40" s="15">
        <f>E40-C40-D40</f>
        <v/>
      </c>
      <c r="H40" s="15">
        <f>E40-F40</f>
        <v/>
      </c>
    </row>
    <row r="41">
      <c r="B41" s="7" t="inlineStr">
        <is>
          <t>2025 Q4</t>
        </is>
      </c>
      <c r="C41" s="20" t="n">
        <v>0</v>
      </c>
      <c r="D41" s="20" t="n">
        <v>20449074.01</v>
      </c>
      <c r="E41" s="20" t="n">
        <v>20459074.01</v>
      </c>
      <c r="F41" s="20" t="n">
        <v>19759899.5289485</v>
      </c>
      <c r="G41" s="21">
        <f>E41-C41-D41</f>
        <v/>
      </c>
      <c r="H41" s="21">
        <f>E41-F41</f>
        <v/>
      </c>
    </row>
    <row r="42">
      <c r="B42" s="5" t="inlineStr">
        <is>
          <t>2026 Q1</t>
        </is>
      </c>
      <c r="C42" s="19" t="n">
        <v>0</v>
      </c>
      <c r="D42" s="19" t="n">
        <v>20349187.03</v>
      </c>
      <c r="E42" s="19" t="n">
        <v>20629187.03</v>
      </c>
      <c r="F42" s="19" t="n">
        <v>19937641.6608484</v>
      </c>
      <c r="G42" s="15">
        <f>E42-C42-D42</f>
        <v/>
      </c>
      <c r="H42" s="15">
        <f>E42-F42</f>
        <v/>
      </c>
    </row>
    <row r="43">
      <c r="B43" s="7" t="inlineStr">
        <is>
          <t>2026 Q2</t>
        </is>
      </c>
      <c r="C43" s="20" t="n">
        <v>0</v>
      </c>
      <c r="D43" s="20" t="n">
        <v>19648783.29</v>
      </c>
      <c r="E43" s="20" t="n">
        <v>20116161.4281151</v>
      </c>
      <c r="F43" s="20" t="n">
        <v>19428567.2031761</v>
      </c>
      <c r="G43" s="21">
        <f>E43-C43-D43</f>
        <v/>
      </c>
      <c r="H43" s="21">
        <f>E43-F43</f>
        <v/>
      </c>
    </row>
    <row r="44">
      <c r="B44" s="5" t="inlineStr">
        <is>
          <t>2026 Q3</t>
        </is>
      </c>
      <c r="C44" s="19" t="n">
        <v>0</v>
      </c>
      <c r="D44" s="19" t="n">
        <v>17975437.23</v>
      </c>
      <c r="E44" s="19" t="n">
        <v>17975437.23</v>
      </c>
      <c r="F44" s="19" t="n">
        <v>17298463.7656388</v>
      </c>
      <c r="G44" s="15">
        <f>E44-C44-D44</f>
        <v/>
      </c>
      <c r="H44" s="15">
        <f>E44-F44</f>
        <v/>
      </c>
    </row>
    <row r="45">
      <c r="B45" s="7" t="inlineStr">
        <is>
          <t>2026 Q4</t>
        </is>
      </c>
      <c r="C45" s="20" t="n">
        <v>0</v>
      </c>
      <c r="D45" s="20" t="n">
        <v>16909862.80942511</v>
      </c>
      <c r="E45" s="20" t="n">
        <v>16909862.8094251</v>
      </c>
      <c r="F45" s="20" t="n">
        <v>16254517.9008894</v>
      </c>
      <c r="G45" s="21">
        <f>E45-C45-D45</f>
        <v/>
      </c>
      <c r="H45" s="21">
        <f>E45-F45</f>
        <v/>
      </c>
    </row>
    <row r="46">
      <c r="B46" s="5" t="inlineStr">
        <is>
          <t>2027 Q1</t>
        </is>
      </c>
      <c r="C46" s="19" t="n">
        <v>0</v>
      </c>
      <c r="D46" s="19" t="n">
        <v>16407158.90376073</v>
      </c>
      <c r="E46" s="19" t="n">
        <v>17409780.7656456</v>
      </c>
      <c r="F46" s="19" t="n">
        <v>16813833.3193784</v>
      </c>
      <c r="G46" s="15">
        <f>E46-C46-D46</f>
        <v/>
      </c>
      <c r="H46" s="15">
        <f>E46-F46</f>
        <v/>
      </c>
    </row>
    <row r="47">
      <c r="B47" s="7" t="inlineStr">
        <is>
          <t>2027 Q2</t>
        </is>
      </c>
      <c r="C47" s="20" t="n">
        <v>0</v>
      </c>
      <c r="D47" s="20" t="n">
        <v>15677309.59642688</v>
      </c>
      <c r="E47" s="20" t="n">
        <v>15697309.5964269</v>
      </c>
      <c r="F47" s="20" t="n">
        <v>15112410.6891997</v>
      </c>
      <c r="G47" s="21">
        <f>E47-C47-D47</f>
        <v/>
      </c>
      <c r="H47" s="21">
        <f>E47-F47</f>
        <v/>
      </c>
    </row>
    <row r="48">
      <c r="B48" s="5" t="inlineStr">
        <is>
          <t>2027 Q3</t>
        </is>
      </c>
      <c r="C48" s="19" t="n">
        <v>0</v>
      </c>
      <c r="D48" s="19" t="n">
        <v>15224694.8664894</v>
      </c>
      <c r="E48" s="19" t="n">
        <v>15224694.8664894</v>
      </c>
      <c r="F48" s="19" t="n">
        <v>14639795.9592633</v>
      </c>
      <c r="G48" s="15">
        <f>E48-C48-D48</f>
        <v/>
      </c>
      <c r="H48" s="15">
        <f>E48-F48</f>
        <v/>
      </c>
    </row>
    <row r="49">
      <c r="B49" s="7" t="inlineStr">
        <is>
          <t>2027 Q4</t>
        </is>
      </c>
      <c r="C49" s="20" t="n">
        <v>0</v>
      </c>
      <c r="D49" s="20" t="n">
        <v>13473774.71521859</v>
      </c>
      <c r="E49" s="20" t="n">
        <v>13933774.7152186</v>
      </c>
      <c r="F49" s="20" t="n">
        <v>13363739.4516139</v>
      </c>
      <c r="G49" s="21">
        <f>E49-C49-D49</f>
        <v/>
      </c>
      <c r="H49" s="21">
        <f>E49-F49</f>
        <v/>
      </c>
    </row>
    <row r="50">
      <c r="B50" s="5" t="inlineStr">
        <is>
          <t>2028 Q1</t>
        </is>
      </c>
      <c r="C50" s="19" t="n">
        <v>0</v>
      </c>
      <c r="D50" s="19" t="n">
        <v>12692626.44231287</v>
      </c>
      <c r="E50" s="19" t="n">
        <v>13302626.4423129</v>
      </c>
      <c r="F50" s="19" t="n">
        <v>12748149.9049725</v>
      </c>
      <c r="G50" s="15">
        <f>E50-C50-D50</f>
        <v/>
      </c>
      <c r="H50" s="15">
        <f>E50-F50</f>
        <v/>
      </c>
    </row>
    <row r="51">
      <c r="B51" s="7" t="inlineStr">
        <is>
          <t>2028 Q2</t>
        </is>
      </c>
      <c r="C51" s="20" t="n">
        <v>0</v>
      </c>
      <c r="D51" s="20" t="n">
        <v>11943736.58287709</v>
      </c>
      <c r="E51" s="20" t="n">
        <v>12483736.5828771</v>
      </c>
      <c r="F51" s="20" t="n">
        <v>11946701.2492994</v>
      </c>
      <c r="G51" s="21">
        <f>E51-C51-D51</f>
        <v/>
      </c>
      <c r="H51" s="21">
        <f>E51-F51</f>
        <v/>
      </c>
    </row>
    <row r="52">
      <c r="B52" s="5" t="inlineStr">
        <is>
          <t>2028 Q3</t>
        </is>
      </c>
      <c r="C52" s="19" t="n">
        <v>0</v>
      </c>
      <c r="D52" s="19" t="n">
        <v>11516774.8743778</v>
      </c>
      <c r="E52" s="19" t="n">
        <v>13456774.8743778</v>
      </c>
      <c r="F52" s="19" t="n">
        <v>12944514.9880544</v>
      </c>
      <c r="G52" s="15">
        <f>E52-C52-D52</f>
        <v/>
      </c>
      <c r="H52" s="15">
        <f>E52-F52</f>
        <v/>
      </c>
    </row>
    <row r="53">
      <c r="B53" s="7" t="inlineStr">
        <is>
          <t>2028 Q4</t>
        </is>
      </c>
      <c r="C53" s="20" t="n">
        <v>0</v>
      </c>
      <c r="D53" s="20" t="n">
        <v>8279621.71051893</v>
      </c>
      <c r="E53" s="20" t="n">
        <v>8979621.71051893</v>
      </c>
      <c r="F53" s="20" t="n">
        <v>8527444.91558096</v>
      </c>
      <c r="G53" s="21">
        <f>E53-C53-D53</f>
        <v/>
      </c>
      <c r="H53" s="21">
        <f>E53-F53</f>
        <v/>
      </c>
    </row>
    <row r="54">
      <c r="B54" s="5" t="inlineStr">
        <is>
          <t>2029 Q1</t>
        </is>
      </c>
      <c r="C54" s="19" t="n">
        <v>0</v>
      </c>
      <c r="D54" s="19" t="n">
        <v>7323878.089337241</v>
      </c>
      <c r="E54" s="19" t="n">
        <v>7793878.08933724</v>
      </c>
      <c r="F54" s="19" t="n">
        <v>7352482.82712739</v>
      </c>
      <c r="G54" s="15">
        <f>E54-C54-D54</f>
        <v/>
      </c>
      <c r="H54" s="15">
        <f>E54-F54</f>
        <v/>
      </c>
    </row>
    <row r="55">
      <c r="B55" s="7" t="inlineStr">
        <is>
          <t>2029 Q2</t>
        </is>
      </c>
      <c r="C55" s="20" t="n">
        <v>0</v>
      </c>
      <c r="D55" s="20" t="n">
        <v>69564599.02089919</v>
      </c>
      <c r="E55" s="20" t="n">
        <v>70714599.02089921</v>
      </c>
      <c r="F55" s="20" t="n">
        <v>70304767.2097363</v>
      </c>
      <c r="G55" s="21">
        <f>E55-C55-D55</f>
        <v/>
      </c>
      <c r="H55" s="21">
        <f>E55-F55</f>
        <v/>
      </c>
    </row>
    <row r="56">
      <c r="B56" s="5" t="inlineStr">
        <is>
          <t>2029 Q3</t>
        </is>
      </c>
      <c r="C56" s="19" t="n">
        <v>0</v>
      </c>
      <c r="D56" s="19" t="n">
        <v>54165839.54311763</v>
      </c>
      <c r="E56" s="19" t="n">
        <v>54965839.5431176</v>
      </c>
      <c r="F56" s="19" t="n">
        <v>54587716.604264</v>
      </c>
      <c r="G56" s="15">
        <f>E56-C56-D56</f>
        <v/>
      </c>
      <c r="H56" s="15">
        <f>E56-F56</f>
        <v/>
      </c>
    </row>
    <row r="57">
      <c r="B57" s="7" t="inlineStr">
        <is>
          <t>2029 Q4</t>
        </is>
      </c>
      <c r="C57" s="20" t="n">
        <v>0</v>
      </c>
      <c r="D57" s="20" t="n">
        <v>44912421.23677232</v>
      </c>
      <c r="E57" s="20" t="n">
        <v>45982421.2367723</v>
      </c>
      <c r="F57" s="20" t="n">
        <v>45642448.1636347</v>
      </c>
      <c r="G57" s="21">
        <f>E57-C57-D57</f>
        <v/>
      </c>
      <c r="H57" s="21">
        <f>E57-F57</f>
        <v/>
      </c>
    </row>
    <row r="58">
      <c r="B58" s="5" t="inlineStr">
        <is>
          <t>2030 Q1</t>
        </is>
      </c>
      <c r="C58" s="19" t="n">
        <v>0</v>
      </c>
      <c r="D58" s="19" t="n">
        <v>34295790.02068698</v>
      </c>
      <c r="E58" s="19" t="n">
        <v>34755790.0206869</v>
      </c>
      <c r="F58" s="19" t="n">
        <v>34427635.3878224</v>
      </c>
      <c r="G58" s="15">
        <f>E58-C58-D58</f>
        <v/>
      </c>
      <c r="H58" s="15">
        <f>E58-F58</f>
        <v/>
      </c>
    </row>
    <row r="59">
      <c r="B59" s="7" t="inlineStr">
        <is>
          <t>2030 Q2</t>
        </is>
      </c>
      <c r="C59" s="20" t="n">
        <v>0</v>
      </c>
      <c r="D59" s="20" t="n">
        <v>4415353.71095559</v>
      </c>
      <c r="E59" s="20" t="n">
        <v>4495353.71095559</v>
      </c>
      <c r="F59" s="20" t="n">
        <v>4176344.73348399</v>
      </c>
      <c r="G59" s="21">
        <f>E59-C59-D59</f>
        <v/>
      </c>
      <c r="H59" s="21">
        <f>E59-F59</f>
        <v/>
      </c>
    </row>
    <row r="60">
      <c r="B60" s="5" t="inlineStr">
        <is>
          <t>2030 Q3</t>
        </is>
      </c>
      <c r="C60" s="19" t="n">
        <v>0</v>
      </c>
      <c r="D60" s="19" t="n">
        <v>45208034.3796212</v>
      </c>
      <c r="E60" s="19" t="n">
        <v>45918034.3796213</v>
      </c>
      <c r="F60" s="19" t="n">
        <v>45608726.9162961</v>
      </c>
      <c r="G60" s="15">
        <f>E60-C60-D60</f>
        <v/>
      </c>
      <c r="H60" s="15">
        <f>E60-F60</f>
        <v/>
      </c>
    </row>
    <row r="61">
      <c r="B61" s="7" t="inlineStr">
        <is>
          <t>2030 Q4</t>
        </is>
      </c>
      <c r="C61" s="20" t="n">
        <v>0</v>
      </c>
      <c r="D61" s="20" t="n">
        <v>132915106.2533296</v>
      </c>
      <c r="E61" s="20" t="n">
        <v>135045106.25333</v>
      </c>
      <c r="F61" s="20" t="n">
        <v>134810784.771538</v>
      </c>
      <c r="G61" s="21">
        <f>E61-C61-D61</f>
        <v/>
      </c>
      <c r="H61" s="21">
        <f>E61-F61</f>
        <v/>
      </c>
    </row>
    <row r="62">
      <c r="B62" s="5" t="inlineStr">
        <is>
          <t>2031 Q1</t>
        </is>
      </c>
      <c r="C62" s="19" t="n">
        <v>0</v>
      </c>
      <c r="D62" s="19" t="n">
        <v>79545422.87268895</v>
      </c>
      <c r="E62" s="19" t="n">
        <v>80725422.8726889</v>
      </c>
      <c r="F62" s="19" t="n">
        <v>80517657.9275745</v>
      </c>
      <c r="G62" s="15">
        <f>E62-C62-D62</f>
        <v/>
      </c>
      <c r="H62" s="15">
        <f>E62-F62</f>
        <v/>
      </c>
    </row>
    <row r="63">
      <c r="B63" s="7" t="inlineStr">
        <is>
          <t>2031 Q2</t>
        </is>
      </c>
      <c r="C63" s="20" t="n">
        <v>0</v>
      </c>
      <c r="D63" s="20" t="n">
        <v>49447794.98095339</v>
      </c>
      <c r="E63" s="20" t="n">
        <v>49947794.9809533</v>
      </c>
      <c r="F63" s="20" t="n">
        <v>49768027.0671754</v>
      </c>
      <c r="G63" s="21">
        <f>E63-C63-D63</f>
        <v/>
      </c>
      <c r="H63" s="21">
        <f>E63-F63</f>
        <v/>
      </c>
    </row>
    <row r="64">
      <c r="B64" s="5" t="inlineStr">
        <is>
          <t>2031 Q3</t>
        </is>
      </c>
      <c r="C64" s="19" t="n">
        <v>0</v>
      </c>
      <c r="D64" s="19" t="n">
        <v>13066443.80079287</v>
      </c>
      <c r="E64" s="19" t="n">
        <v>13246443.8007929</v>
      </c>
      <c r="F64" s="19" t="n">
        <v>13078579.1405773</v>
      </c>
      <c r="G64" s="15">
        <f>E64-C64-D64</f>
        <v/>
      </c>
      <c r="H64" s="15">
        <f>E64-F64</f>
        <v/>
      </c>
    </row>
    <row r="65">
      <c r="B65" s="7" t="inlineStr">
        <is>
          <t>2031 Q4</t>
        </is>
      </c>
      <c r="C65" s="20" t="n">
        <v>0</v>
      </c>
      <c r="D65" s="20" t="n">
        <v>25944725.22033762</v>
      </c>
      <c r="E65" s="20" t="n">
        <v>26404725.2203376</v>
      </c>
      <c r="F65" s="20" t="n">
        <v>26245807.7683433</v>
      </c>
      <c r="G65" s="21">
        <f>E65-C65-D65</f>
        <v/>
      </c>
      <c r="H65" s="21">
        <f>E65-F65</f>
        <v/>
      </c>
    </row>
    <row r="66">
      <c r="B66" s="5" t="inlineStr">
        <is>
          <t>2032 Q1</t>
        </is>
      </c>
      <c r="C66" s="19" t="n">
        <v>0</v>
      </c>
      <c r="D66" s="19" t="n">
        <v>41938113.797823</v>
      </c>
      <c r="E66" s="19" t="n">
        <v>42438113.797823</v>
      </c>
      <c r="F66" s="19" t="n">
        <v>42047251.3577691</v>
      </c>
      <c r="G66" s="15">
        <f>E66-C66-D66</f>
        <v/>
      </c>
      <c r="H66" s="15">
        <f>E66-F66</f>
        <v/>
      </c>
    </row>
    <row r="67">
      <c r="B67" s="7" t="inlineStr">
        <is>
          <t>2032 Q2</t>
        </is>
      </c>
      <c r="C67" s="20" t="n">
        <v>0</v>
      </c>
      <c r="D67" s="20" t="n">
        <v>38210466.054375</v>
      </c>
      <c r="E67" s="20" t="n">
        <v>38580466.054375</v>
      </c>
      <c r="F67" s="20" t="n">
        <v>38451487.2538381</v>
      </c>
      <c r="G67" s="21">
        <f>E67-C67-D67</f>
        <v/>
      </c>
      <c r="H67" s="21">
        <f>E67-F67</f>
        <v/>
      </c>
    </row>
    <row r="68">
      <c r="B68" s="5" t="inlineStr">
        <is>
          <t>2032 Q3</t>
        </is>
      </c>
      <c r="C68" s="19" t="n">
        <v>0</v>
      </c>
      <c r="D68" s="19" t="n">
        <v>0</v>
      </c>
      <c r="E68" s="19" t="n">
        <v>0</v>
      </c>
      <c r="F68" s="19" t="n">
        <v>0</v>
      </c>
      <c r="G68" s="15">
        <f>E68-C68-D68</f>
        <v/>
      </c>
      <c r="H68" s="15">
        <f>E68-F68</f>
        <v/>
      </c>
    </row>
    <row r="69">
      <c r="B69" s="7" t="inlineStr">
        <is>
          <t>2032 Q4</t>
        </is>
      </c>
      <c r="C69" s="20" t="n">
        <v>0</v>
      </c>
      <c r="D69" s="20" t="n">
        <v>0</v>
      </c>
      <c r="E69" s="20" t="n">
        <v>0</v>
      </c>
      <c r="F69" s="20" t="n">
        <v>0</v>
      </c>
      <c r="G69" s="21">
        <f>E69-C69-D69</f>
        <v/>
      </c>
      <c r="H69" s="21">
        <f>E69-F69</f>
        <v/>
      </c>
    </row>
    <row r="70">
      <c r="B70" s="22" t="inlineStr">
        <is>
          <t>Total</t>
        </is>
      </c>
      <c r="C70" s="23">
        <f>SUM(C6:C69)</f>
        <v/>
      </c>
      <c r="D70" s="23">
        <f>SUM(D6:D69)</f>
        <v/>
      </c>
      <c r="E70" s="23">
        <f>SUM(E6:E69)</f>
        <v/>
      </c>
      <c r="F70" s="23">
        <f>SUM(F6:F69)</f>
        <v/>
      </c>
      <c r="G70" s="23">
        <f>SUM(G6:G69)</f>
        <v/>
      </c>
      <c r="H70" s="23">
        <f>SUM(H6:H69)</f>
        <v/>
      </c>
    </row>
    <row r="72">
      <c r="B72" s="24" t="inlineStr">
        <is>
          <t>Note: Capital Calls shown as negatives. Net CF columns include capital calls. Timing Difference is net of capital calls: Zero Fee Net CF less (Capital Calls plus Gross Distributions), so it nets to $0 over fund life.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2026-10-11T18:47:16Z</dcterms:created>
  <dcterms:modified xmlns:dcterms="http://purl.org/dc/terms/" xmlns:xsi="http://www.w3.org/2001/XMLSchema-instance" xsi:type="dcterms:W3CDTF">2026-10-11T18:47:23Z</dcterms:modified>
</cp:coreProperties>
</file>