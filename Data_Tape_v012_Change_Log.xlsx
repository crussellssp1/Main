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12 Capital Stack Changes" sheetId="1" state="visible" r:id="rId1"/>
    <sheet xmlns:r="http://schemas.openxmlformats.org/officeDocument/2006/relationships" name="Values Confirmed (Unchange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8" customWidth="1" min="3" max="3"/>
    <col width="20" customWidth="1" min="4" max="4"/>
    <col width="20" customWidth="1" min="5" max="5"/>
    <col width="18" customWidth="1" min="6" max="6"/>
    <col width="80" customWidth="1" min="7" max="7"/>
  </cols>
  <sheetData>
    <row r="1">
      <c r="A1" s="1" t="inlineStr">
        <is>
          <t>Cell</t>
        </is>
      </c>
      <c r="B1" s="1" t="inlineStr">
        <is>
          <t>Field</t>
        </is>
      </c>
      <c r="C1" s="1" t="inlineStr">
        <is>
          <t>Deal</t>
        </is>
      </c>
      <c r="D1" s="1" t="inlineStr">
        <is>
          <t>v011 Value</t>
        </is>
      </c>
      <c r="E1" s="1" t="inlineStr">
        <is>
          <t>v012 Entry</t>
        </is>
      </c>
      <c r="F1" s="1" t="inlineStr">
        <is>
          <t>v012 Result</t>
        </is>
      </c>
      <c r="G1" s="1" t="inlineStr">
        <is>
          <t>Source</t>
        </is>
      </c>
    </row>
    <row r="2">
      <c r="A2" s="2" t="inlineStr">
        <is>
          <t>E35</t>
        </is>
      </c>
      <c r="B2" s="2" t="inlineStr">
        <is>
          <t>SSP Investment Type</t>
        </is>
      </c>
      <c r="C2" s="2" t="inlineStr">
        <is>
          <t>Project AXMF 2025-SBRR1 Class A</t>
        </is>
      </c>
      <c r="D2" s="2" t="inlineStr">
        <is>
          <t>CUSIP - New Issue</t>
        </is>
      </c>
      <c r="E2" s="2" t="inlineStr">
        <is>
          <t>CUSIP - Secondary</t>
        </is>
      </c>
      <c r="F2" s="2" t="inlineStr">
        <is>
          <t>CUSIP - Secondary</t>
        </is>
      </c>
      <c r="G2" s="2" t="inlineStr">
        <is>
          <t>User: AXMF positions are CUSIP secondary</t>
        </is>
      </c>
    </row>
    <row r="3">
      <c r="A3" s="3" t="inlineStr">
        <is>
          <t>E36</t>
        </is>
      </c>
      <c r="B3" s="3" t="inlineStr">
        <is>
          <t>SSP Investment Type</t>
        </is>
      </c>
      <c r="C3" s="3" t="inlineStr">
        <is>
          <t>Project AXMF 2025-SBRR1 Class B</t>
        </is>
      </c>
      <c r="D3" s="3" t="inlineStr">
        <is>
          <t>CUSIP - New Issue</t>
        </is>
      </c>
      <c r="E3" s="3" t="inlineStr">
        <is>
          <t>CUSIP - Secondary</t>
        </is>
      </c>
      <c r="F3" s="3" t="inlineStr">
        <is>
          <t>CUSIP - Secondary</t>
        </is>
      </c>
      <c r="G3" s="3" t="inlineStr">
        <is>
          <t>User: AXMF positions are CUSIP secondary</t>
        </is>
      </c>
    </row>
    <row r="4">
      <c r="A4" s="2" t="inlineStr">
        <is>
          <t>E37</t>
        </is>
      </c>
      <c r="B4" s="2" t="inlineStr">
        <is>
          <t>SSP Investment Type</t>
        </is>
      </c>
      <c r="C4" s="2" t="inlineStr">
        <is>
          <t>Project AXMF 2025-SBRR1 Class C</t>
        </is>
      </c>
      <c r="D4" s="2" t="inlineStr">
        <is>
          <t>CUSIP - New Issue</t>
        </is>
      </c>
      <c r="E4" s="2" t="inlineStr">
        <is>
          <t>CUSIP - Secondary</t>
        </is>
      </c>
      <c r="F4" s="2" t="inlineStr">
        <is>
          <t>CUSIP - Secondary</t>
        </is>
      </c>
      <c r="G4" s="2" t="inlineStr">
        <is>
          <t>User: AXMF positions are CUSIP secondary</t>
        </is>
      </c>
    </row>
    <row r="5">
      <c r="A5" s="3" t="inlineStr">
        <is>
          <t>H3</t>
        </is>
      </c>
      <c r="B5" s="3" t="inlineStr">
        <is>
          <t>SSP Commitment Amount</t>
        </is>
      </c>
      <c r="C5" s="3" t="inlineStr">
        <is>
          <t>Project Sequoia</t>
        </is>
      </c>
      <c r="D5" s="3" t="n">
        <v>77290511.55</v>
      </c>
      <c r="E5" s="3" t="n">
        <v>154500000</v>
      </c>
      <c r="F5" s="3" t="n">
        <v>154500000</v>
      </c>
      <c r="G5" s="3" t="inlineStr">
        <is>
          <t>CRE Position Report (Position Report tab) row 10: Original Commitment $154.5M (ties to Allocations &amp; Returns); Tableau shows $77.29M for Principal IMA, IC memo 'most likely' $104.6M</t>
        </is>
      </c>
    </row>
    <row r="6">
      <c r="A6" s="2" t="inlineStr">
        <is>
          <t>I3</t>
        </is>
      </c>
      <c r="B6" s="2" t="inlineStr">
        <is>
          <t>SSP Initial Loan Balance</t>
        </is>
      </c>
      <c r="C6" s="2" t="inlineStr">
        <is>
          <t>Project Sequoia</t>
        </is>
      </c>
      <c r="D6" s="2" t="n">
        <v>74847726</v>
      </c>
      <c r="E6" s="2" t="n">
        <v>149600000</v>
      </c>
      <c r="F6" s="2" t="n">
        <v>149600000</v>
      </c>
      <c r="G6" s="2" t="inlineStr">
        <is>
          <t>CRE Position Report (Position Report tab) row 10: Original UPB $149.6M</t>
        </is>
      </c>
    </row>
    <row r="7">
      <c r="A7" s="3" t="inlineStr">
        <is>
          <t>K3</t>
        </is>
      </c>
      <c r="B7" s="3" t="inlineStr">
        <is>
          <t>Purchase Price</t>
        </is>
      </c>
      <c r="C7" s="3" t="inlineStr">
        <is>
          <t>Project Sequoia</t>
        </is>
      </c>
      <c r="D7" s="3" t="n">
        <v>0.9325</v>
      </c>
      <c r="E7" s="3" t="n">
        <v>0.9303</v>
      </c>
      <c r="F7" s="3" t="n">
        <v>0.9303</v>
      </c>
      <c r="G7" s="3" t="inlineStr">
        <is>
          <t>CRE Position Report (Position Report tab) row 10: Purchase Price 93.03</t>
        </is>
      </c>
    </row>
    <row r="8">
      <c r="A8" s="2" t="inlineStr">
        <is>
          <t>I6</t>
        </is>
      </c>
      <c r="B8" s="2" t="inlineStr">
        <is>
          <t>SSP Initial Loan Balance</t>
        </is>
      </c>
      <c r="C8" s="2" t="inlineStr">
        <is>
          <t>Project Balboa</t>
        </is>
      </c>
      <c r="D8" s="2" t="n">
        <v>31976250</v>
      </c>
      <c r="E8" s="2" t="n">
        <v>31995000</v>
      </c>
      <c r="F8" s="2" t="n">
        <v>31995000</v>
      </c>
      <c r="G8" s="2" t="inlineStr">
        <is>
          <t>Balboa IC memo (1626539608249) p.1 / p.6 S&amp;U: SSP Note A-1 initial funding $31,995,000</t>
        </is>
      </c>
    </row>
    <row r="9">
      <c r="A9" s="3" t="inlineStr">
        <is>
          <t>H39</t>
        </is>
      </c>
      <c r="B9" s="3" t="inlineStr">
        <is>
          <t>SSP Commitment Amount</t>
        </is>
      </c>
      <c r="C9" s="3" t="inlineStr">
        <is>
          <t>Project 3700M</t>
        </is>
      </c>
      <c r="D9" s="3" t="n">
        <v>46490756.0304166</v>
      </c>
      <c r="E9" s="3" t="n">
        <v>46500000</v>
      </c>
      <c r="F9" s="3" t="n">
        <v>46500000</v>
      </c>
      <c r="G9" s="3" t="inlineStr">
        <is>
          <t>CRE Position Report (Position Report tab) row 5 and Assignment and Assumption Agreement (Note A-1): $46,500,000</t>
        </is>
      </c>
    </row>
    <row r="10">
      <c r="A10" s="2" t="inlineStr">
        <is>
          <t>I39</t>
        </is>
      </c>
      <c r="B10" s="2" t="inlineStr">
        <is>
          <t>SSP Initial Loan Balance</t>
        </is>
      </c>
      <c r="C10" s="2" t="inlineStr">
        <is>
          <t>Project 3700M</t>
        </is>
      </c>
      <c r="D10" s="2" t="n">
        <v>46490756.0304166</v>
      </c>
      <c r="E10" s="2">
        <f>H39</f>
        <v/>
      </c>
      <c r="F10" s="2" t="n">
        <v>46500000</v>
      </c>
      <c r="G10" s="2" t="inlineStr">
        <is>
          <t>Fully funded at purchase (Note A-1 $46.5M)</t>
        </is>
      </c>
    </row>
    <row r="11">
      <c r="A11" s="3" t="inlineStr">
        <is>
          <t>K19</t>
        </is>
      </c>
      <c r="B11" s="3" t="inlineStr">
        <is>
          <t>Purchase Price</t>
        </is>
      </c>
      <c r="C11" s="3" t="inlineStr">
        <is>
          <t>Project Scarlet Bay</t>
        </is>
      </c>
      <c r="D11" s="3" t="n"/>
      <c r="E11" s="3" t="n">
        <v>1</v>
      </c>
      <c r="F11" s="3" t="n">
        <v>1</v>
      </c>
      <c r="G11" s="3" t="inlineStr">
        <is>
          <t>CRE Position Report (Position Report tab) rows 30-31: Purchase Price 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90" customWidth="1" min="4" max="4"/>
  </cols>
  <sheetData>
    <row r="1">
      <c r="A1" s="1" t="inlineStr">
        <is>
          <t>Cell</t>
        </is>
      </c>
      <c r="B1" s="1" t="inlineStr">
        <is>
          <t>Deal</t>
        </is>
      </c>
      <c r="C1" s="1" t="inlineStr">
        <is>
          <t>Value</t>
        </is>
      </c>
      <c r="D1" s="1" t="inlineStr">
        <is>
          <t>Source</t>
        </is>
      </c>
    </row>
    <row r="2">
      <c r="A2" s="2" t="inlineStr">
        <is>
          <t>H22</t>
        </is>
      </c>
      <c r="B2" s="2" t="inlineStr">
        <is>
          <t>Project Hearthstone Land</t>
        </is>
      </c>
      <c r="C2" s="2" t="n">
        <v>150248219</v>
      </c>
      <c r="D2" s="2" t="inlineStr">
        <is>
          <t>CRE Position Report row 21 and Tableau Consol row 58: Original Commitment $150,248,219 (Madrone)</t>
        </is>
      </c>
    </row>
    <row r="3">
      <c r="A3" s="3" t="inlineStr">
        <is>
          <t>H40</t>
        </is>
      </c>
      <c r="B3" s="3" t="inlineStr">
        <is>
          <t>Project Great Park Land Bank</t>
        </is>
      </c>
      <c r="C3" s="3" t="n">
        <v>69428848.29000001</v>
      </c>
      <c r="D3" s="3" t="inlineStr">
        <is>
          <t>Tableau Consol row 57: Original Commitment $69,428,848.29 (TAO)</t>
        </is>
      </c>
    </row>
    <row r="4">
      <c r="A4" s="2" t="inlineStr">
        <is>
          <t>I40</t>
        </is>
      </c>
      <c r="B4" s="2" t="inlineStr">
        <is>
          <t>Project Great Park Land Bank</t>
        </is>
      </c>
      <c r="C4" s="2" t="n">
        <v>64474719.5</v>
      </c>
      <c r="D4" s="2" t="inlineStr">
        <is>
          <t>CRE Position Report row 22: Original UPB $64,474,719.50</t>
        </is>
      </c>
    </row>
    <row r="5">
      <c r="A5" s="3" t="inlineStr">
        <is>
          <t>I20</t>
        </is>
      </c>
      <c r="B5" s="3" t="inlineStr">
        <is>
          <t>Project Royalton Whole Loan</t>
        </is>
      </c>
      <c r="C5" s="3" t="n">
        <v>19391891.89</v>
      </c>
      <c r="D5" s="3" t="inlineStr">
        <is>
          <t>CRE Position Report deal code 342718 rows (Madrone): sum of Original UPB $19.39M</t>
        </is>
      </c>
    </row>
    <row r="6">
      <c r="A6" s="2" t="inlineStr">
        <is>
          <t>T7</t>
        </is>
      </c>
      <c r="B6" s="2" t="inlineStr">
        <is>
          <t>Project Cubic</t>
        </is>
      </c>
      <c r="C6" s="2" t="n">
        <v>2480000000</v>
      </c>
      <c r="D6" s="2" t="inlineStr">
        <is>
          <t>Newmark portfolio appraisal for Citi, as is, 1/14/2022</t>
        </is>
      </c>
    </row>
    <row r="7">
      <c r="A7" s="3" t="inlineStr">
        <is>
          <t>AB16 / AI16</t>
        </is>
      </c>
      <c r="B7" s="3" t="inlineStr">
        <is>
          <t>Alpine Village</t>
        </is>
      </c>
      <c r="C7" s="3" t="inlineStr">
        <is>
          <t>2.35% / 11.25%</t>
        </is>
      </c>
      <c r="D7" s="3" t="inlineStr">
        <is>
          <t>Flow of Funds 7.24; Principal Intake Form 7.29 (Forum term sheet)</t>
        </is>
      </c>
    </row>
    <row r="8">
      <c r="A8" s="2" t="inlineStr">
        <is>
          <t>AB18 / AI18</t>
        </is>
      </c>
      <c r="B8" s="2" t="inlineStr">
        <is>
          <t>Prime Care</t>
        </is>
      </c>
      <c r="C8" s="2" t="inlineStr">
        <is>
          <t>2.50% / 7.00%</t>
        </is>
      </c>
      <c r="D8" s="2" t="inlineStr">
        <is>
          <t>Executed Mortgage and Mezzanine Loan Agreements, Sec 1.1 Spread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2026-10-21T21:33:51Z</dcterms:created>
  <dcterms:modified xmlns:dcterms="http://purl.org/dc/terms/" xmlns:xsi="http://www.w3.org/2001/XMLSchema-instance" xsi:type="dcterms:W3CDTF">2026-10-21T21:33:51Z</dcterms:modified>
</cp:coreProperties>
</file>