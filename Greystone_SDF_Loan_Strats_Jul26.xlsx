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s" sheetId="1" state="visible" r:id="rId3"/>
    <sheet name="Loan Tape" sheetId="2" state="visible" r:id="rId4"/>
    <sheet name="Mappings" sheetId="3" state="visible" r:id="rId5"/>
  </sheets>
  <definedNames>
    <definedName function="false" hidden="false" localSheetId="0" name="_xlnm.Print_Area" vbProcedure="false">Strats!$B$1:$T$343</definedName>
    <definedName function="false" hidden="false" name="AsOfDate" vbProcedure="false">'Loan Tape'!$D$2</definedName>
    <definedName function="false" hidden="false" name="DaysPerMonth" vbProcedure="false">'Loan Tape'!$BE$2</definedName>
    <definedName function="false" hidden="false" name="LT_asis" vbProcedure="false">'Loan Tape'!$U$5:$U$304</definedName>
    <definedName function="false" hidden="false" name="LT_backdebt" vbProcedure="false">'Loan Tape'!$BB$5:$BB$304</definedName>
    <definedName function="false" hidden="false" name="LT_backlev" vbProcedure="false">'Loan Tape'!$BC$5:$BC$304</definedName>
    <definedName function="false" hidden="false" name="LT_beds" vbProcedure="false">'Loan Tape'!$M$5:$M$304</definedName>
    <definedName function="false" hidden="false" name="LT_buydown" vbProcedure="false">'Loan Tape'!$AB$5:$AB$304</definedName>
    <definedName function="false" hidden="false" name="LT_capstat" vbProcedure="false">'Loan Tape'!$AY$5:$AY$304</definedName>
    <definedName function="false" hidden="false" name="LT_cap_exp" vbProcedure="false">'Loan Tape'!$AF$5:$AF$304</definedName>
    <definedName function="false" hidden="false" name="LT_cap_strike" vbProcedure="false">'Loan Tape'!$AE$5:$AE$304</definedName>
    <definedName function="false" hidden="false" name="LT_city" vbProcedure="false">'Loan Tape'!$H$5:$H$304</definedName>
    <definedName function="false" hidden="false" name="LT_close" vbProcedure="false">'Loan Tape'!$AH$5:$AH$304</definedName>
    <definedName function="false" hidden="false" name="LT_commit" vbProcedure="false">'Loan Tape'!$T$5:$T$304</definedName>
    <definedName function="false" hidden="false" name="LT_coupon" vbProcedure="false">'Loan Tape'!$AX$5:$AX$304</definedName>
    <definedName function="false" hidden="false" name="LT_eff" vbProcedure="false">'Loan Tape'!$AD$5:$AD$304</definedName>
    <definedName function="false" hidden="false" name="LT_equity" vbProcedure="false">'Loan Tape'!$AQ$5:$AQ$304</definedName>
    <definedName function="false" hidden="false" name="LT_ext" vbProcedure="false">'Loan Tape'!$AJ$5:$AJ$304</definedName>
    <definedName function="false" hidden="false" name="LT_eyr" vbProcedure="false">'Loan Tape'!$BJ$5:$BJ$304</definedName>
    <definedName function="false" hidden="false" name="LT_floor" vbProcedure="false">'Loan Tape'!$Z$5:$Z$304</definedName>
    <definedName function="false" hidden="false" name="LT_gsdf" vbProcedure="false">'Loan Tape'!$C$5:$C$304</definedName>
    <definedName function="false" hidden="false" name="LT_incl" vbProcedure="false">'Loan Tape'!$AT$5:$AT$304</definedName>
    <definedName function="false" hidden="false" name="LT_index" vbProcedure="false">'Loan Tape'!$AC$5:$AC$304</definedName>
    <definedName function="false" hidden="false" name="LT_init" vbProcedure="false">'Loan Tape'!$AI$5:$AI$304</definedName>
    <definedName function="false" hidden="false" name="LT_iyr" vbProcedure="false">'Loan Tape'!$BI$5:$BI$304</definedName>
    <definedName function="false" hidden="false" name="LT_l1" vbProcedure="false">'Loan Tape'!$AK$5:$AK$304</definedName>
    <definedName function="false" hidden="false" name="LT_l1debt" vbProcedure="false">'Loan Tape'!$AL$5:$AL$304</definedName>
    <definedName function="false" hidden="false" name="LT_l1spread" vbProcedure="false">'Loan Tape'!$AM$5:$AM$304</definedName>
    <definedName function="false" hidden="false" name="LT_l2" vbProcedure="false">'Loan Tape'!$AN$5:$AN$304</definedName>
    <definedName function="false" hidden="false" name="LT_l2debt" vbProcedure="false">'Loan Tape'!$AO$5:$AO$304</definedName>
    <definedName function="false" hidden="false" name="LT_l2spread" vbProcedure="false">'Loan Tape'!$AP$5:$AP$304</definedName>
    <definedName function="false" hidden="false" name="LT_lender" vbProcedure="false">'Loan Tape'!$BA$5:$BA$304</definedName>
    <definedName function="false" hidden="false" name="LT_lockcat" vbProcedure="false">'Loan Tape'!$AZ$5:$AZ$304</definedName>
    <definedName function="false" hidden="false" name="LT_lockout" vbProcedure="false">'Loan Tape'!$AG$5:$AG$304</definedName>
    <definedName function="false" hidden="false" name="LT_ltv_asis" vbProcedure="false">'Loan Tape'!$W$5:$W$304</definedName>
    <definedName function="false" hidden="false" name="LT_ltv_stab" vbProcedure="false">'Loan Tape'!$X$5:$X$304</definedName>
    <definedName function="false" hidden="false" name="LT_ltype" vbProcedure="false">'Loan Tape'!$F$5:$F$304</definedName>
    <definedName function="false" hidden="false" name="LT_m2e" vbProcedure="false">'Loan Tape'!$BF$5:$BF$304</definedName>
    <definedName function="false" hidden="false" name="LT_m2i" vbProcedure="false">'Loan Tape'!$BE$5:$BE$304</definedName>
    <definedName function="false" hidden="false" name="LT_name" vbProcedure="false">'Loan Tape'!$D$5:$D$304</definedName>
    <definedName function="false" hidden="false" name="LT_navbal" vbProcedure="false">'Loan Tape'!$R$5:$R$304</definedName>
    <definedName function="false" hidden="false" name="LT_navres" vbProcedure="false">'Loan Tape'!$Q$5:$Q$304</definedName>
    <definedName function="false" hidden="false" name="LT_num" vbProcedure="false">'Loan Tape'!$B$5:$B$304</definedName>
    <definedName function="false" hidden="false" name="LT_ptgrp" vbProcedure="false">'Loan Tape'!$AU$5:$AU$304</definedName>
    <definedName function="false" hidden="false" name="LT_ptype" vbProcedure="false">'Loan Tape'!$K$5:$K$304</definedName>
    <definedName function="false" hidden="false" name="LT_rank" vbProcedure="false">'Loan Tape'!$BM$5:$BM$304</definedName>
    <definedName function="false" hidden="false" name="LT_ratetype" vbProcedure="false">'Loan Tape'!$AW$5:$AW$304</definedName>
    <definedName function="false" hidden="false" name="LT_region" vbProcedure="false">'Loan Tape'!$AV$5:$AV$304</definedName>
    <definedName function="false" hidden="false" name="LT_roe" vbProcedure="false">'Loan Tape'!$AR$5:$AR$304</definedName>
    <definedName function="false" hidden="false" name="LT_rr" vbProcedure="false">'Loan Tape'!$G$5:$G$304</definedName>
    <definedName function="false" hidden="false" name="LT_rte" vbProcedure="false">'Loan Tape'!$BH$5:$BH$304</definedName>
    <definedName function="false" hidden="false" name="LT_rti" vbProcedure="false">'Loan Tape'!$BG$5:$BG$304</definedName>
    <definedName function="false" hidden="false" name="LT_seas" vbProcedure="false">'Loan Tape'!$BD$5:$BD$304</definedName>
    <definedName function="false" hidden="false" name="LT_seg" vbProcedure="false">'Loan Tape'!$E$5:$E$304</definedName>
    <definedName function="false" hidden="false" name="LT_sofr_prem" vbProcedure="false">'Loan Tape'!$AA$5:$AA$304</definedName>
    <definedName function="false" hidden="false" name="LT_spread" vbProcedure="false">'Loan Tape'!$Y$5:$Y$304</definedName>
    <definedName function="false" hidden="false" name="LT_stab" vbProcedure="false">'Loan Tape'!$V$5:$V$304</definedName>
    <definedName function="false" hidden="false" name="LT_state" vbProcedure="false">'Loan Tape'!$I$5:$I$304</definedName>
    <definedName function="false" hidden="false" name="LT_state1" vbProcedure="false">'Loan Tape'!$J$5:$J$304</definedName>
    <definedName function="false" hidden="false" name="LT_unfunded" vbProcedure="false">'Loan Tape'!$S$5:$S$304</definedName>
    <definedName function="false" hidden="false" name="LT_units" vbProcedure="false">'Loan Tape'!$L$5:$L$304</definedName>
    <definedName function="false" hidden="false" name="LT_upb" vbProcedure="false">'Loan Tape'!$P$5:$P$304</definedName>
    <definedName function="false" hidden="false" name="LT_vint" vbProcedure="false">'Loan Tape'!$BK$5:$BK$304</definedName>
    <definedName function="false" hidden="false" name="LT_yb" vbProcedure="false">'Loan Tape'!$BL$5:$BL$304</definedName>
    <definedName function="false" hidden="false" name="LT_yb_raw" vbProcedure="false">'Loan Tape'!$N$5:$N$304</definedName>
    <definedName function="false" hidden="false" name="LT_yr_raw" vbProcedure="false">'Loan Tape'!$O$5:$O$304</definedName>
    <definedName function="false" hidden="false" name="PropTypeMap" vbProcedure="false">Mappings!$B$6:$C$24</definedName>
    <definedName function="false" hidden="false" name="RegionMap" vbProcedure="false">Mappings!$E$6:$F$56</definedName>
    <definedName function="false" hidden="false" name="SOFR" vbProcedure="false">'Loan Tape'!$F$2</definedName>
    <definedName function="false" hidden="false" name="StratFilter" vbProcedure="false">Strats!$C$7</definedName>
    <definedName function="false" hidden="false" name="StratLoans" vbProcedure="false">Strats!$C$8</definedName>
    <definedName function="false" hidden="false" name="StratUPB" vbProcedure="false">Strats!$C$9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L4" authorId="0">
      <text>
        <r>
          <rPr>
            <sz val="10"/>
            <rFont val="Arial"/>
            <family val="2"/>
          </rPr>
          <t xml:space="preserve">Earliest four-digit year parsed from the as-reported Year Built text (multi-building portfolios report several years). N/A left blank.</t>
        </r>
      </text>
    </comment>
  </commentList>
</comments>
</file>

<file path=xl/sharedStrings.xml><?xml version="1.0" encoding="utf-8"?>
<sst xmlns="http://schemas.openxmlformats.org/spreadsheetml/2006/main" count="2457" uniqueCount="643">
  <si>
    <t xml:space="preserve">All tables recalculate off the Loan Tape tab and the segment filter dropdown in C7. Bucket bounds and category labels (green) sit in columns V:W beside each table.</t>
  </si>
  <si>
    <t xml:space="preserve">GREYSTONE SENIOR DEBT FUND: LOAN POOL STRATIFICATIONS</t>
  </si>
  <si>
    <t xml:space="preserve">PORTFOLIO OVERVIEW</t>
  </si>
  <si>
    <t xml:space="preserve">Data As Of</t>
  </si>
  <si>
    <t xml:space="preserve">Wtd. Avg. Loan Spread</t>
  </si>
  <si>
    <t xml:space="preserve">Wtd. Avg. Seasoning (Mo.)</t>
  </si>
  <si>
    <t xml:space="preserve">Term SOFR</t>
  </si>
  <si>
    <t xml:space="preserve">Wtd. Avg. Effective Spread</t>
  </si>
  <si>
    <t xml:space="preserve">Wtd. Avg. Rem. Term to Initial Mat. (Mo.)</t>
  </si>
  <si>
    <t xml:space="preserve">Segment Filter</t>
  </si>
  <si>
    <t xml:space="preserve">All Loans</t>
  </si>
  <si>
    <t xml:space="preserve">Wtd. Avg. All-In Coupon</t>
  </si>
  <si>
    <t xml:space="preserve">Wtd. Avg. Rem. Term to Ext. Mat. (Mo.)</t>
  </si>
  <si>
    <t xml:space="preserve">Number of Loans</t>
  </si>
  <si>
    <t xml:space="preserve">Wtd. Avg. Index Floor (Loans w/ Floor)</t>
  </si>
  <si>
    <t xml:space="preserve">% UPB Past Initial Maturity</t>
  </si>
  <si>
    <t xml:space="preserve">Current UPB</t>
  </si>
  <si>
    <t xml:space="preserve">% UPB Floating (SOFR)</t>
  </si>
  <si>
    <t xml:space="preserve">% UPB Past Fully Extended Maturity</t>
  </si>
  <si>
    <t xml:space="preserve">Average Loan Size</t>
  </si>
  <si>
    <t xml:space="preserve">% Floating UPB w/ Cap In Place</t>
  </si>
  <si>
    <t xml:space="preserve">% UPB Back-Levered</t>
  </si>
  <si>
    <t xml:space="preserve">Largest Loan</t>
  </si>
  <si>
    <t xml:space="preserve">Wtd. Avg. As-Is LTV</t>
  </si>
  <si>
    <t xml:space="preserve">Back Leverage (% of Total UPB)</t>
  </si>
  <si>
    <t xml:space="preserve">Total Commitment</t>
  </si>
  <si>
    <t xml:space="preserve">Wtd. Avg. As-Stabilized LTV</t>
  </si>
  <si>
    <t xml:space="preserve">Wtd. Avg. Levered ROE (Equity Wtd.)</t>
  </si>
  <si>
    <t xml:space="preserve">Unfunded Commitment</t>
  </si>
  <si>
    <t xml:space="preserve">Units (MF) / Beds (HC)</t>
  </si>
  <si>
    <t xml:space="preserve">% UPB Watchlist (Perf. / Credit Concern, REO)</t>
  </si>
  <si>
    <t xml:space="preserve">NAV Loss Reserve</t>
  </si>
  <si>
    <t xml:space="preserve">Number of Primary States</t>
  </si>
  <si>
    <t xml:space="preserve">% UPB REO</t>
  </si>
  <si>
    <t xml:space="preserve">Wtd. Avg. Levered ROE (UPB Wtd., Tape Basis)</t>
  </si>
  <si>
    <t xml:space="preserve">(1) Source: Greystone Senior Debt Fund Recapitalization loan tape (3.0-2, July 2026), data as of 06/30/2026; 131 loans across the Multifamily, Seniors Housing and Mezzanine sections.</t>
  </si>
  <si>
    <t xml:space="preserve">(2) Current UPB is the reported Loan Balance before NAV Loss Reserve. All weighted averages are weighted by Current UPB except Levered ROE, which is weighted by Equity (the source tape weights ROE by UPB; that figure is shown in P15 for tie-out).</t>
  </si>
  <si>
    <t xml:space="preserve">(3) All-In Coupon = Effective Spread + Term SOFR (3.65%), consistent with the tape ROE calculation. Effective Spread includes SOFR premium, rate buy-down and floor benefit per the tape.</t>
  </si>
  <si>
    <t xml:space="preserve">(4) As-Is LTV = (Initially Funded less Origination CapEx Reserve) / As-Is Value and As-Stabilized LTV = Total Commitment / As-Stabilized Value, as computed on the source tape. Missing values are excluded from both numerator and denominator.</t>
  </si>
  <si>
    <t xml:space="preserve">(5) Remaining terms are floored at zero for weighted averages; loans past maturity are broken out separately. Months = days / 30.4375. Back Leverage = Lender 1 plus Lender 2 debt / Current UPB.</t>
  </si>
  <si>
    <t xml:space="preserve">TEN LARGEST LOANS</t>
  </si>
  <si>
    <t xml:space="preserve">Loan / Property Name</t>
  </si>
  <si>
    <t xml:space="preserve">GSDF ID</t>
  </si>
  <si>
    <t xml:space="preserve">Segment</t>
  </si>
  <si>
    <t xml:space="preserve">State</t>
  </si>
  <si>
    <t xml:space="preserve">Property Type Group</t>
  </si>
  <si>
    <t xml:space="preserve">% of UPB</t>
  </si>
  <si>
    <t xml:space="preserve">Risk Rating</t>
  </si>
  <si>
    <t xml:space="preserve">Back-Leverage Lender</t>
  </si>
  <si>
    <t xml:space="preserve">Effective Spread</t>
  </si>
  <si>
    <t xml:space="preserve">All-In Coupon</t>
  </si>
  <si>
    <t xml:space="preserve">As-Is LTV</t>
  </si>
  <si>
    <t xml:space="preserve">As-Stab. LTV</t>
  </si>
  <si>
    <t xml:space="preserve">Seasoning (Mo.)</t>
  </si>
  <si>
    <t xml:space="preserve">Rem. Term Initial (Mo.)</t>
  </si>
  <si>
    <t xml:space="preserve">Rem. Term Ext. (Mo.)</t>
  </si>
  <si>
    <t xml:space="preserve">Back Leverage (% of UPB)</t>
  </si>
  <si>
    <t xml:space="preserve">Levered ROE</t>
  </si>
  <si>
    <t xml:space="preserve">Tape Row Index</t>
  </si>
  <si>
    <t xml:space="preserve">Equity</t>
  </si>
  <si>
    <t xml:space="preserve">Top 10 Total / Wtd. Avg.</t>
  </si>
  <si>
    <t xml:space="preserve">Ranked by Current UPB within the active segment filter. Tape Row Index and Equity helpers sit in columns V:W.</t>
  </si>
  <si>
    <t xml:space="preserve">SEGMENT (TAPE SECTION)</t>
  </si>
  <si>
    <t xml:space="preserve">Category</t>
  </si>
  <si>
    <t xml:space="preserve">% of Loans</t>
  </si>
  <si>
    <t xml:space="preserve">Units (MF)</t>
  </si>
  <si>
    <t xml:space="preserve">Beds (HC)</t>
  </si>
  <si>
    <t xml:space="preserve">Wtd. Avg. As-Stab. LTV</t>
  </si>
  <si>
    <t xml:space="preserve">Wtd. Avg. Rem. Term Initial (Mo.)</t>
  </si>
  <si>
    <t xml:space="preserve">Wtd. Avg. Rem. Term Ext. (Mo.)</t>
  </si>
  <si>
    <t xml:space="preserve">Wtd. Avg. Levered ROE</t>
  </si>
  <si>
    <t xml:space="preserve">Category Label</t>
  </si>
  <si>
    <t xml:space="preserve">Multifamily</t>
  </si>
  <si>
    <t xml:space="preserve">Seniors Housing</t>
  </si>
  <si>
    <t xml:space="preserve">Mezzanine</t>
  </si>
  <si>
    <t xml:space="preserve">Other / Unmapped</t>
  </si>
  <si>
    <t xml:space="preserve">Total / Wtd. Avg.</t>
  </si>
  <si>
    <t xml:space="preserve">PROPERTY TYPE</t>
  </si>
  <si>
    <t xml:space="preserve">Skilled Nursing</t>
  </si>
  <si>
    <t xml:space="preserve">Assisted Living / Memory Care</t>
  </si>
  <si>
    <t xml:space="preserve">Mixed SNF / Senior Living</t>
  </si>
  <si>
    <t xml:space="preserve">Retail</t>
  </si>
  <si>
    <t xml:space="preserve">Hospitality</t>
  </si>
  <si>
    <t xml:space="preserve">RISK RATING</t>
  </si>
  <si>
    <t xml:space="preserve">New Loan</t>
  </si>
  <si>
    <t xml:space="preserve">Exceeding Exit</t>
  </si>
  <si>
    <t xml:space="preserve">At Exit</t>
  </si>
  <si>
    <t xml:space="preserve">Approaching Exit</t>
  </si>
  <si>
    <t xml:space="preserve">Performance Concern</t>
  </si>
  <si>
    <t xml:space="preserve">Credit Concern</t>
  </si>
  <si>
    <t xml:space="preserve">REO</t>
  </si>
  <si>
    <t xml:space="preserve">GEOGRAPHIC DISTRIBUTION (PRIMARY STATE, TOP 15 BY UPB)</t>
  </si>
  <si>
    <t xml:space="preserve">TX</t>
  </si>
  <si>
    <t xml:space="preserve">NY</t>
  </si>
  <si>
    <t xml:space="preserve">CA</t>
  </si>
  <si>
    <t xml:space="preserve">GA</t>
  </si>
  <si>
    <t xml:space="preserve">MN</t>
  </si>
  <si>
    <t xml:space="preserve">FL</t>
  </si>
  <si>
    <t xml:space="preserve">NC</t>
  </si>
  <si>
    <t xml:space="preserve">NJ</t>
  </si>
  <si>
    <t xml:space="preserve">CT</t>
  </si>
  <si>
    <t xml:space="preserve">MD</t>
  </si>
  <si>
    <t xml:space="preserve">OH</t>
  </si>
  <si>
    <t xml:space="preserve">AL</t>
  </si>
  <si>
    <t xml:space="preserve">OR</t>
  </si>
  <si>
    <t xml:space="preserve">ID</t>
  </si>
  <si>
    <t xml:space="preserve">IN</t>
  </si>
  <si>
    <t xml:space="preserve">All Other States</t>
  </si>
  <si>
    <t xml:space="preserve">GEOGRAPHIC DISTRIBUTION (REGION)</t>
  </si>
  <si>
    <t xml:space="preserve">Northeast</t>
  </si>
  <si>
    <t xml:space="preserve">Southwest</t>
  </si>
  <si>
    <t xml:space="preserve">Southeast</t>
  </si>
  <si>
    <t xml:space="preserve">Midwest</t>
  </si>
  <si>
    <t xml:space="preserve">Pacific</t>
  </si>
  <si>
    <t xml:space="preserve">Mountain</t>
  </si>
  <si>
    <t xml:space="preserve">Mid-Atlantic</t>
  </si>
  <si>
    <t xml:space="preserve">BACK-LEVERAGE LENDER (LENDER 1)</t>
  </si>
  <si>
    <t xml:space="preserve">GS CRE Notes 2025-FL4</t>
  </si>
  <si>
    <t xml:space="preserve">Unlevered</t>
  </si>
  <si>
    <t xml:space="preserve">Goldman Sachs</t>
  </si>
  <si>
    <t xml:space="preserve">GS CRE Notes 2025-HC4</t>
  </si>
  <si>
    <t xml:space="preserve">Wells Fargo</t>
  </si>
  <si>
    <t xml:space="preserve">Natixis</t>
  </si>
  <si>
    <t xml:space="preserve">Huntington Bank</t>
  </si>
  <si>
    <t xml:space="preserve">UBS</t>
  </si>
  <si>
    <t xml:space="preserve">JPMorgan Chase</t>
  </si>
  <si>
    <t xml:space="preserve">Bank of America</t>
  </si>
  <si>
    <t xml:space="preserve">Axos Bank</t>
  </si>
  <si>
    <t xml:space="preserve">Atlas</t>
  </si>
  <si>
    <t xml:space="preserve">Capital One MF</t>
  </si>
  <si>
    <t xml:space="preserve">Bank United</t>
  </si>
  <si>
    <t xml:space="preserve">RATE TYPE</t>
  </si>
  <si>
    <t xml:space="preserve">Floating (SOFR)</t>
  </si>
  <si>
    <t xml:space="preserve">Fixed / All-In</t>
  </si>
  <si>
    <t xml:space="preserve">INTEREST RATE CAP STATUS</t>
  </si>
  <si>
    <t xml:space="preserve">In Place</t>
  </si>
  <si>
    <t xml:space="preserve">Expired</t>
  </si>
  <si>
    <t xml:space="preserve">Waived</t>
  </si>
  <si>
    <t xml:space="preserve">None Reported</t>
  </si>
  <si>
    <t xml:space="preserve">LOCKOUT PROVISION</t>
  </si>
  <si>
    <t xml:space="preserve">None</t>
  </si>
  <si>
    <t xml:space="preserve">3 Months</t>
  </si>
  <si>
    <t xml:space="preserve">6 Months</t>
  </si>
  <si>
    <t xml:space="preserve">12 Months</t>
  </si>
  <si>
    <t xml:space="preserve">18 Months</t>
  </si>
  <si>
    <t xml:space="preserve">Defeasance</t>
  </si>
  <si>
    <t xml:space="preserve">LOAN SIZE (CURRENT UPB)</t>
  </si>
  <si>
    <t xml:space="preserve">Bucket</t>
  </si>
  <si>
    <t xml:space="preserve">Floor (&gt;=)</t>
  </si>
  <si>
    <t xml:space="preserve">Cap (&lt;)</t>
  </si>
  <si>
    <t xml:space="preserve">Less than $5M</t>
  </si>
  <si>
    <t xml:space="preserve">$5M to $10M</t>
  </si>
  <si>
    <t xml:space="preserve">$10M to $25M</t>
  </si>
  <si>
    <t xml:space="preserve">$25M to $50M</t>
  </si>
  <si>
    <t xml:space="preserve">$50M to $75M</t>
  </si>
  <si>
    <t xml:space="preserve">$75M to $100M</t>
  </si>
  <si>
    <t xml:space="preserve">$100M or Greater</t>
  </si>
  <si>
    <t xml:space="preserve">EFFECTIVE SPREAD</t>
  </si>
  <si>
    <t xml:space="preserve">Less than 2.50%</t>
  </si>
  <si>
    <t xml:space="preserve">2.50% to 3.00%</t>
  </si>
  <si>
    <t xml:space="preserve">3.00% to 3.50%</t>
  </si>
  <si>
    <t xml:space="preserve">3.50% to 4.00%</t>
  </si>
  <si>
    <t xml:space="preserve">4.00% to 5.00%</t>
  </si>
  <si>
    <t xml:space="preserve">5.00% to 7.00%</t>
  </si>
  <si>
    <t xml:space="preserve">7.00% or Greater</t>
  </si>
  <si>
    <t xml:space="preserve">ALL-IN COUPON (EFFECTIVE SPREAD + SOFR)</t>
  </si>
  <si>
    <t xml:space="preserve">Less than 6.50%</t>
  </si>
  <si>
    <t xml:space="preserve">6.50% to 7.00%</t>
  </si>
  <si>
    <t xml:space="preserve">7.00% to 7.50%</t>
  </si>
  <si>
    <t xml:space="preserve">7.50% to 8.00%</t>
  </si>
  <si>
    <t xml:space="preserve">8.00% to 9.00%</t>
  </si>
  <si>
    <t xml:space="preserve">9.00% to 10.00%</t>
  </si>
  <si>
    <t xml:space="preserve">10.00% or Greater</t>
  </si>
  <si>
    <t xml:space="preserve">INDEX FLOOR</t>
  </si>
  <si>
    <t xml:space="preserve">Less than 1.00%</t>
  </si>
  <si>
    <t xml:space="preserve">1.00% to 3.00%</t>
  </si>
  <si>
    <t xml:space="preserve">3.00% to Current SOFR</t>
  </si>
  <si>
    <t xml:space="preserve">At or Above Current SOFR (Floor Binding)</t>
  </si>
  <si>
    <t xml:space="preserve">No Floor Reported</t>
  </si>
  <si>
    <t xml:space="preserve">Floors at or above current Term SOFR are in the money and lift the effective spread above the contract spread.</t>
  </si>
  <si>
    <t xml:space="preserve">RATE CAP STRIKE</t>
  </si>
  <si>
    <t xml:space="preserve">Less than 3.00%</t>
  </si>
  <si>
    <t xml:space="preserve">3.00% to 4.00%</t>
  </si>
  <si>
    <t xml:space="preserve">5.00% to 6.00%</t>
  </si>
  <si>
    <t xml:space="preserve">6.00% or Greater</t>
  </si>
  <si>
    <t xml:space="preserve">No Cap Strike Reported</t>
  </si>
  <si>
    <t xml:space="preserve">AS-IS LTV</t>
  </si>
  <si>
    <t xml:space="preserve">Less than 55.0%</t>
  </si>
  <si>
    <t xml:space="preserve">55.0% to 60.0%</t>
  </si>
  <si>
    <t xml:space="preserve">60.0% to 65.0%</t>
  </si>
  <si>
    <t xml:space="preserve">65.0% to 70.0%</t>
  </si>
  <si>
    <t xml:space="preserve">70.0% to 75.0%</t>
  </si>
  <si>
    <t xml:space="preserve">75.0% to 80.0%</t>
  </si>
  <si>
    <t xml:space="preserve">80.0% to 85.0%</t>
  </si>
  <si>
    <t xml:space="preserve">85.0% or Greater</t>
  </si>
  <si>
    <t xml:space="preserve">Not Reported</t>
  </si>
  <si>
    <t xml:space="preserve">AS-STABILIZED LTV</t>
  </si>
  <si>
    <t xml:space="preserve">BACK LEVERAGE (% OF UPB)</t>
  </si>
  <si>
    <t xml:space="preserve">Less than 60.0%</t>
  </si>
  <si>
    <t xml:space="preserve">80.0% or Greater</t>
  </si>
  <si>
    <t xml:space="preserve">SEASONING (MONTHS SINCE CLOSING)</t>
  </si>
  <si>
    <t xml:space="preserve">Less than 6 Months</t>
  </si>
  <si>
    <t xml:space="preserve">6 to 12 Months</t>
  </si>
  <si>
    <t xml:space="preserve">12 to 24 Months</t>
  </si>
  <si>
    <t xml:space="preserve">24 to 36 Months</t>
  </si>
  <si>
    <t xml:space="preserve">36 to 48 Months</t>
  </si>
  <si>
    <t xml:space="preserve">48 to 60 Months</t>
  </si>
  <si>
    <t xml:space="preserve">60 Months or Greater</t>
  </si>
  <si>
    <t xml:space="preserve">REMAINING TERM TO INITIAL MATURITY</t>
  </si>
  <si>
    <t xml:space="preserve">Past Initial Maturity</t>
  </si>
  <si>
    <t xml:space="preserve">0 to 6 Months</t>
  </si>
  <si>
    <t xml:space="preserve">36 Months or Greater</t>
  </si>
  <si>
    <t xml:space="preserve">REMAINING TERM TO FULLY EXTENDED MATURITY</t>
  </si>
  <si>
    <t xml:space="preserve">Past Fully Extended Maturity</t>
  </si>
  <si>
    <t xml:space="preserve">48 Months or Greater</t>
  </si>
  <si>
    <t xml:space="preserve">INITIAL MATURITY YEAR</t>
  </si>
  <si>
    <t xml:space="preserve">2025 and Prior</t>
  </si>
  <si>
    <t xml:space="preserve">2026</t>
  </si>
  <si>
    <t xml:space="preserve">2027</t>
  </si>
  <si>
    <t xml:space="preserve">2028</t>
  </si>
  <si>
    <t xml:space="preserve">2029</t>
  </si>
  <si>
    <t xml:space="preserve">2030 and After</t>
  </si>
  <si>
    <t xml:space="preserve">FULLY EXTENDED MATURITY YEAR</t>
  </si>
  <si>
    <t xml:space="preserve">2030</t>
  </si>
  <si>
    <t xml:space="preserve">2031 and After</t>
  </si>
  <si>
    <t xml:space="preserve">ORIGINATION VINTAGE (CLOSING YEAR)</t>
  </si>
  <si>
    <t xml:space="preserve">2021 and Prior</t>
  </si>
  <si>
    <t xml:space="preserve">2022</t>
  </si>
  <si>
    <t xml:space="preserve">2023</t>
  </si>
  <si>
    <t xml:space="preserve">2024</t>
  </si>
  <si>
    <t xml:space="preserve">2025</t>
  </si>
  <si>
    <t xml:space="preserve">ASSET VINTAGE (YEAR BUILT, EARLIEST)</t>
  </si>
  <si>
    <t xml:space="preserve">Before 1970</t>
  </si>
  <si>
    <t xml:space="preserve">1970 to 1979</t>
  </si>
  <si>
    <t xml:space="preserve">1980 to 1989</t>
  </si>
  <si>
    <t xml:space="preserve">1990 to 1999</t>
  </si>
  <si>
    <t xml:space="preserve">2000 to 2009</t>
  </si>
  <si>
    <t xml:space="preserve">2010 to 2019</t>
  </si>
  <si>
    <t xml:space="preserve">2020 or Later</t>
  </si>
  <si>
    <t xml:space="preserve">Multi-building portfolios report several build years; the earliest year is used for bucketing.</t>
  </si>
  <si>
    <t xml:space="preserve">STRAT TIE-OUT CHECKS</t>
  </si>
  <si>
    <t xml:space="preserve">Strat</t>
  </si>
  <si>
    <t xml:space="preserve">Sum of Loans</t>
  </si>
  <si>
    <t xml:space="preserve">Total Loans</t>
  </si>
  <si>
    <t xml:space="preserve">Loan Variance</t>
  </si>
  <si>
    <t xml:space="preserve">Sum of UPB</t>
  </si>
  <si>
    <t xml:space="preserve">Total UPB</t>
  </si>
  <si>
    <t xml:space="preserve">UPB Variance</t>
  </si>
  <si>
    <t xml:space="preserve">Status</t>
  </si>
  <si>
    <t xml:space="preserve">Data notes from the source tape:</t>
  </si>
  <si>
    <t xml:space="preserve">SOD 6: As-Is LTV reported as N/A on the source tape (commitment of $40,000,000 vs. As-Is value $38,500,000).</t>
  </si>
  <si>
    <t xml:space="preserve">Livingston Hills Nursing and Rehabilitation Center: rate cap expiration on the source tape is a blank time value (00:00), treated as not reported.</t>
  </si>
  <si>
    <t xml:space="preserve">GREYSTONE SENIOR DEBT FUND RECAPITALIZATION: LOAN TAPE (NORMALIZED FOR STRATS)</t>
  </si>
  <si>
    <t xml:space="preserve">Purple = carried from Greystone tape (3.0-2, July 2026); Green = parsed/typed input; Black = formula. Paste additional loans into rows 5 to 304 and extend the helper formulas.</t>
  </si>
  <si>
    <t xml:space="preserve">Days / Month</t>
  </si>
  <si>
    <t xml:space="preserve">SOURCE TAPE FIELDS</t>
  </si>
  <si>
    <t xml:space="preserve">CALCULATED STRAT HELPERS</t>
  </si>
  <si>
    <t xml:space="preserve">Tape #</t>
  </si>
  <si>
    <t xml:space="preserve">Segment (Tape Section)</t>
  </si>
  <si>
    <t xml:space="preserve">Loan Type</t>
  </si>
  <si>
    <t xml:space="preserve">City</t>
  </si>
  <si>
    <t xml:space="preserve">State (As Reported)</t>
  </si>
  <si>
    <t xml:space="preserve">Primary State</t>
  </si>
  <si>
    <t xml:space="preserve">Property Type (As Reported)</t>
  </si>
  <si>
    <t xml:space="preserve">Year Built (As Reported)</t>
  </si>
  <si>
    <t xml:space="preserve">Year Renovated (As Reported)</t>
  </si>
  <si>
    <t xml:space="preserve">Loan Balance (Current UPB)</t>
  </si>
  <si>
    <t xml:space="preserve">NAV Carrying Balance</t>
  </si>
  <si>
    <t xml:space="preserve">As-Is Value</t>
  </si>
  <si>
    <t xml:space="preserve">As-Stabilized Value</t>
  </si>
  <si>
    <t xml:space="preserve">As-Stabilized LTV</t>
  </si>
  <si>
    <t xml:space="preserve">Loan Spread</t>
  </si>
  <si>
    <t xml:space="preserve">Index Floor</t>
  </si>
  <si>
    <t xml:space="preserve">SOFR Premium</t>
  </si>
  <si>
    <t xml:space="preserve">Rate Buy-Down %</t>
  </si>
  <si>
    <t xml:space="preserve">Index</t>
  </si>
  <si>
    <t xml:space="preserve">Rate Cap Strike</t>
  </si>
  <si>
    <t xml:space="preserve">Rate Cap Expiration</t>
  </si>
  <si>
    <t xml:space="preserve">Lockout Provision (Mo.)</t>
  </si>
  <si>
    <t xml:space="preserve">Closing Date</t>
  </si>
  <si>
    <t xml:space="preserve">Initial Maturity</t>
  </si>
  <si>
    <t xml:space="preserve">Fully Extended Maturity</t>
  </si>
  <si>
    <t xml:space="preserve">Lender 1</t>
  </si>
  <si>
    <t xml:space="preserve">Lender 1 Debt</t>
  </si>
  <si>
    <t xml:space="preserve">Lender 1 Eff. Spread</t>
  </si>
  <si>
    <t xml:space="preserve">Lender 2</t>
  </si>
  <si>
    <t xml:space="preserve">Lender 2 Debt</t>
  </si>
  <si>
    <t xml:space="preserve">Lender 2 Eff. Spread</t>
  </si>
  <si>
    <t xml:space="preserve">In Filter (1 = Yes)</t>
  </si>
  <si>
    <t xml:space="preserve">Region</t>
  </si>
  <si>
    <t xml:space="preserve">Rate Type</t>
  </si>
  <si>
    <t xml:space="preserve">Rate Cap Status</t>
  </si>
  <si>
    <t xml:space="preserve">Lockout Category</t>
  </si>
  <si>
    <t xml:space="preserve">Total Back-Leverage Debt</t>
  </si>
  <si>
    <t xml:space="preserve">Months to Initial Maturity</t>
  </si>
  <si>
    <t xml:space="preserve">Months to Fully Extended Maturity</t>
  </si>
  <si>
    <t xml:space="preserve">Rem. Term to Initial Mat. (Mo., Floored at 0)</t>
  </si>
  <si>
    <t xml:space="preserve">Rem. Term to Ext. Mat. (Mo., Floored at 0)</t>
  </si>
  <si>
    <t xml:space="preserve">Initial Maturity Year</t>
  </si>
  <si>
    <t xml:space="preserve">Fully Extended Maturity Year</t>
  </si>
  <si>
    <t xml:space="preserve">Origination Vintage</t>
  </si>
  <si>
    <t xml:space="preserve">Year Built (Earliest)</t>
  </si>
  <si>
    <t xml:space="preserve">Size Rank Key (Filtered)</t>
  </si>
  <si>
    <t xml:space="preserve">556 Baltic Street</t>
  </si>
  <si>
    <t xml:space="preserve">Construction</t>
  </si>
  <si>
    <t xml:space="preserve">Brooklyn</t>
  </si>
  <si>
    <t xml:space="preserve">MF</t>
  </si>
  <si>
    <t xml:space="preserve">N/A</t>
  </si>
  <si>
    <t xml:space="preserve">SOFR</t>
  </si>
  <si>
    <t xml:space="preserve">Sevona Avion Apartments</t>
  </si>
  <si>
    <t xml:space="preserve">Fort Worth</t>
  </si>
  <si>
    <t xml:space="preserve">-</t>
  </si>
  <si>
    <t xml:space="preserve">Horizons East Apartments</t>
  </si>
  <si>
    <t xml:space="preserve">Wichita</t>
  </si>
  <si>
    <t xml:space="preserve">KS</t>
  </si>
  <si>
    <t xml:space="preserve">Carver Seniors Apartments</t>
  </si>
  <si>
    <t xml:space="preserve">Washington</t>
  </si>
  <si>
    <t xml:space="preserve">DC</t>
  </si>
  <si>
    <t xml:space="preserve">Van Mark</t>
  </si>
  <si>
    <t xml:space="preserve">Ridgeland</t>
  </si>
  <si>
    <t xml:space="preserve">MS</t>
  </si>
  <si>
    <t xml:space="preserve">The Alary</t>
  </si>
  <si>
    <t xml:space="preserve">New Rochelle</t>
  </si>
  <si>
    <t xml:space="preserve">Hoyt Bedford Apartments</t>
  </si>
  <si>
    <t xml:space="preserve">Stamford </t>
  </si>
  <si>
    <t xml:space="preserve">Seville at Clay Crossing</t>
  </si>
  <si>
    <t xml:space="preserve">Katy</t>
  </si>
  <si>
    <t xml:space="preserve">Arbor Ridge</t>
  </si>
  <si>
    <t xml:space="preserve">Greensboro</t>
  </si>
  <si>
    <t xml:space="preserve">2022 / 2024</t>
  </si>
  <si>
    <t xml:space="preserve">Westover Hills Apartments</t>
  </si>
  <si>
    <t xml:space="preserve">San Antonio</t>
  </si>
  <si>
    <t xml:space="preserve">Parc Place Apartments</t>
  </si>
  <si>
    <t xml:space="preserve">Tampa</t>
  </si>
  <si>
    <t xml:space="preserve">1971-1973</t>
  </si>
  <si>
    <t xml:space="preserve">River Park Apartments</t>
  </si>
  <si>
    <t xml:space="preserve">Eagle Pointe Apartments</t>
  </si>
  <si>
    <t xml:space="preserve">West St. Paul</t>
  </si>
  <si>
    <t xml:space="preserve">Main Street Portfolio</t>
  </si>
  <si>
    <t xml:space="preserve">Columbia</t>
  </si>
  <si>
    <t xml:space="preserve">SC</t>
  </si>
  <si>
    <t xml:space="preserve">1903 / 1934 / 1940</t>
  </si>
  <si>
    <t xml:space="preserve">2000 / 2001 / 2006 / 2021</t>
  </si>
  <si>
    <t xml:space="preserve">Garden Group 3 Pack</t>
  </si>
  <si>
    <t xml:space="preserve">Pines of Spring Rain</t>
  </si>
  <si>
    <t xml:space="preserve">Spring</t>
  </si>
  <si>
    <t xml:space="preserve">ReNew Riverview Apartments</t>
  </si>
  <si>
    <t xml:space="preserve">Memphis</t>
  </si>
  <si>
    <t xml:space="preserve">TN</t>
  </si>
  <si>
    <t xml:space="preserve">The Alcove of Turpin Hills Apartments</t>
  </si>
  <si>
    <t xml:space="preserve">Cincinnati</t>
  </si>
  <si>
    <t xml:space="preserve">Tahquitz Court Apartments</t>
  </si>
  <si>
    <t xml:space="preserve">Palm Springs</t>
  </si>
  <si>
    <t xml:space="preserve">Lenora Apartments</t>
  </si>
  <si>
    <t xml:space="preserve">Philadelphia</t>
  </si>
  <si>
    <t xml:space="preserve">PA</t>
  </si>
  <si>
    <t xml:space="preserve">29Hundred Apartments</t>
  </si>
  <si>
    <t xml:space="preserve">Prominence Apartments</t>
  </si>
  <si>
    <t xml:space="preserve">Atlanta</t>
  </si>
  <si>
    <t xml:space="preserve">The Collective on 4th Apartments</t>
  </si>
  <si>
    <t xml:space="preserve">Portland</t>
  </si>
  <si>
    <t xml:space="preserve">Woodmore Apartments</t>
  </si>
  <si>
    <t xml:space="preserve">Bowie</t>
  </si>
  <si>
    <t xml:space="preserve">The Boardwalk Apartments</t>
  </si>
  <si>
    <t xml:space="preserve">Boise</t>
  </si>
  <si>
    <t xml:space="preserve">Aston at Gateway Apartments</t>
  </si>
  <si>
    <t xml:space="preserve">El Monte</t>
  </si>
  <si>
    <t xml:space="preserve">Metronome at MidCity</t>
  </si>
  <si>
    <t xml:space="preserve">Huntsville</t>
  </si>
  <si>
    <t xml:space="preserve">The Park at San Remo Apartments</t>
  </si>
  <si>
    <t xml:space="preserve">Charlotte</t>
  </si>
  <si>
    <t xml:space="preserve">The Springs at Coyote Ridge</t>
  </si>
  <si>
    <t xml:space="preserve">Heber City</t>
  </si>
  <si>
    <t xml:space="preserve">UT</t>
  </si>
  <si>
    <t xml:space="preserve">Midland Portfolio</t>
  </si>
  <si>
    <t xml:space="preserve">Midland</t>
  </si>
  <si>
    <t xml:space="preserve">Desert Sage</t>
  </si>
  <si>
    <t xml:space="preserve">Las Vegas</t>
  </si>
  <si>
    <t xml:space="preserve">NV</t>
  </si>
  <si>
    <t xml:space="preserve">The Calvin</t>
  </si>
  <si>
    <t xml:space="preserve">Plano</t>
  </si>
  <si>
    <t xml:space="preserve">Erin Hills Estates</t>
  </si>
  <si>
    <t xml:space="preserve">West Valley City</t>
  </si>
  <si>
    <t xml:space="preserve">Rise Oak Creek Cantebria Apartments</t>
  </si>
  <si>
    <t xml:space="preserve">Bedford</t>
  </si>
  <si>
    <t xml:space="preserve">The Life at Beverly Palms</t>
  </si>
  <si>
    <t xml:space="preserve">Pasadena</t>
  </si>
  <si>
    <t xml:space="preserve">The Kensington</t>
  </si>
  <si>
    <t xml:space="preserve">Haven at Highland Apartments</t>
  </si>
  <si>
    <t xml:space="preserve">Lombard</t>
  </si>
  <si>
    <t xml:space="preserve">IL</t>
  </si>
  <si>
    <t xml:space="preserve">Agave Ridge</t>
  </si>
  <si>
    <t xml:space="preserve">AHF 3 - Arrowood Apartments</t>
  </si>
  <si>
    <t xml:space="preserve">Houston</t>
  </si>
  <si>
    <t xml:space="preserve">68 Richardson Street</t>
  </si>
  <si>
    <t xml:space="preserve">1380 Riverside Apartments</t>
  </si>
  <si>
    <t xml:space="preserve">New York</t>
  </si>
  <si>
    <t xml:space="preserve">R Street Apartments</t>
  </si>
  <si>
    <t xml:space="preserve">AHF 3 - Waterchase Creek Apartments</t>
  </si>
  <si>
    <t xml:space="preserve">Dallas</t>
  </si>
  <si>
    <t xml:space="preserve">Berkdale Apartments</t>
  </si>
  <si>
    <t xml:space="preserve">Riverside</t>
  </si>
  <si>
    <t xml:space="preserve">Anson at North Hills</t>
  </si>
  <si>
    <t xml:space="preserve">Raleigh</t>
  </si>
  <si>
    <t xml:space="preserve">Ventana Ridge Apartments</t>
  </si>
  <si>
    <t xml:space="preserve">25 Broadmoor</t>
  </si>
  <si>
    <t xml:space="preserve">Colorado Springs</t>
  </si>
  <si>
    <t xml:space="preserve">CO</t>
  </si>
  <si>
    <t xml:space="preserve">Meridia Roselle Park 10 Apartments</t>
  </si>
  <si>
    <t xml:space="preserve">Roselle Park</t>
  </si>
  <si>
    <t xml:space="preserve">The Landing at Channel Islands</t>
  </si>
  <si>
    <t xml:space="preserve">Oxnard</t>
  </si>
  <si>
    <t xml:space="preserve">2021-2026</t>
  </si>
  <si>
    <t xml:space="preserve">Stratford Hills</t>
  </si>
  <si>
    <t xml:space="preserve">Richmond</t>
  </si>
  <si>
    <t xml:space="preserve">VA</t>
  </si>
  <si>
    <t xml:space="preserve">Arel Glendale Portfolio</t>
  </si>
  <si>
    <t xml:space="preserve">Various</t>
  </si>
  <si>
    <t xml:space="preserve">1964 / 1965 / 1975 / 1979</t>
  </si>
  <si>
    <t xml:space="preserve">2011 / 2016 / 2022</t>
  </si>
  <si>
    <t xml:space="preserve">Mark at West Midtown</t>
  </si>
  <si>
    <t xml:space="preserve">Pickwick Plaza</t>
  </si>
  <si>
    <t xml:space="preserve">Kansas City</t>
  </si>
  <si>
    <t xml:space="preserve">MO</t>
  </si>
  <si>
    <t xml:space="preserve">1929/1930</t>
  </si>
  <si>
    <t xml:space="preserve">Shoreline Apartments</t>
  </si>
  <si>
    <t xml:space="preserve">Lake Elsinore</t>
  </si>
  <si>
    <t xml:space="preserve">Creek 27 Apartments</t>
  </si>
  <si>
    <t xml:space="preserve">San Angelo</t>
  </si>
  <si>
    <t xml:space="preserve">Hudson Heights</t>
  </si>
  <si>
    <t xml:space="preserve">Hopewell Junction</t>
  </si>
  <si>
    <t xml:space="preserve">The Springs 1100 Apartments</t>
  </si>
  <si>
    <t xml:space="preserve">Killeen</t>
  </si>
  <si>
    <t xml:space="preserve">2019-2021</t>
  </si>
  <si>
    <t xml:space="preserve">State Preservation</t>
  </si>
  <si>
    <t xml:space="preserve">Queens</t>
  </si>
  <si>
    <t xml:space="preserve">1941-1962</t>
  </si>
  <si>
    <t xml:space="preserve">Resia Ten Oaks Apartments</t>
  </si>
  <si>
    <t xml:space="preserve">Houstan</t>
  </si>
  <si>
    <t xml:space="preserve">Resia Willows</t>
  </si>
  <si>
    <t xml:space="preserve">Decatur</t>
  </si>
  <si>
    <t xml:space="preserve">The Bronx Vibe Apartments</t>
  </si>
  <si>
    <t xml:space="preserve">Spring Crossings</t>
  </si>
  <si>
    <t xml:space="preserve">Newark</t>
  </si>
  <si>
    <t xml:space="preserve">DE</t>
  </si>
  <si>
    <t xml:space="preserve">Legends at Lake Creek Apartments</t>
  </si>
  <si>
    <t xml:space="preserve">Austin</t>
  </si>
  <si>
    <t xml:space="preserve">The View at Long Branch</t>
  </si>
  <si>
    <t xml:space="preserve">Long Branch</t>
  </si>
  <si>
    <t xml:space="preserve">San Antonio Portfolio</t>
  </si>
  <si>
    <t xml:space="preserve">1964/1974</t>
  </si>
  <si>
    <t xml:space="preserve">Sonterra Heights Apartments Refi</t>
  </si>
  <si>
    <t xml:space="preserve">Hilltop at Shavano</t>
  </si>
  <si>
    <t xml:space="preserve">Lenox Apartments</t>
  </si>
  <si>
    <t xml:space="preserve">The Y Garden Apartments</t>
  </si>
  <si>
    <t xml:space="preserve">200 Linden Boulevard</t>
  </si>
  <si>
    <t xml:space="preserve">Pace's Cove Apartments</t>
  </si>
  <si>
    <t xml:space="preserve">2021 / 2022</t>
  </si>
  <si>
    <t xml:space="preserve">Rastegar Properties Portfolio</t>
  </si>
  <si>
    <t xml:space="preserve">Baltimore Portfolio</t>
  </si>
  <si>
    <t xml:space="preserve">Baltimore</t>
  </si>
  <si>
    <t xml:space="preserve">1966-1969</t>
  </si>
  <si>
    <t xml:space="preserve">Ridgebrook Apartments Refi</t>
  </si>
  <si>
    <t xml:space="preserve">Brooklyn Park</t>
  </si>
  <si>
    <t xml:space="preserve">1000 Ocean Parkway Apartments</t>
  </si>
  <si>
    <t xml:space="preserve">Canterbury Square Apartments</t>
  </si>
  <si>
    <t xml:space="preserve">Baton Rouge</t>
  </si>
  <si>
    <t xml:space="preserve">LA</t>
  </si>
  <si>
    <t xml:space="preserve">City Heights Apartments</t>
  </si>
  <si>
    <t xml:space="preserve">Hoover</t>
  </si>
  <si>
    <t xml:space="preserve">Austin Heights</t>
  </si>
  <si>
    <t xml:space="preserve">Waterbury</t>
  </si>
  <si>
    <t xml:space="preserve">Lux Apartments (Northview Commons)</t>
  </si>
  <si>
    <t xml:space="preserve">Fridley</t>
  </si>
  <si>
    <t xml:space="preserve">310 West 80th Street</t>
  </si>
  <si>
    <t xml:space="preserve">1979-1981</t>
  </si>
  <si>
    <t xml:space="preserve">Kittay House</t>
  </si>
  <si>
    <t xml:space="preserve">Bronx</t>
  </si>
  <si>
    <t xml:space="preserve">SLF</t>
  </si>
  <si>
    <t xml:space="preserve">Recover Care NH-3 Port</t>
  </si>
  <si>
    <t xml:space="preserve">NH</t>
  </si>
  <si>
    <t xml:space="preserve">SNF / ALF</t>
  </si>
  <si>
    <t xml:space="preserve">1965 / 1979 / 1986</t>
  </si>
  <si>
    <t xml:space="preserve">Shadowbrook Gardens</t>
  </si>
  <si>
    <t xml:space="preserve">Fair Oaks</t>
  </si>
  <si>
    <t xml:space="preserve">SNF</t>
  </si>
  <si>
    <t xml:space="preserve">Noble Care IN 3 Portfolio</t>
  </si>
  <si>
    <t xml:space="preserve">1964 / 1978 / 1983 / 1985 / 1998</t>
  </si>
  <si>
    <t xml:space="preserve">2015 / 2018 / 2021</t>
  </si>
  <si>
    <t xml:space="preserve">SKLD MI 4 Portfolio</t>
  </si>
  <si>
    <t xml:space="preserve">MI</t>
  </si>
  <si>
    <t xml:space="preserve">Citadel 3 FL Portfolio</t>
  </si>
  <si>
    <t xml:space="preserve">1980 / 1983</t>
  </si>
  <si>
    <t xml:space="preserve">Retter OK 6</t>
  </si>
  <si>
    <t xml:space="preserve">OK</t>
  </si>
  <si>
    <t xml:space="preserve">ALF/SNF</t>
  </si>
  <si>
    <t xml:space="preserve">Aventura OH 2 Pack</t>
  </si>
  <si>
    <t xml:space="preserve">SNF/AL/MC/IL</t>
  </si>
  <si>
    <t xml:space="preserve">1998/1986/2003/2005</t>
  </si>
  <si>
    <t xml:space="preserve">Windsor Care 2 Pack</t>
  </si>
  <si>
    <t xml:space="preserve">KY</t>
  </si>
  <si>
    <t xml:space="preserve">1976/1996</t>
  </si>
  <si>
    <t xml:space="preserve">Health Concepts RI 6 Portfolio</t>
  </si>
  <si>
    <t xml:space="preserve">RI</t>
  </si>
  <si>
    <t xml:space="preserve">1985 / 1925 / 1958 / 1969 / 1974 / 1975</t>
  </si>
  <si>
    <t xml:space="preserve">2000 / 2002 / 2014</t>
  </si>
  <si>
    <t xml:space="preserve">Windsong 2 Portfolio</t>
  </si>
  <si>
    <t xml:space="preserve">WA, OR</t>
  </si>
  <si>
    <t xml:space="preserve">WA</t>
  </si>
  <si>
    <t xml:space="preserve">MC</t>
  </si>
  <si>
    <t xml:space="preserve">2015/2020</t>
  </si>
  <si>
    <t xml:space="preserve">Allure 3-Pack</t>
  </si>
  <si>
    <t xml:space="preserve">SNF/SLF/IL</t>
  </si>
  <si>
    <t xml:space="preserve">1964/2007/2008/1971/2000</t>
  </si>
  <si>
    <t xml:space="preserve">Birchview Memory Care</t>
  </si>
  <si>
    <t xml:space="preserve">Sedro-Woolley</t>
  </si>
  <si>
    <t xml:space="preserve">2021-Present</t>
  </si>
  <si>
    <t xml:space="preserve">Mesa Valley Estates</t>
  </si>
  <si>
    <t xml:space="preserve">Mesquite</t>
  </si>
  <si>
    <t xml:space="preserve">2019/2023</t>
  </si>
  <si>
    <t xml:space="preserve">Bicky FL Portfolio</t>
  </si>
  <si>
    <t xml:space="preserve">ALF / MC</t>
  </si>
  <si>
    <t xml:space="preserve">Rosewood Memory Care</t>
  </si>
  <si>
    <t xml:space="preserve">Hillsboro</t>
  </si>
  <si>
    <t xml:space="preserve">St. Martin's in the Pines</t>
  </si>
  <si>
    <t xml:space="preserve">Birmingham</t>
  </si>
  <si>
    <t xml:space="preserve">SNF/IL/AL/MC</t>
  </si>
  <si>
    <t xml:space="preserve">1959/1973/1979/1986/1996/2010-2013</t>
  </si>
  <si>
    <t xml:space="preserve">2020-2021</t>
  </si>
  <si>
    <t xml:space="preserve">Valley Convalescent SNF</t>
  </si>
  <si>
    <t xml:space="preserve">Watsonville</t>
  </si>
  <si>
    <t xml:space="preserve">1966/1971</t>
  </si>
  <si>
    <t xml:space="preserve">Sunny Acres Nursing</t>
  </si>
  <si>
    <t xml:space="preserve">Chelmsford</t>
  </si>
  <si>
    <t xml:space="preserve">MA</t>
  </si>
  <si>
    <t xml:space="preserve">SNF/MC</t>
  </si>
  <si>
    <t xml:space="preserve">1952 / 1967 / 1987 / 2007 / 2018</t>
  </si>
  <si>
    <t xml:space="preserve">1993 / 2005 / 2018</t>
  </si>
  <si>
    <t xml:space="preserve">Foothill Village Senior Living Community</t>
  </si>
  <si>
    <t xml:space="preserve">Angels Camp</t>
  </si>
  <si>
    <t xml:space="preserve">IL/ALF/MC</t>
  </si>
  <si>
    <t xml:space="preserve">Linden Square</t>
  </si>
  <si>
    <t xml:space="preserve">Saline</t>
  </si>
  <si>
    <t xml:space="preserve">ALF</t>
  </si>
  <si>
    <t xml:space="preserve">Suite Living MN Portfolio</t>
  </si>
  <si>
    <t xml:space="preserve">AL/MC</t>
  </si>
  <si>
    <t xml:space="preserve">2022/2017/2018/2018/2020</t>
  </si>
  <si>
    <t xml:space="preserve">Maria Regina Rehabilitation &amp; Nursing</t>
  </si>
  <si>
    <t xml:space="preserve">Brentwood</t>
  </si>
  <si>
    <t xml:space="preserve">Orange County Cottages</t>
  </si>
  <si>
    <t xml:space="preserve">RCFE</t>
  </si>
  <si>
    <t xml:space="preserve">1967-1979</t>
  </si>
  <si>
    <t xml:space="preserve">2023-2026</t>
  </si>
  <si>
    <t xml:space="preserve">High Point Residence Peoria (f/k/a St. Francis Woods)</t>
  </si>
  <si>
    <t xml:space="preserve">Peoria</t>
  </si>
  <si>
    <t xml:space="preserve">Tequesta Terrace</t>
  </si>
  <si>
    <t xml:space="preserve">Tequesta</t>
  </si>
  <si>
    <t xml:space="preserve">Dove Healthcare Portfolio (3 Props)</t>
  </si>
  <si>
    <t xml:space="preserve">WI</t>
  </si>
  <si>
    <t xml:space="preserve">SNF/AL</t>
  </si>
  <si>
    <t xml:space="preserve">1978/1956/2015</t>
  </si>
  <si>
    <t xml:space="preserve">Paradigm TX 2 Refi</t>
  </si>
  <si>
    <t xml:space="preserve">1940 / 1966</t>
  </si>
  <si>
    <t xml:space="preserve">2018 / 2020</t>
  </si>
  <si>
    <t xml:space="preserve">Dove 2 Portfolio</t>
  </si>
  <si>
    <t xml:space="preserve">SNF/IL</t>
  </si>
  <si>
    <t xml:space="preserve">1966/1980</t>
  </si>
  <si>
    <t xml:space="preserve">Channel Point Village</t>
  </si>
  <si>
    <t xml:space="preserve">Hoquiam</t>
  </si>
  <si>
    <t xml:space="preserve">1988 / 1992 / 1996</t>
  </si>
  <si>
    <t xml:space="preserve">2022 / 2026</t>
  </si>
  <si>
    <t xml:space="preserve">Tarina of Kingwood (f/k/a Novellus Kingwood)</t>
  </si>
  <si>
    <t xml:space="preserve">Kingwood</t>
  </si>
  <si>
    <t xml:space="preserve">Carefree 11 Portfolio</t>
  </si>
  <si>
    <t xml:space="preserve">1985 / 1986 / 1987 / 1996 / 2008 / 2014 / 2016 / 2017</t>
  </si>
  <si>
    <t xml:space="preserve">SOD 6</t>
  </si>
  <si>
    <t xml:space="preserve">MA/NH</t>
  </si>
  <si>
    <t xml:space="preserve">Ark Healthcare &amp; Rehabilitation at Branford Hills</t>
  </si>
  <si>
    <t xml:space="preserve">Branford</t>
  </si>
  <si>
    <t xml:space="preserve">1980 / 1990</t>
  </si>
  <si>
    <t xml:space="preserve">2017 / 2020 / 2021 / 2023</t>
  </si>
  <si>
    <t xml:space="preserve">Citadel 2 FL Portfolio</t>
  </si>
  <si>
    <t xml:space="preserve">1980 / 1995 / 2007</t>
  </si>
  <si>
    <t xml:space="preserve">2004 / 2005</t>
  </si>
  <si>
    <t xml:space="preserve">CountrySide Lakes</t>
  </si>
  <si>
    <t xml:space="preserve">Port Orange</t>
  </si>
  <si>
    <t xml:space="preserve">Grand Healthcare NY Portfolio (2 props)</t>
  </si>
  <si>
    <t xml:space="preserve">1965 / 1972</t>
  </si>
  <si>
    <t xml:space="preserve">Premier of Alice</t>
  </si>
  <si>
    <t xml:space="preserve">Alice</t>
  </si>
  <si>
    <t xml:space="preserve">Livingston Hills Nursing and Rehabilitation Center</t>
  </si>
  <si>
    <t xml:space="preserve">Hudson</t>
  </si>
  <si>
    <t xml:space="preserve">2021-2022</t>
  </si>
  <si>
    <t xml:space="preserve">Woodlawn Care Center</t>
  </si>
  <si>
    <t xml:space="preserve">Newport</t>
  </si>
  <si>
    <t xml:space="preserve">1865/1960/1967/2001</t>
  </si>
  <si>
    <t xml:space="preserve">MEZZ - Park Ridge (DLA)</t>
  </si>
  <si>
    <t xml:space="preserve">Des Plaines</t>
  </si>
  <si>
    <t xml:space="preserve">MEZZ - Woodlands of Crest Hill (DLA)</t>
  </si>
  <si>
    <t xml:space="preserve">Crest Hill</t>
  </si>
  <si>
    <t xml:space="preserve">MEZZ - Mount Prospect Greens (DLA)</t>
  </si>
  <si>
    <t xml:space="preserve">Mount Prospect</t>
  </si>
  <si>
    <t xml:space="preserve">2015-2022</t>
  </si>
  <si>
    <t xml:space="preserve">MEZZ - Woodbury Crossing Phase II</t>
  </si>
  <si>
    <t xml:space="preserve">Olympia</t>
  </si>
  <si>
    <t xml:space="preserve">MEZZ - Temple Towne Center</t>
  </si>
  <si>
    <t xml:space="preserve">Temple</t>
  </si>
  <si>
    <t xml:space="preserve">RET</t>
  </si>
  <si>
    <t xml:space="preserve">MEZZ - 1820 South Apts &amp; Stone Crest Apts (DLA)</t>
  </si>
  <si>
    <t xml:space="preserve">1987 / 1997</t>
  </si>
  <si>
    <t xml:space="preserve">MEZZ - Bronx Portfolio (DLA)</t>
  </si>
  <si>
    <t xml:space="preserve">1922 / 1928</t>
  </si>
  <si>
    <t xml:space="preserve">MEZZ - Regency Pointe Apartments (DLA)</t>
  </si>
  <si>
    <t xml:space="preserve">District Heights</t>
  </si>
  <si>
    <t xml:space="preserve">MEZZ - Fairfield Hospitality</t>
  </si>
  <si>
    <t xml:space="preserve">HSP</t>
  </si>
  <si>
    <t xml:space="preserve">2004 &amp; 2007</t>
  </si>
  <si>
    <t xml:space="preserve">2012 &amp; 2015</t>
  </si>
  <si>
    <t xml:space="preserve">MEZZ - Kinston Hospitality</t>
  </si>
  <si>
    <t xml:space="preserve">Kinston</t>
  </si>
  <si>
    <t xml:space="preserve">1986 &amp; 2000</t>
  </si>
  <si>
    <t xml:space="preserve">MEZZ - Sunset Grove Apartments</t>
  </si>
  <si>
    <t xml:space="preserve">Orange</t>
  </si>
  <si>
    <t xml:space="preserve">Notes: NAV Loss Reserve, Effective Spread, LTVs, Equity and Levered ROE carried as reported by Greystone. All-In Coupon = Effective Spread + Term SOFR, matching the ROE convention on the source tape.</t>
  </si>
  <si>
    <t xml:space="preserve">STRAT MAPPINGS (EDITABLE INPUTS)</t>
  </si>
  <si>
    <t xml:space="preserve">PROPERTY TYPE GROUPING</t>
  </si>
  <si>
    <t xml:space="preserve">STATE TO REGION</t>
  </si>
  <si>
    <t xml:space="preserve">Strat Group</t>
  </si>
  <si>
    <t xml:space="preserve">AK</t>
  </si>
  <si>
    <t xml:space="preserve">AR</t>
  </si>
  <si>
    <t xml:space="preserve">AZ</t>
  </si>
  <si>
    <t xml:space="preserve">HI</t>
  </si>
  <si>
    <t xml:space="preserve">IA</t>
  </si>
  <si>
    <t xml:space="preserve">Tape property types are trimmed before lookup; any unmapped type strats as "Unmapped".</t>
  </si>
  <si>
    <t xml:space="preserve">ME</t>
  </si>
  <si>
    <t xml:space="preserve">MT</t>
  </si>
  <si>
    <t xml:space="preserve">ND</t>
  </si>
  <si>
    <t xml:space="preserve">NE</t>
  </si>
  <si>
    <t xml:space="preserve">NM</t>
  </si>
  <si>
    <t xml:space="preserve">SD</t>
  </si>
  <si>
    <t xml:space="preserve">VT</t>
  </si>
  <si>
    <t xml:space="preserve">WV</t>
  </si>
  <si>
    <t xml:space="preserve">WY</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</si>
</sst>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0.0%\);\-"/>
    <numFmt numFmtId="168" formatCode="mm/dd/yyyy"/>
    <numFmt numFmtId="169" formatCode="0.00%;\(0.00%\);\-"/>
    <numFmt numFmtId="170" formatCode="0.0;\(0.0\);\-"/>
    <numFmt numFmtId="171" formatCode="0"/>
    <numFmt numFmtId="172" formatCode="0;\(0\);\-"/>
    <numFmt numFmtId="173" formatCode="0.0000"/>
  </numFmts>
  <fonts count="15">
    <font>
      <sz val="11"/>
      <color theme="1"/>
      <name val="Calibri"/>
      <family val="2"/>
      <charset val="1"/>
    </font>
    <font>
      <sz val="10"/>
      <name val="Arial"/>
      <family val="0"/>
    </font>
    <font>
      <sz val="10"/>
      <name val="Arial"/>
      <family val="0"/>
    </font>
    <font>
      <sz val="10"/>
      <name val="Arial"/>
      <family val="0"/>
    </font>
    <font>
      <sz val="10"/>
      <color rgb="FF000000"/>
      <name val="Calibri"/>
      <family val="0"/>
      <charset val="1"/>
    </font>
    <font>
      <i val="true"/>
      <sz val="10"/>
      <color rgb="FF808080"/>
      <name val="Calibri"/>
      <family val="0"/>
      <charset val="1"/>
    </font>
    <font>
      <b val="true"/>
      <sz val="10"/>
      <color rgb="FFFFFFFF"/>
      <name val="Calibri"/>
      <family val="0"/>
      <charset val="1"/>
    </font>
    <font>
      <b val="true"/>
      <sz val="10"/>
      <color rgb="FF0F2F51"/>
      <name val="Calibri"/>
      <family val="0"/>
      <charset val="1"/>
    </font>
    <font>
      <b val="true"/>
      <sz val="10"/>
      <color rgb="FF000000"/>
      <name val="Calibri"/>
      <family val="0"/>
      <charset val="1"/>
    </font>
    <font>
      <sz val="10"/>
      <color rgb="FF0000FF"/>
      <name val="Calibri"/>
      <family val="0"/>
      <charset val="1"/>
    </font>
    <font>
      <sz val="10"/>
      <color rgb="FF008000"/>
      <name val="Calibri"/>
      <family val="0"/>
      <charset val="1"/>
    </font>
    <font>
      <b val="true"/>
      <sz val="10"/>
      <color theme="1"/>
      <name val="Calibri"/>
      <family val="0"/>
      <charset val="1"/>
    </font>
    <font>
      <b val="true"/>
      <i val="true"/>
      <sz val="10"/>
      <color rgb="FF808080"/>
      <name val="Calibri"/>
      <family val="0"/>
      <charset val="1"/>
    </font>
    <font>
      <sz val="10"/>
      <color rgb="FF800080"/>
      <name val="Calibri"/>
      <family val="0"/>
      <charset val="1"/>
    </font>
    <font>
      <sz val="10"/>
      <name val="Arial"/>
      <family val="2"/>
    </font>
  </fonts>
  <fills count="5">
    <fill>
      <patternFill patternType="none"/>
    </fill>
    <fill>
      <patternFill patternType="gray125"/>
    </fill>
    <fill>
      <patternFill patternType="solid">
        <fgColor rgb="FF0F2F51"/>
        <bgColor rgb="FF333333"/>
      </patternFill>
    </fill>
    <fill>
      <patternFill patternType="solid">
        <fgColor rgb="FFF2F2F2"/>
        <bgColor rgb="FFE2EFDA"/>
      </patternFill>
    </fill>
    <fill>
      <patternFill patternType="solid">
        <fgColor rgb="FFD9E1F2"/>
        <bgColor rgb="FFE2EFDA"/>
      </patternFill>
    </fill>
  </fills>
  <borders count="4">
    <border diagonalUp="false" diagonalDown="false">
      <left/>
      <right/>
      <top/>
      <bottom/>
      <diagonal/>
    </border>
    <border diagonalUp="false" diagonalDown="false">
      <left/>
      <right/>
      <top/>
      <bottom style="medium">
        <color rgb="FFD9E1F2"/>
      </bottom>
      <diagonal/>
    </border>
    <border diagonalUp="false" diagonalDown="false">
      <left style="dotted">
        <color rgb="FF808080"/>
      </left>
      <right style="dotted">
        <color rgb="FF808080"/>
      </right>
      <top style="dotted">
        <color rgb="FF808080"/>
      </top>
      <bottom style="dotted">
        <color rgb="FF808080"/>
      </bottom>
      <diagonal/>
    </border>
    <border diagonalUp="false" diagonalDown="false">
      <left/>
      <right/>
      <top style="thin">
        <color rgb="FF0F2F51"/>
      </top>
      <bottom style="thin">
        <color rgb="FF0F2F51"/>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right" vertical="center" textRotation="0" wrapText="false" indent="0" shrinkToFit="false"/>
      <protection locked="true" hidden="false"/>
    </xf>
    <xf numFmtId="170" fontId="4" fillId="0" borderId="0" xfId="0" applyFont="true" applyBorder="false" applyAlignment="true" applyProtection="false">
      <alignment horizontal="right" vertical="center" textRotation="0" wrapText="false" indent="0" shrinkToFit="false"/>
      <protection locked="true" hidden="false"/>
    </xf>
    <xf numFmtId="169" fontId="9" fillId="0" borderId="0" xfId="0" applyFont="true" applyBorder="false" applyAlignment="true" applyProtection="false">
      <alignment horizontal="right" vertical="bottom" textRotation="0" wrapText="false" indent="0" shrinkToFit="false"/>
      <protection locked="true" hidden="false"/>
    </xf>
    <xf numFmtId="164" fontId="10" fillId="4" borderId="2" xfId="0" applyFont="true" applyBorder="true" applyAlignment="true" applyProtection="false">
      <alignment horizontal="right" vertical="bottom" textRotation="0" wrapText="false" indent="0" shrinkToFit="false"/>
      <protection locked="true" hidden="false"/>
    </xf>
    <xf numFmtId="166" fontId="4" fillId="0" borderId="0" xfId="21" applyFont="true" applyBorder="true" applyAlignment="true" applyProtection="false">
      <alignment horizontal="right" vertical="center" textRotation="0" wrapText="false" indent="0" shrinkToFit="false"/>
      <protection locked="true" hidden="false"/>
    </xf>
    <xf numFmtId="167" fontId="4" fillId="0" borderId="0" xfId="22" applyFont="true" applyBorder="true" applyAlignment="true" applyProtection="false">
      <alignment horizontal="right" vertical="center" textRotation="0" wrapText="false" indent="0" shrinkToFit="false"/>
      <protection locked="true" hidden="false"/>
    </xf>
    <xf numFmtId="165" fontId="4" fillId="0" borderId="0" xfId="20" applyFont="tru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71"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20" applyFont="true" applyBorder="true" applyAlignment="true" applyProtection="false">
      <alignment horizontal="center" vertical="center" textRotation="0" wrapText="false" indent="0" shrinkToFit="false"/>
      <protection locked="true" hidden="false"/>
    </xf>
    <xf numFmtId="167" fontId="4" fillId="0" borderId="0" xfId="22" applyFont="true" applyBorder="true" applyAlignment="true" applyProtection="false">
      <alignment horizontal="center" vertical="center" textRotation="0" wrapText="false" indent="0" shrinkToFit="false"/>
      <protection locked="true" hidden="false"/>
    </xf>
    <xf numFmtId="169" fontId="4" fillId="0" borderId="0" xfId="0" applyFont="true" applyBorder="false" applyAlignment="true" applyProtection="false">
      <alignment horizontal="center" vertical="center" textRotation="0" wrapText="false" indent="0" shrinkToFit="false"/>
      <protection locked="true" hidden="false"/>
    </xf>
    <xf numFmtId="170" fontId="4" fillId="0" borderId="0" xfId="0" applyFont="true" applyBorder="false" applyAlignment="true" applyProtection="false">
      <alignment horizontal="center" vertical="center" textRotation="0" wrapText="false" indent="0" shrinkToFit="false"/>
      <protection locked="true" hidden="false"/>
    </xf>
    <xf numFmtId="166" fontId="4" fillId="0" borderId="0" xfId="21"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left" vertical="center" textRotation="0" wrapText="false" indent="0" shrinkToFit="false"/>
      <protection locked="true" hidden="false"/>
    </xf>
    <xf numFmtId="171" fontId="4" fillId="3"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5" fontId="4" fillId="3" borderId="0" xfId="20" applyFont="true" applyBorder="true" applyAlignment="true" applyProtection="false">
      <alignment horizontal="center" vertical="center" textRotation="0" wrapText="false" indent="0" shrinkToFit="false"/>
      <protection locked="true" hidden="false"/>
    </xf>
    <xf numFmtId="167" fontId="4" fillId="3" borderId="0" xfId="22" applyFont="true" applyBorder="true" applyAlignment="true" applyProtection="false">
      <alignment horizontal="center" vertical="center" textRotation="0" wrapText="false" indent="0" shrinkToFit="false"/>
      <protection locked="true" hidden="false"/>
    </xf>
    <xf numFmtId="169" fontId="4" fillId="3" borderId="0" xfId="0" applyFont="true" applyBorder="false" applyAlignment="true" applyProtection="false">
      <alignment horizontal="center" vertical="center" textRotation="0" wrapText="false" indent="0" shrinkToFit="false"/>
      <protection locked="true" hidden="false"/>
    </xf>
    <xf numFmtId="170" fontId="4" fillId="3" borderId="0" xfId="0" applyFont="true" applyBorder="fals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left" vertical="center" textRotation="0" wrapText="fals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5" fontId="8" fillId="0" borderId="3" xfId="20" applyFont="true" applyBorder="true" applyAlignment="true" applyProtection="false">
      <alignment horizontal="center" vertical="center" textRotation="0" wrapText="false" indent="0" shrinkToFit="false"/>
      <protection locked="true" hidden="false"/>
    </xf>
    <xf numFmtId="167" fontId="8" fillId="0" borderId="3" xfId="22" applyFont="true" applyBorder="true" applyAlignment="true" applyProtection="false">
      <alignment horizontal="center" vertical="center" textRotation="0" wrapText="false" indent="0" shrinkToFit="false"/>
      <protection locked="true" hidden="false"/>
    </xf>
    <xf numFmtId="169" fontId="8" fillId="0" borderId="3" xfId="0" applyFont="true" applyBorder="true" applyAlignment="true" applyProtection="false">
      <alignment horizontal="center" vertical="center" textRotation="0" wrapText="false" indent="0" shrinkToFit="false"/>
      <protection locked="true" hidden="false"/>
    </xf>
    <xf numFmtId="170" fontId="8" fillId="0" borderId="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6" fontId="4" fillId="3" borderId="0" xfId="21" applyFont="true" applyBorder="true" applyAlignment="true" applyProtection="false">
      <alignment horizontal="center" vertical="center" textRotation="0" wrapText="false" indent="0" shrinkToFit="false"/>
      <protection locked="true" hidden="false"/>
    </xf>
    <xf numFmtId="166" fontId="8" fillId="0" borderId="3" xfId="21" applyFont="true" applyBorder="true" applyAlignment="true" applyProtection="false">
      <alignment horizontal="center" vertical="center" textRotation="0" wrapText="false" indent="0" shrinkToFit="false"/>
      <protection locked="true" hidden="false"/>
    </xf>
    <xf numFmtId="165" fontId="10" fillId="0" borderId="2" xfId="20" applyFont="true" applyBorder="true" applyAlignment="true" applyProtection="false">
      <alignment horizontal="center" vertical="center" textRotation="0" wrapText="false" indent="0" shrinkToFit="false"/>
      <protection locked="true" hidden="false"/>
    </xf>
    <xf numFmtId="169" fontId="10" fillId="0" borderId="2" xfId="0" applyFont="true" applyBorder="true" applyAlignment="true" applyProtection="false">
      <alignment horizontal="center" vertical="center" textRotation="0" wrapText="false" indent="0" shrinkToFit="false"/>
      <protection locked="true" hidden="false"/>
    </xf>
    <xf numFmtId="167" fontId="10" fillId="0" borderId="2" xfId="22" applyFont="true" applyBorder="true" applyAlignment="true" applyProtection="false">
      <alignment horizontal="center" vertical="center" textRotation="0" wrapText="false" indent="0" shrinkToFit="false"/>
      <protection locked="true" hidden="false"/>
    </xf>
    <xf numFmtId="170" fontId="10" fillId="0" borderId="2" xfId="0" applyFont="true" applyBorder="true" applyAlignment="true" applyProtection="false">
      <alignment horizontal="center" vertical="center" textRotation="0" wrapText="false" indent="0" shrinkToFit="false"/>
      <protection locked="true" hidden="false"/>
    </xf>
    <xf numFmtId="172" fontId="10" fillId="0" borderId="2"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8" fontId="13"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9" fontId="13" fillId="0" borderId="0" xfId="0" applyFont="true" applyBorder="false" applyAlignment="true" applyProtection="false">
      <alignment horizontal="center" vertical="center" textRotation="0" wrapText="false" indent="0" shrinkToFit="false"/>
      <protection locked="true" hidden="false"/>
    </xf>
    <xf numFmtId="173" fontId="10" fillId="0" borderId="2"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6" fontId="13" fillId="0" borderId="0" xfId="21" applyFont="true" applyBorder="true" applyAlignment="true" applyProtection="false">
      <alignment horizontal="center" vertical="center" textRotation="0" wrapText="false" indent="0" shrinkToFit="false"/>
      <protection locked="true" hidden="false"/>
    </xf>
    <xf numFmtId="171" fontId="13"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0" borderId="0" xfId="20" applyFont="true" applyBorder="true" applyAlignment="true" applyProtection="false">
      <alignment horizontal="center" vertical="center" textRotation="0" wrapText="false" indent="0" shrinkToFit="false"/>
      <protection locked="true" hidden="false"/>
    </xf>
    <xf numFmtId="167" fontId="13" fillId="0" borderId="0" xfId="22" applyFont="true" applyBorder="true" applyAlignment="true" applyProtection="false">
      <alignment horizontal="center" vertical="center" textRotation="0" wrapText="false" indent="0" shrinkToFit="false"/>
      <protection locked="true" hidden="false"/>
    </xf>
    <xf numFmtId="168" fontId="13" fillId="0" borderId="0" xfId="0" applyFont="true" applyBorder="false" applyAlignment="true" applyProtection="false">
      <alignment horizontal="center" vertical="center" textRotation="0" wrapText="false" indent="0" shrinkToFit="false"/>
      <protection locked="true" hidden="false"/>
    </xf>
    <xf numFmtId="172" fontId="4" fillId="0" borderId="0" xfId="0" applyFont="true" applyBorder="false" applyAlignment="true" applyProtection="false">
      <alignment horizontal="center" vertical="center" textRotation="0" wrapText="false" indent="0" shrinkToFit="false"/>
      <protection locked="true" hidden="false"/>
    </xf>
    <xf numFmtId="172" fontId="10" fillId="0" borderId="0" xfId="0" applyFont="true" applyBorder="false" applyAlignment="true" applyProtection="false">
      <alignment horizontal="center" vertical="center" textRotation="0" wrapText="false" indent="0" shrinkToFit="false"/>
      <protection locked="true" hidden="false"/>
    </xf>
    <xf numFmtId="166" fontId="13" fillId="3" borderId="0" xfId="21" applyFont="true" applyBorder="true" applyAlignment="true" applyProtection="false">
      <alignment horizontal="center" vertical="center" textRotation="0" wrapText="false" indent="0" shrinkToFit="false"/>
      <protection locked="true" hidden="false"/>
    </xf>
    <xf numFmtId="171" fontId="13" fillId="3"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left"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3" borderId="0" xfId="20" applyFont="true" applyBorder="true" applyAlignment="true" applyProtection="false">
      <alignment horizontal="center" vertical="center" textRotation="0" wrapText="false" indent="0" shrinkToFit="false"/>
      <protection locked="true" hidden="false"/>
    </xf>
    <xf numFmtId="167" fontId="13" fillId="3" borderId="0" xfId="22" applyFont="true" applyBorder="tru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center" vertical="center" textRotation="0" wrapText="false" indent="0" shrinkToFit="false"/>
      <protection locked="true" hidden="false"/>
    </xf>
    <xf numFmtId="168" fontId="13" fillId="3" borderId="0" xfId="0" applyFont="true" applyBorder="false" applyAlignment="true" applyProtection="false">
      <alignment horizontal="center" vertical="center" textRotation="0" wrapText="false" indent="0" shrinkToFit="false"/>
      <protection locked="true" hidden="false"/>
    </xf>
    <xf numFmtId="172" fontId="4" fillId="3" borderId="0" xfId="0" applyFont="true" applyBorder="false" applyAlignment="true" applyProtection="false">
      <alignment horizontal="center" vertical="center" textRotation="0" wrapText="false" indent="0" shrinkToFit="false"/>
      <protection locked="true" hidden="false"/>
    </xf>
    <xf numFmtId="172" fontId="10" fillId="3" borderId="0" xfId="0" applyFont="true" applyBorder="fals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JS SSP Currency" xfId="20"/>
    <cellStyle name="JS SSP Number" xfId="21"/>
    <cellStyle name="JS SSP Percent" xfId="22"/>
  </cellStyles>
  <dxfs count="2">
    <dxf>
      <fill>
        <patternFill>
          <bgColor rgb="FFE2EFDA"/>
        </patternFill>
      </fill>
    </dxf>
    <dxf>
      <fill>
        <patternFill>
          <bgColor rgb="FFF2DCD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F2F5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W342"/>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16"/>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16"/>
    <col collapsed="false" customWidth="true" hidden="false" outlineLevel="0" max="8" min="8" style="0" width="9"/>
    <col collapsed="false" customWidth="true" hidden="false" outlineLevel="0" max="9" min="9" style="0" width="14"/>
    <col collapsed="false" customWidth="true" hidden="false" outlineLevel="0" max="11" min="10" style="0" width="13"/>
    <col collapsed="false" customWidth="true" hidden="false" outlineLevel="0" max="16" min="12" style="0" width="10"/>
    <col collapsed="false" customWidth="true" hidden="false" outlineLevel="0" max="19" min="17" style="0" width="11"/>
    <col collapsed="false" customWidth="true" hidden="false" outlineLevel="0" max="20" min="20" style="0" width="10"/>
    <col collapsed="false" customWidth="true" hidden="false" outlineLevel="0" max="21" min="21" style="0" width="2"/>
    <col collapsed="false" customWidth="true" hidden="false" outlineLevel="0" max="22" min="22" style="0" width="26"/>
    <col collapsed="false" customWidth="true" hidden="false" outlineLevel="0" max="24" min="23" style="0" width="12"/>
  </cols>
  <sheetData>
    <row r="1" customFormat="false" ht="15" hidden="false" customHeight="false" outlineLevel="0" collapsed="false">
      <c r="B1" s="1" t="s">
        <v>0</v>
      </c>
    </row>
    <row r="2" customFormat="false" ht="15" hidden="false" customHeight="false" outlineLevel="0" collapsed="false">
      <c r="B2" s="2" t="s">
        <v>1</v>
      </c>
      <c r="C2" s="2"/>
      <c r="D2" s="2"/>
      <c r="E2" s="2"/>
      <c r="F2" s="2"/>
      <c r="G2" s="2"/>
      <c r="H2" s="2"/>
      <c r="I2" s="2"/>
      <c r="J2" s="2"/>
      <c r="K2" s="2"/>
      <c r="L2" s="2"/>
      <c r="M2" s="2"/>
      <c r="N2" s="2"/>
      <c r="O2" s="2"/>
      <c r="P2" s="2"/>
      <c r="Q2" s="2"/>
      <c r="R2" s="2"/>
      <c r="S2" s="2"/>
      <c r="T2" s="2"/>
    </row>
    <row r="4" customFormat="false" ht="15" hidden="false" customHeight="false" outlineLevel="0" collapsed="false">
      <c r="B4" s="3" t="s">
        <v>2</v>
      </c>
      <c r="C4" s="4"/>
      <c r="D4" s="4"/>
      <c r="E4" s="4"/>
      <c r="F4" s="4"/>
      <c r="G4" s="4"/>
      <c r="H4" s="4"/>
      <c r="I4" s="4"/>
      <c r="J4" s="4"/>
      <c r="K4" s="4"/>
      <c r="L4" s="4"/>
      <c r="M4" s="4"/>
      <c r="N4" s="4"/>
      <c r="O4" s="4"/>
      <c r="P4" s="4"/>
      <c r="Q4" s="4"/>
      <c r="R4" s="4"/>
      <c r="S4" s="4"/>
      <c r="T4" s="4"/>
    </row>
    <row r="5" customFormat="false" ht="15" hidden="false" customHeight="false" outlineLevel="0" collapsed="false">
      <c r="B5" s="5" t="s">
        <v>3</v>
      </c>
      <c r="C5" s="6" t="n">
        <f aca="false">AsOfDate</f>
        <v>46203</v>
      </c>
      <c r="E5" s="5" t="s">
        <v>4</v>
      </c>
      <c r="F5" s="7"/>
      <c r="G5" s="7"/>
      <c r="H5" s="7"/>
      <c r="I5" s="8" t="n">
        <f aca="false">IFERROR(SUMPRODUCT(LT_incl*(1),LT_upb,LT_spread)/SUMPRODUCT(LT_incl*(1)*ISNUMBER(LT_spread),LT_upb),0)</f>
        <v>0.0366410589690772</v>
      </c>
      <c r="K5" s="5" t="s">
        <v>5</v>
      </c>
      <c r="L5" s="7"/>
      <c r="M5" s="7"/>
      <c r="N5" s="7"/>
      <c r="O5" s="7"/>
      <c r="P5" s="9" t="n">
        <f aca="false">IFERROR(SUMPRODUCT(LT_incl*(1),LT_upb,LT_seas)/SUMPRODUCT(LT_incl*(1)*ISNUMBER(LT_seas),LT_upb),0)</f>
        <v>26.0197171750702</v>
      </c>
    </row>
    <row r="6" customFormat="false" ht="15" hidden="false" customHeight="false" outlineLevel="0" collapsed="false">
      <c r="B6" s="5" t="s">
        <v>6</v>
      </c>
      <c r="C6" s="10" t="n">
        <f aca="false">SOFR</f>
        <v>0.0365</v>
      </c>
      <c r="E6" s="5" t="s">
        <v>7</v>
      </c>
      <c r="F6" s="7"/>
      <c r="G6" s="7"/>
      <c r="H6" s="7"/>
      <c r="I6" s="8" t="n">
        <f aca="false">IFERROR(SUMPRODUCT(LT_incl*(1),LT_upb,LT_eff)/SUMPRODUCT(LT_incl*(1)*ISNUMBER(LT_eff),LT_upb),0)</f>
        <v>0.0384104790702225</v>
      </c>
      <c r="K6" s="5" t="s">
        <v>8</v>
      </c>
      <c r="L6" s="7"/>
      <c r="M6" s="7"/>
      <c r="N6" s="7"/>
      <c r="O6" s="7"/>
      <c r="P6" s="9" t="n">
        <f aca="false">IFERROR(SUMPRODUCT(LT_incl*(1),LT_upb,LT_rti)/SUMPRODUCT(LT_incl*(1)*ISNUMBER(LT_rti),LT_upb),0)</f>
        <v>10.7164396387939</v>
      </c>
    </row>
    <row r="7" customFormat="false" ht="15" hidden="false" customHeight="false" outlineLevel="0" collapsed="false">
      <c r="B7" s="5" t="s">
        <v>9</v>
      </c>
      <c r="C7" s="11" t="s">
        <v>10</v>
      </c>
      <c r="E7" s="5" t="s">
        <v>11</v>
      </c>
      <c r="F7" s="7"/>
      <c r="G7" s="7"/>
      <c r="H7" s="7"/>
      <c r="I7" s="8" t="n">
        <f aca="false">IFERROR(SUMPRODUCT(LT_incl*(1),LT_upb,LT_coupon)/SUMPRODUCT(LT_incl*(1)*ISNUMBER(LT_coupon),LT_upb),0)</f>
        <v>0.0749104790702225</v>
      </c>
      <c r="K7" s="5" t="s">
        <v>12</v>
      </c>
      <c r="L7" s="7"/>
      <c r="M7" s="7"/>
      <c r="N7" s="7"/>
      <c r="O7" s="7"/>
      <c r="P7" s="9" t="n">
        <f aca="false">IFERROR(SUMPRODUCT(LT_incl*(1),LT_upb,LT_rte)/SUMPRODUCT(LT_incl*(1)*ISNUMBER(LT_rte),LT_upb),0)</f>
        <v>23.051497716819</v>
      </c>
    </row>
    <row r="8" customFormat="false" ht="15" hidden="false" customHeight="false" outlineLevel="0" collapsed="false">
      <c r="B8" s="5" t="s">
        <v>13</v>
      </c>
      <c r="C8" s="12" t="n">
        <f aca="false">SUM(LT_incl)</f>
        <v>131</v>
      </c>
      <c r="E8" s="5" t="s">
        <v>14</v>
      </c>
      <c r="F8" s="7"/>
      <c r="G8" s="7"/>
      <c r="H8" s="7"/>
      <c r="I8" s="8" t="n">
        <f aca="false">IFERROR(SUMPRODUCT(LT_incl*(1),LT_upb,LT_floor)/SUMPRODUCT(LT_incl*(1)*ISNUMBER(LT_floor),LT_upb),0)</f>
        <v>0.0272465023915981</v>
      </c>
      <c r="K8" s="5" t="s">
        <v>15</v>
      </c>
      <c r="L8" s="7"/>
      <c r="M8" s="7"/>
      <c r="N8" s="7"/>
      <c r="O8" s="7"/>
      <c r="P8" s="13" t="n">
        <f aca="false">IFERROR(SUMPRODUCT(LT_incl*ISNUMBER(LT_m2i)*(LT_m2i&lt;0),LT_upb)/StratUPB,0)</f>
        <v>0.366590414116651</v>
      </c>
    </row>
    <row r="9" customFormat="false" ht="15" hidden="false" customHeight="false" outlineLevel="0" collapsed="false">
      <c r="B9" s="5" t="s">
        <v>16</v>
      </c>
      <c r="C9" s="14" t="n">
        <f aca="false">SUMPRODUCT(LT_incl,LT_upb)</f>
        <v>3716189993.3</v>
      </c>
      <c r="E9" s="5" t="s">
        <v>17</v>
      </c>
      <c r="F9" s="7"/>
      <c r="G9" s="7"/>
      <c r="H9" s="7"/>
      <c r="I9" s="13" t="n">
        <f aca="false">IFERROR(SUMPRODUCT(LT_incl*(LT_ratetype="Floating (SOFR)"),LT_upb)/StratUPB,0)</f>
        <v>0.991832964553826</v>
      </c>
      <c r="K9" s="5" t="s">
        <v>18</v>
      </c>
      <c r="L9" s="7"/>
      <c r="M9" s="7"/>
      <c r="N9" s="7"/>
      <c r="O9" s="7"/>
      <c r="P9" s="13" t="n">
        <f aca="false">IFERROR(SUMPRODUCT(LT_incl*ISNUMBER(LT_m2e)*(LT_m2e&lt;0),LT_upb)/StratUPB,0)</f>
        <v>0.0429378214455352</v>
      </c>
    </row>
    <row r="10" customFormat="false" ht="15" hidden="false" customHeight="false" outlineLevel="0" collapsed="false">
      <c r="B10" s="5" t="s">
        <v>19</v>
      </c>
      <c r="C10" s="14" t="n">
        <f aca="false">IFERROR(C9/C8,0)</f>
        <v>28367862.5442748</v>
      </c>
      <c r="E10" s="5" t="s">
        <v>20</v>
      </c>
      <c r="F10" s="7"/>
      <c r="G10" s="7"/>
      <c r="H10" s="7"/>
      <c r="I10" s="13" t="n">
        <f aca="false">IFERROR(SUMPRODUCT(LT_incl*(LT_capstat="In Place"),LT_upb)/SUMPRODUCT(LT_incl*(LT_ratetype="Floating (SOFR)"),LT_upb),0)</f>
        <v>0.797912100536855</v>
      </c>
      <c r="K10" s="5" t="s">
        <v>21</v>
      </c>
      <c r="L10" s="7"/>
      <c r="M10" s="7"/>
      <c r="N10" s="7"/>
      <c r="O10" s="7"/>
      <c r="P10" s="13" t="n">
        <f aca="false">IFERROR(SUMPRODUCT(LT_incl*(LT_lender&lt;&gt;"Unlevered"),LT_upb)/StratUPB,0)</f>
        <v>0.831694060656842</v>
      </c>
    </row>
    <row r="11" customFormat="false" ht="15" hidden="false" customHeight="false" outlineLevel="0" collapsed="false">
      <c r="B11" s="5" t="s">
        <v>22</v>
      </c>
      <c r="C11" s="14" t="n">
        <f aca="false">SUMPRODUCT(MAX(LT_incl*LT_upb))</f>
        <v>125800000</v>
      </c>
      <c r="E11" s="5" t="s">
        <v>23</v>
      </c>
      <c r="F11" s="7"/>
      <c r="G11" s="7"/>
      <c r="H11" s="7"/>
      <c r="I11" s="13" t="n">
        <f aca="false">IFERROR(SUMPRODUCT(LT_incl*(1),LT_upb,LT_ltv_asis)/SUMPRODUCT(LT_incl*(1)*ISNUMBER(LT_ltv_asis),LT_upb),0)</f>
        <v>0.685976245136614</v>
      </c>
      <c r="K11" s="5" t="s">
        <v>24</v>
      </c>
      <c r="L11" s="7"/>
      <c r="M11" s="7"/>
      <c r="N11" s="7"/>
      <c r="O11" s="7"/>
      <c r="P11" s="13" t="n">
        <f aca="false">IFERROR(SUMPRODUCT(LT_incl,LT_backdebt)/StratUPB,0)</f>
        <v>0.628005362553862</v>
      </c>
    </row>
    <row r="12" customFormat="false" ht="15" hidden="false" customHeight="false" outlineLevel="0" collapsed="false">
      <c r="B12" s="5" t="s">
        <v>25</v>
      </c>
      <c r="C12" s="14" t="n">
        <f aca="false">SUMPRODUCT(LT_incl,LT_commit)</f>
        <v>4297454500</v>
      </c>
      <c r="E12" s="5" t="s">
        <v>26</v>
      </c>
      <c r="F12" s="7"/>
      <c r="G12" s="7"/>
      <c r="H12" s="7"/>
      <c r="I12" s="13" t="n">
        <f aca="false">IFERROR(SUMPRODUCT(LT_incl*(1),LT_upb,LT_ltv_stab)/SUMPRODUCT(LT_incl*(1)*ISNUMBER(LT_ltv_stab),LT_upb),0)</f>
        <v>0.658970555756018</v>
      </c>
      <c r="K12" s="5" t="s">
        <v>27</v>
      </c>
      <c r="L12" s="7"/>
      <c r="M12" s="7"/>
      <c r="N12" s="7"/>
      <c r="O12" s="7"/>
      <c r="P12" s="13" t="n">
        <f aca="false">IFERROR(SUMPRODUCT(LT_incl*(1),LT_equity,LT_roe)/SUMPRODUCT(LT_incl*(1)*ISNUMBER(LT_roe),LT_equity),0)</f>
        <v>0.107961987212177</v>
      </c>
    </row>
    <row r="13" customFormat="false" ht="15" hidden="false" customHeight="false" outlineLevel="0" collapsed="false">
      <c r="B13" s="5" t="s">
        <v>28</v>
      </c>
      <c r="C13" s="14" t="n">
        <f aca="false">SUMPRODUCT(LT_incl,LT_unfunded)</f>
        <v>70425498.27</v>
      </c>
      <c r="E13" s="5" t="s">
        <v>29</v>
      </c>
      <c r="F13" s="7"/>
      <c r="G13" s="7"/>
      <c r="H13" s="7"/>
      <c r="I13" s="15" t="str">
        <f aca="false">TEXT(SUMPRODUCT(LT_incl,LT_units),"#,##0")&amp;" / "&amp;TEXT(SUMPRODUCT(LT_incl,LT_beds),"#,##0")</f>
        <v>22,360 / 8,726</v>
      </c>
      <c r="K13" s="5" t="s">
        <v>30</v>
      </c>
      <c r="L13" s="7"/>
      <c r="M13" s="7"/>
      <c r="N13" s="7"/>
      <c r="O13" s="7"/>
      <c r="P13" s="13" t="n">
        <f aca="false">IFERROR(SUMPRODUCT(LT_incl*((LT_rr="Performance Concern")+(LT_rr="Credit Concern")+(LT_rr="REO")),LT_upb)/StratUPB,0)</f>
        <v>0.373546791120143</v>
      </c>
    </row>
    <row r="14" customFormat="false" ht="15" hidden="false" customHeight="false" outlineLevel="0" collapsed="false">
      <c r="B14" s="5" t="s">
        <v>31</v>
      </c>
      <c r="C14" s="14" t="n">
        <f aca="false">SUMPRODUCT(LT_incl,LT_navres)</f>
        <v>-35761255.0310469</v>
      </c>
      <c r="E14" s="5" t="s">
        <v>32</v>
      </c>
      <c r="F14" s="7"/>
      <c r="G14" s="7"/>
      <c r="H14" s="7"/>
      <c r="I14" s="12" t="n">
        <f aca="false">SUMPRODUCT((LT_incl=1)/(COUNTIFS(LT_state1,LT_state1&amp;"",LT_incl,1)+(LT_incl&lt;&gt;1)))</f>
        <v>37</v>
      </c>
      <c r="K14" s="5" t="s">
        <v>33</v>
      </c>
      <c r="L14" s="7"/>
      <c r="M14" s="7"/>
      <c r="N14" s="7"/>
      <c r="O14" s="7"/>
      <c r="P14" s="13" t="n">
        <f aca="false">IFERROR(SUMPRODUCT(LT_incl*(LT_rr="REO"),LT_upb)/StratUPB,0)</f>
        <v>0.026737918951707</v>
      </c>
    </row>
    <row r="15" customFormat="false" ht="15" hidden="false" customHeight="false" outlineLevel="0" collapsed="false">
      <c r="K15" s="5" t="s">
        <v>34</v>
      </c>
      <c r="L15" s="7"/>
      <c r="M15" s="7"/>
      <c r="N15" s="7"/>
      <c r="O15" s="7"/>
      <c r="P15" s="13" t="n">
        <f aca="false">IFERROR(SUMPRODUCT(LT_incl*(1),LT_upb,LT_roe)/SUMPRODUCT(LT_incl*(1)*ISNUMBER(LT_roe),LT_upb),0)</f>
        <v>0.127213727516381</v>
      </c>
    </row>
    <row r="16" customFormat="false" ht="15" hidden="false" customHeight="false" outlineLevel="0" collapsed="false">
      <c r="B16" s="1" t="s">
        <v>35</v>
      </c>
    </row>
    <row r="17" customFormat="false" ht="15" hidden="false" customHeight="false" outlineLevel="0" collapsed="false">
      <c r="B17" s="1" t="s">
        <v>36</v>
      </c>
    </row>
    <row r="18" customFormat="false" ht="15" hidden="false" customHeight="false" outlineLevel="0" collapsed="false">
      <c r="B18" s="1" t="s">
        <v>37</v>
      </c>
    </row>
    <row r="19" customFormat="false" ht="15" hidden="false" customHeight="false" outlineLevel="0" collapsed="false">
      <c r="B19" s="1" t="s">
        <v>38</v>
      </c>
    </row>
    <row r="20" customFormat="false" ht="15" hidden="false" customHeight="false" outlineLevel="0" collapsed="false">
      <c r="B20" s="1" t="s">
        <v>39</v>
      </c>
    </row>
    <row r="22" customFormat="false" ht="15" hidden="false" customHeight="false" outlineLevel="0" collapsed="false">
      <c r="B22" s="3" t="s">
        <v>40</v>
      </c>
      <c r="C22" s="4"/>
      <c r="D22" s="4"/>
      <c r="E22" s="4"/>
      <c r="F22" s="4"/>
      <c r="G22" s="4"/>
      <c r="H22" s="4"/>
      <c r="I22" s="4"/>
      <c r="J22" s="4"/>
      <c r="K22" s="4"/>
      <c r="L22" s="4"/>
      <c r="M22" s="4"/>
      <c r="N22" s="4"/>
      <c r="O22" s="4"/>
      <c r="P22" s="4"/>
      <c r="Q22" s="4"/>
      <c r="R22" s="4"/>
      <c r="S22" s="4"/>
      <c r="T22" s="4"/>
    </row>
    <row r="23" customFormat="false" ht="39.75" hidden="false" customHeight="true" outlineLevel="0" collapsed="false">
      <c r="B23" s="16" t="s">
        <v>41</v>
      </c>
      <c r="C23" s="17" t="s">
        <v>42</v>
      </c>
      <c r="D23" s="17" t="s">
        <v>43</v>
      </c>
      <c r="E23" s="17" t="s">
        <v>44</v>
      </c>
      <c r="F23" s="17" t="s">
        <v>45</v>
      </c>
      <c r="G23" s="17" t="s">
        <v>16</v>
      </c>
      <c r="H23" s="17" t="s">
        <v>46</v>
      </c>
      <c r="I23" s="17" t="s">
        <v>47</v>
      </c>
      <c r="J23" s="17" t="s">
        <v>48</v>
      </c>
      <c r="K23" s="17" t="s">
        <v>31</v>
      </c>
      <c r="L23" s="17" t="s">
        <v>49</v>
      </c>
      <c r="M23" s="17" t="s">
        <v>50</v>
      </c>
      <c r="N23" s="17" t="s">
        <v>51</v>
      </c>
      <c r="O23" s="17" t="s">
        <v>52</v>
      </c>
      <c r="P23" s="17" t="s">
        <v>53</v>
      </c>
      <c r="Q23" s="17" t="s">
        <v>54</v>
      </c>
      <c r="R23" s="17" t="s">
        <v>55</v>
      </c>
      <c r="S23" s="17" t="s">
        <v>56</v>
      </c>
      <c r="T23" s="17" t="s">
        <v>57</v>
      </c>
      <c r="V23" s="17" t="s">
        <v>58</v>
      </c>
      <c r="W23" s="17" t="s">
        <v>59</v>
      </c>
    </row>
    <row r="24" customFormat="false" ht="25.5" hidden="false" customHeight="true" outlineLevel="0" collapsed="false">
      <c r="B24" s="18" t="str">
        <f aca="false">IF($V24="","",INDEX(LT_name,$V24))</f>
        <v>The Alary</v>
      </c>
      <c r="C24" s="19" t="n">
        <f aca="false">IF($V24="","",INDEX(LT_gsdf,$V24))</f>
        <v>30324</v>
      </c>
      <c r="D24" s="20" t="str">
        <f aca="false">IF($V24="","",INDEX(LT_seg,$V24))</f>
        <v>Multifamily</v>
      </c>
      <c r="E24" s="21" t="str">
        <f aca="false">IF($V24="","",INDEX(LT_state,$V24))</f>
        <v>NY</v>
      </c>
      <c r="F24" s="20" t="str">
        <f aca="false">IF($V24="","",INDEX(LT_ptgrp,$V24))</f>
        <v>Multifamily</v>
      </c>
      <c r="G24" s="22" t="n">
        <f aca="false">IF($V24="","",INDEX(LT_upb,$V24))</f>
        <v>125800000</v>
      </c>
      <c r="H24" s="23" t="n">
        <f aca="false">IFERROR(G24/StratUPB,0)</f>
        <v>0.0338518752342608</v>
      </c>
      <c r="I24" s="20" t="str">
        <f aca="false">IF($V24="","",INDEX(LT_rr,$V24))</f>
        <v>New Loan</v>
      </c>
      <c r="J24" s="20" t="str">
        <f aca="false">IF($V24="","",INDEX(LT_lender,$V24))</f>
        <v>Goldman Sachs</v>
      </c>
      <c r="K24" s="22" t="n">
        <f aca="false">IF($V24="","",INDEX(LT_navres,$V24))</f>
        <v>0</v>
      </c>
      <c r="L24" s="24" t="n">
        <f aca="false">IF($V24="","",INDEX(LT_eff,$V24))</f>
        <v>0.0295</v>
      </c>
      <c r="M24" s="24" t="n">
        <f aca="false">IF($V24="","",INDEX(LT_coupon,$V24))</f>
        <v>0.066</v>
      </c>
      <c r="N24" s="23" t="n">
        <f aca="false">IF($V24="","",INDEX(LT_ltv_asis,$V24))</f>
        <v>0.718857142857143</v>
      </c>
      <c r="O24" s="23" t="n">
        <f aca="false">IF($V24="","",INDEX(LT_ltv_stab,$V24))</f>
        <v>0.662105263157895</v>
      </c>
      <c r="P24" s="25" t="n">
        <f aca="false">IF($V24="","",INDEX(LT_seas,$V24))</f>
        <v>5.94661190965092</v>
      </c>
      <c r="Q24" s="25" t="n">
        <f aca="false">IF($V24="","",INDEX(LT_rti,$V24))</f>
        <v>30.0944558521561</v>
      </c>
      <c r="R24" s="25" t="n">
        <f aca="false">IF($V24="","",INDEX(LT_rte,$V24))</f>
        <v>42.0862422997947</v>
      </c>
      <c r="S24" s="23" t="n">
        <f aca="false">IF($V24="","",INDEX(LT_backlev,$V24))</f>
        <v>0.8</v>
      </c>
      <c r="T24" s="23" t="n">
        <f aca="false">IF($V24="","",INDEX(LT_roe,$V24))</f>
        <v>0.11</v>
      </c>
      <c r="V24" s="26" t="n">
        <f aca="false">IF(LARGE(LT_rank,1)=0,"",MATCH(LARGE(LT_rank,1),LT_rank,0))</f>
        <v>6</v>
      </c>
      <c r="W24" s="22" t="n">
        <f aca="false">IF($V24="","",INDEX(LT_equity,$V24))</f>
        <v>25160000</v>
      </c>
    </row>
    <row r="25" customFormat="false" ht="25.5" hidden="false" customHeight="true" outlineLevel="0" collapsed="false">
      <c r="B25" s="27" t="str">
        <f aca="false">IF($V25="","",INDEX(LT_name,$V25))</f>
        <v>State Preservation</v>
      </c>
      <c r="C25" s="28" t="n">
        <f aca="false">IF($V25="","",INDEX(LT_gsdf,$V25))</f>
        <v>30305</v>
      </c>
      <c r="D25" s="29" t="str">
        <f aca="false">IF($V25="","",INDEX(LT_seg,$V25))</f>
        <v>Multifamily</v>
      </c>
      <c r="E25" s="30" t="str">
        <f aca="false">IF($V25="","",INDEX(LT_state,$V25))</f>
        <v>NY</v>
      </c>
      <c r="F25" s="29" t="str">
        <f aca="false">IF($V25="","",INDEX(LT_ptgrp,$V25))</f>
        <v>Multifamily</v>
      </c>
      <c r="G25" s="31" t="n">
        <f aca="false">IF($V25="","",INDEX(LT_upb,$V25))</f>
        <v>114500000</v>
      </c>
      <c r="H25" s="32" t="n">
        <f aca="false">IFERROR(G25/StratUPB,0)</f>
        <v>0.0308111265049512</v>
      </c>
      <c r="I25" s="29" t="str">
        <f aca="false">IF($V25="","",INDEX(LT_rr,$V25))</f>
        <v>Approaching Exit</v>
      </c>
      <c r="J25" s="29" t="str">
        <f aca="false">IF($V25="","",INDEX(LT_lender,$V25))</f>
        <v>Wells Fargo</v>
      </c>
      <c r="K25" s="31" t="n">
        <f aca="false">IF($V25="","",INDEX(LT_navres,$V25))</f>
        <v>0</v>
      </c>
      <c r="L25" s="33" t="n">
        <f aca="false">IF($V25="","",INDEX(LT_eff,$V25))</f>
        <v>0.031</v>
      </c>
      <c r="M25" s="33" t="n">
        <f aca="false">IF($V25="","",INDEX(LT_coupon,$V25))</f>
        <v>0.0675</v>
      </c>
      <c r="N25" s="32" t="n">
        <f aca="false">IF($V25="","",INDEX(LT_ltv_asis,$V25))</f>
        <v>0.607242339832869</v>
      </c>
      <c r="O25" s="32" t="n">
        <f aca="false">IF($V25="","",INDEX(LT_ltv_stab,$V25))</f>
        <v>0.566271018793274</v>
      </c>
      <c r="P25" s="34" t="n">
        <f aca="false">IF($V25="","",INDEX(LT_seas,$V25))</f>
        <v>7.95071868583162</v>
      </c>
      <c r="Q25" s="34" t="n">
        <f aca="false">IF($V25="","",INDEX(LT_rti,$V25))</f>
        <v>16.0657084188912</v>
      </c>
      <c r="R25" s="34" t="n">
        <f aca="false">IF($V25="","",INDEX(LT_rte,$V25))</f>
        <v>53.0595482546201</v>
      </c>
      <c r="S25" s="32" t="n">
        <f aca="false">IF($V25="","",INDEX(LT_backlev,$V25))</f>
        <v>0.8</v>
      </c>
      <c r="T25" s="32" t="n">
        <f aca="false">IF($V25="","",INDEX(LT_roe,$V25))</f>
        <v>0.1275</v>
      </c>
      <c r="V25" s="26" t="n">
        <f aca="false">IF(LARGE(LT_rank,2)=0,"",MATCH(LARGE(LT_rank,2),LT_rank,0))</f>
        <v>58</v>
      </c>
      <c r="W25" s="22" t="n">
        <f aca="false">IF($V25="","",INDEX(LT_equity,$V25))</f>
        <v>22900000</v>
      </c>
    </row>
    <row r="26" customFormat="false" ht="25.5" hidden="false" customHeight="true" outlineLevel="0" collapsed="false">
      <c r="B26" s="18" t="str">
        <f aca="false">IF($V26="","",INDEX(LT_name,$V26))</f>
        <v>Prominence Apartments</v>
      </c>
      <c r="C26" s="19" t="n">
        <f aca="false">IF($V26="","",INDEX(LT_gsdf,$V26))</f>
        <v>30258</v>
      </c>
      <c r="D26" s="20" t="str">
        <f aca="false">IF($V26="","",INDEX(LT_seg,$V26))</f>
        <v>Multifamily</v>
      </c>
      <c r="E26" s="21" t="str">
        <f aca="false">IF($V26="","",INDEX(LT_state,$V26))</f>
        <v>GA</v>
      </c>
      <c r="F26" s="20" t="str">
        <f aca="false">IF($V26="","",INDEX(LT_ptgrp,$V26))</f>
        <v>Multifamily</v>
      </c>
      <c r="G26" s="22" t="n">
        <f aca="false">IF($V26="","",INDEX(LT_upb,$V26))</f>
        <v>87000000</v>
      </c>
      <c r="H26" s="23" t="n">
        <f aca="false">IFERROR(G26/StratUPB,0)</f>
        <v>0.0234110742876048</v>
      </c>
      <c r="I26" s="20" t="str">
        <f aca="false">IF($V26="","",INDEX(LT_rr,$V26))</f>
        <v>Approaching Exit</v>
      </c>
      <c r="J26" s="20" t="str">
        <f aca="false">IF($V26="","",INDEX(LT_lender,$V26))</f>
        <v>GS CRE Notes 2025-FL4</v>
      </c>
      <c r="K26" s="22" t="n">
        <f aca="false">IF($V26="","",INDEX(LT_navres,$V26))</f>
        <v>0</v>
      </c>
      <c r="L26" s="24" t="n">
        <f aca="false">IF($V26="","",INDEX(LT_eff,$V26))</f>
        <v>0.03</v>
      </c>
      <c r="M26" s="24" t="n">
        <f aca="false">IF($V26="","",INDEX(LT_coupon,$V26))</f>
        <v>0.0665</v>
      </c>
      <c r="N26" s="23" t="n">
        <f aca="false">IF($V26="","",INDEX(LT_ltv_asis,$V26))</f>
        <v>0.674941815360745</v>
      </c>
      <c r="O26" s="23" t="n">
        <f aca="false">IF($V26="","",INDEX(LT_ltv_stab,$V26))</f>
        <v>0.643491124260355</v>
      </c>
      <c r="P26" s="25" t="n">
        <f aca="false">IF($V26="","",INDEX(LT_seas,$V26))</f>
        <v>20.9609856262834</v>
      </c>
      <c r="Q26" s="25" t="n">
        <f aca="false">IF($V26="","",INDEX(LT_rti,$V26))</f>
        <v>15.047227926078</v>
      </c>
      <c r="R26" s="25" t="n">
        <f aca="false">IF($V26="","",INDEX(LT_rte,$V26))</f>
        <v>39.0636550308008</v>
      </c>
      <c r="S26" s="23" t="n">
        <f aca="false">IF($V26="","",INDEX(LT_backlev,$V26))</f>
        <v>0.848749556</v>
      </c>
      <c r="T26" s="23" t="n">
        <f aca="false">IF($V26="","",INDEX(LT_roe,$V26))</f>
        <v>0.132155144821922</v>
      </c>
      <c r="V26" s="26" t="n">
        <f aca="false">IF(LARGE(LT_rank,3)=0,"",MATCH(LARGE(LT_rank,3),LT_rank,0))</f>
        <v>22</v>
      </c>
      <c r="W26" s="22" t="n">
        <f aca="false">IF($V26="","",INDEX(LT_equity,$V26))</f>
        <v>13158788.628</v>
      </c>
    </row>
    <row r="27" customFormat="false" ht="25.5" hidden="false" customHeight="true" outlineLevel="0" collapsed="false">
      <c r="B27" s="27" t="str">
        <f aca="false">IF($V27="","",INDEX(LT_name,$V27))</f>
        <v>Hoyt Bedford Apartments</v>
      </c>
      <c r="C27" s="28" t="n">
        <f aca="false">IF($V27="","",INDEX(LT_gsdf,$V27))</f>
        <v>30025</v>
      </c>
      <c r="D27" s="29" t="str">
        <f aca="false">IF($V27="","",INDEX(LT_seg,$V27))</f>
        <v>Multifamily</v>
      </c>
      <c r="E27" s="30" t="str">
        <f aca="false">IF($V27="","",INDEX(LT_state,$V27))</f>
        <v>CT</v>
      </c>
      <c r="F27" s="29" t="str">
        <f aca="false">IF($V27="","",INDEX(LT_ptgrp,$V27))</f>
        <v>Multifamily</v>
      </c>
      <c r="G27" s="31" t="n">
        <f aca="false">IF($V27="","",INDEX(LT_upb,$V27))</f>
        <v>80000000</v>
      </c>
      <c r="H27" s="32" t="n">
        <f aca="false">IFERROR(G27/StratUPB,0)</f>
        <v>0.0215274246322803</v>
      </c>
      <c r="I27" s="29" t="str">
        <f aca="false">IF($V27="","",INDEX(LT_rr,$V27))</f>
        <v>At Exit</v>
      </c>
      <c r="J27" s="29" t="str">
        <f aca="false">IF($V27="","",INDEX(LT_lender,$V27))</f>
        <v>Goldman Sachs</v>
      </c>
      <c r="K27" s="31" t="n">
        <f aca="false">IF($V27="","",INDEX(LT_navres,$V27))</f>
        <v>0</v>
      </c>
      <c r="L27" s="33" t="n">
        <f aca="false">IF($V27="","",INDEX(LT_eff,$V27))</f>
        <v>0.0345</v>
      </c>
      <c r="M27" s="33" t="n">
        <f aca="false">IF($V27="","",INDEX(LT_coupon,$V27))</f>
        <v>0.071</v>
      </c>
      <c r="N27" s="32" t="n">
        <f aca="false">IF($V27="","",INDEX(LT_ltv_asis,$V27))</f>
        <v>0.79126213592233</v>
      </c>
      <c r="O27" s="32" t="n">
        <f aca="false">IF($V27="","",INDEX(LT_ltv_stab,$V27))</f>
        <v>0.727739726027397</v>
      </c>
      <c r="P27" s="34" t="n">
        <f aca="false">IF($V27="","",INDEX(LT_seas,$V27))</f>
        <v>61.1745379876797</v>
      </c>
      <c r="Q27" s="34" t="n">
        <f aca="false">IF($V27="","",INDEX(LT_rti,$V27))</f>
        <v>0</v>
      </c>
      <c r="R27" s="34" t="n">
        <f aca="false">IF($V27="","",INDEX(LT_rte,$V27))</f>
        <v>5.05954825462012</v>
      </c>
      <c r="S27" s="32" t="n">
        <f aca="false">IF($V27="","",INDEX(LT_backlev,$V27))</f>
        <v>0.8</v>
      </c>
      <c r="T27" s="32" t="n">
        <f aca="false">IF($V27="","",INDEX(LT_roe,$V27))</f>
        <v>0.143</v>
      </c>
      <c r="V27" s="26" t="n">
        <f aca="false">IF(LARGE(LT_rank,4)=0,"",MATCH(LARGE(LT_rank,4),LT_rank,0))</f>
        <v>7</v>
      </c>
      <c r="W27" s="22" t="n">
        <f aca="false">IF($V27="","",INDEX(LT_equity,$V27))</f>
        <v>16000000</v>
      </c>
    </row>
    <row r="28" customFormat="false" ht="25.5" hidden="false" customHeight="true" outlineLevel="0" collapsed="false">
      <c r="B28" s="18" t="str">
        <f aca="false">IF($V28="","",INDEX(LT_name,$V28))</f>
        <v>Meridia Roselle Park 10 Apartments</v>
      </c>
      <c r="C28" s="19" t="n">
        <f aca="false">IF($V28="","",INDEX(LT_gsdf,$V28))</f>
        <v>30281</v>
      </c>
      <c r="D28" s="20" t="str">
        <f aca="false">IF($V28="","",INDEX(LT_seg,$V28))</f>
        <v>Multifamily</v>
      </c>
      <c r="E28" s="21" t="str">
        <f aca="false">IF($V28="","",INDEX(LT_state,$V28))</f>
        <v>NJ</v>
      </c>
      <c r="F28" s="20" t="str">
        <f aca="false">IF($V28="","",INDEX(LT_ptgrp,$V28))</f>
        <v>Multifamily</v>
      </c>
      <c r="G28" s="22" t="n">
        <f aca="false">IF($V28="","",INDEX(LT_upb,$V28))</f>
        <v>80000000</v>
      </c>
      <c r="H28" s="23" t="n">
        <f aca="false">IFERROR(G28/StratUPB,0)</f>
        <v>0.0215274246322803</v>
      </c>
      <c r="I28" s="20" t="str">
        <f aca="false">IF($V28="","",INDEX(LT_rr,$V28))</f>
        <v>Approaching Exit</v>
      </c>
      <c r="J28" s="20" t="str">
        <f aca="false">IF($V28="","",INDEX(LT_lender,$V28))</f>
        <v>Natixis</v>
      </c>
      <c r="K28" s="22" t="n">
        <f aca="false">IF($V28="","",INDEX(LT_navres,$V28))</f>
        <v>0</v>
      </c>
      <c r="L28" s="24" t="n">
        <f aca="false">IF($V28="","",INDEX(LT_eff,$V28))</f>
        <v>0.043</v>
      </c>
      <c r="M28" s="24" t="n">
        <f aca="false">IF($V28="","",INDEX(LT_coupon,$V28))</f>
        <v>0.0795</v>
      </c>
      <c r="N28" s="23" t="n">
        <f aca="false">IF($V28="","",INDEX(LT_ltv_asis,$V28))</f>
        <v>0.679694137638063</v>
      </c>
      <c r="O28" s="23" t="n">
        <f aca="false">IF($V28="","",INDEX(LT_ltv_stab,$V28))</f>
        <v>0.631412786108919</v>
      </c>
      <c r="P28" s="25" t="n">
        <f aca="false">IF($V28="","",INDEX(LT_seas,$V28))</f>
        <v>14.652977412731</v>
      </c>
      <c r="Q28" s="25" t="n">
        <f aca="false">IF($V28="","",INDEX(LT_rti,$V28))</f>
        <v>10.0205338809035</v>
      </c>
      <c r="R28" s="25" t="n">
        <f aca="false">IF($V28="","",INDEX(LT_rte,$V28))</f>
        <v>22.0451745379877</v>
      </c>
      <c r="S28" s="23" t="n">
        <f aca="false">IF($V28="","",INDEX(LT_backlev,$V28))</f>
        <v>0.8</v>
      </c>
      <c r="T28" s="23" t="n">
        <f aca="false">IF($V28="","",INDEX(LT_roe,$V28))</f>
        <v>0.1855</v>
      </c>
      <c r="V28" s="26" t="n">
        <f aca="false">IF(LARGE(LT_rank,5)=0,"",MATCH(LARGE(LT_rank,5),LT_rank,0))</f>
        <v>48</v>
      </c>
      <c r="W28" s="22" t="n">
        <f aca="false">IF($V28="","",INDEX(LT_equity,$V28))</f>
        <v>16000000</v>
      </c>
    </row>
    <row r="29" customFormat="false" ht="25.5" hidden="false" customHeight="true" outlineLevel="0" collapsed="false">
      <c r="B29" s="27" t="str">
        <f aca="false">IF($V29="","",INDEX(LT_name,$V29))</f>
        <v>Resia Ten Oaks Apartments</v>
      </c>
      <c r="C29" s="28" t="n">
        <f aca="false">IF($V29="","",INDEX(LT_gsdf,$V29))</f>
        <v>30314</v>
      </c>
      <c r="D29" s="29" t="str">
        <f aca="false">IF($V29="","",INDEX(LT_seg,$V29))</f>
        <v>Multifamily</v>
      </c>
      <c r="E29" s="30" t="str">
        <f aca="false">IF($V29="","",INDEX(LT_state,$V29))</f>
        <v>TX</v>
      </c>
      <c r="F29" s="29" t="str">
        <f aca="false">IF($V29="","",INDEX(LT_ptgrp,$V29))</f>
        <v>Multifamily</v>
      </c>
      <c r="G29" s="31" t="n">
        <f aca="false">IF($V29="","",INDEX(LT_upb,$V29))</f>
        <v>72500000</v>
      </c>
      <c r="H29" s="32" t="n">
        <f aca="false">IFERROR(G29/StratUPB,0)</f>
        <v>0.019509228573004</v>
      </c>
      <c r="I29" s="29" t="str">
        <f aca="false">IF($V29="","",INDEX(LT_rr,$V29))</f>
        <v>Performance Concern</v>
      </c>
      <c r="J29" s="29" t="str">
        <f aca="false">IF($V29="","",INDEX(LT_lender,$V29))</f>
        <v>Wells Fargo</v>
      </c>
      <c r="K29" s="31" t="n">
        <f aca="false">IF($V29="","",INDEX(LT_navres,$V29))</f>
        <v>0</v>
      </c>
      <c r="L29" s="33" t="n">
        <f aca="false">IF($V29="","",INDEX(LT_eff,$V29))</f>
        <v>0.025</v>
      </c>
      <c r="M29" s="33" t="n">
        <f aca="false">IF($V29="","",INDEX(LT_coupon,$V29))</f>
        <v>0.0615</v>
      </c>
      <c r="N29" s="32" t="n">
        <f aca="false">IF($V29="","",INDEX(LT_ltv_asis,$V29))</f>
        <v>0.717111770524234</v>
      </c>
      <c r="O29" s="32" t="n">
        <f aca="false">IF($V29="","",INDEX(LT_ltv_stab,$V29))</f>
        <v>0.654923215898826</v>
      </c>
      <c r="P29" s="34" t="n">
        <f aca="false">IF($V29="","",INDEX(LT_seas,$V29))</f>
        <v>5.28952772073922</v>
      </c>
      <c r="Q29" s="34" t="n">
        <f aca="false">IF($V29="","",INDEX(LT_rti,$V29))</f>
        <v>19.088295687885</v>
      </c>
      <c r="R29" s="34" t="n">
        <f aca="false">IF($V29="","",INDEX(LT_rte,$V29))</f>
        <v>31.1129363449692</v>
      </c>
      <c r="S29" s="32" t="n">
        <f aca="false">IF($V29="","",INDEX(LT_backlev,$V29))</f>
        <v>0.8</v>
      </c>
      <c r="T29" s="32" t="n">
        <f aca="false">IF($V29="","",INDEX(LT_roe,$V29))</f>
        <v>0.1015</v>
      </c>
      <c r="V29" s="26" t="n">
        <f aca="false">IF(LARGE(LT_rank,6)=0,"",MATCH(LARGE(LT_rank,6),LT_rank,0))</f>
        <v>59</v>
      </c>
      <c r="W29" s="22" t="n">
        <f aca="false">IF($V29="","",INDEX(LT_equity,$V29))</f>
        <v>14500000</v>
      </c>
    </row>
    <row r="30" customFormat="false" ht="25.5" hidden="false" customHeight="true" outlineLevel="0" collapsed="false">
      <c r="B30" s="18" t="str">
        <f aca="false">IF($V30="","",INDEX(LT_name,$V30))</f>
        <v>The Collective on 4th Apartments</v>
      </c>
      <c r="C30" s="19" t="n">
        <f aca="false">IF($V30="","",INDEX(LT_gsdf,$V30))</f>
        <v>30211</v>
      </c>
      <c r="D30" s="20" t="str">
        <f aca="false">IF($V30="","",INDEX(LT_seg,$V30))</f>
        <v>Multifamily</v>
      </c>
      <c r="E30" s="21" t="str">
        <f aca="false">IF($V30="","",INDEX(LT_state,$V30))</f>
        <v>OR</v>
      </c>
      <c r="F30" s="20" t="str">
        <f aca="false">IF($V30="","",INDEX(LT_ptgrp,$V30))</f>
        <v>Multifamily</v>
      </c>
      <c r="G30" s="22" t="n">
        <f aca="false">IF($V30="","",INDEX(LT_upb,$V30))</f>
        <v>70000000</v>
      </c>
      <c r="H30" s="23" t="n">
        <f aca="false">IFERROR(G30/StratUPB,0)</f>
        <v>0.0188364965532453</v>
      </c>
      <c r="I30" s="20" t="str">
        <f aca="false">IF($V30="","",INDEX(LT_rr,$V30))</f>
        <v>Performance Concern</v>
      </c>
      <c r="J30" s="20" t="str">
        <f aca="false">IF($V30="","",INDEX(LT_lender,$V30))</f>
        <v>GS CRE Notes 2025-FL4</v>
      </c>
      <c r="K30" s="22" t="n">
        <f aca="false">IF($V30="","",INDEX(LT_navres,$V30))</f>
        <v>0</v>
      </c>
      <c r="L30" s="24" t="n">
        <f aca="false">IF($V30="","",INDEX(LT_eff,$V30))</f>
        <v>0.0395</v>
      </c>
      <c r="M30" s="24" t="n">
        <f aca="false">IF($V30="","",INDEX(LT_coupon,$V30))</f>
        <v>0.076</v>
      </c>
      <c r="N30" s="23" t="n">
        <f aca="false">IF($V30="","",INDEX(LT_ltv_asis,$V30))</f>
        <v>0.577235772357724</v>
      </c>
      <c r="O30" s="23" t="n">
        <f aca="false">IF($V30="","",INDEX(LT_ltv_stab,$V30))</f>
        <v>0.546153846153846</v>
      </c>
      <c r="P30" s="25" t="n">
        <f aca="false">IF($V30="","",INDEX(LT_seas,$V30))</f>
        <v>33.5441478439425</v>
      </c>
      <c r="Q30" s="25" t="n">
        <f aca="false">IF($V30="","",INDEX(LT_rti,$V30))</f>
        <v>0</v>
      </c>
      <c r="R30" s="25" t="n">
        <f aca="false">IF($V30="","",INDEX(LT_rte,$V30))</f>
        <v>9.03490759753593</v>
      </c>
      <c r="S30" s="23" t="n">
        <f aca="false">IF($V30="","",INDEX(LT_backlev,$V30))</f>
        <v>0.848749556</v>
      </c>
      <c r="T30" s="23" t="n">
        <f aca="false">IF($V30="","",INDEX(LT_roe,$V30))</f>
        <v>0.194964877796987</v>
      </c>
      <c r="V30" s="26" t="n">
        <f aca="false">IF(LARGE(LT_rank,7)=0,"",MATCH(LARGE(LT_rank,7),LT_rank,0))</f>
        <v>23</v>
      </c>
      <c r="W30" s="22" t="n">
        <f aca="false">IF($V30="","",INDEX(LT_equity,$V30))</f>
        <v>10587531.08</v>
      </c>
    </row>
    <row r="31" customFormat="false" ht="25.5" hidden="false" customHeight="true" outlineLevel="0" collapsed="false">
      <c r="B31" s="27" t="str">
        <f aca="false">IF($V31="","",INDEX(LT_name,$V31))</f>
        <v>Resia Willows</v>
      </c>
      <c r="C31" s="28" t="n">
        <f aca="false">IF($V31="","",INDEX(LT_gsdf,$V31))</f>
        <v>30280</v>
      </c>
      <c r="D31" s="29" t="str">
        <f aca="false">IF($V31="","",INDEX(LT_seg,$V31))</f>
        <v>Multifamily</v>
      </c>
      <c r="E31" s="30" t="str">
        <f aca="false">IF($V31="","",INDEX(LT_state,$V31))</f>
        <v>GA</v>
      </c>
      <c r="F31" s="29" t="str">
        <f aca="false">IF($V31="","",INDEX(LT_ptgrp,$V31))</f>
        <v>Multifamily</v>
      </c>
      <c r="G31" s="31" t="n">
        <f aca="false">IF($V31="","",INDEX(LT_upb,$V31))</f>
        <v>68500000</v>
      </c>
      <c r="H31" s="32" t="n">
        <f aca="false">IFERROR(G31/StratUPB,0)</f>
        <v>0.01843285734139</v>
      </c>
      <c r="I31" s="29" t="str">
        <f aca="false">IF($V31="","",INDEX(LT_rr,$V31))</f>
        <v>Performance Concern</v>
      </c>
      <c r="J31" s="29" t="str">
        <f aca="false">IF($V31="","",INDEX(LT_lender,$V31))</f>
        <v>Wells Fargo</v>
      </c>
      <c r="K31" s="31" t="n">
        <f aca="false">IF($V31="","",INDEX(LT_navres,$V31))</f>
        <v>0</v>
      </c>
      <c r="L31" s="33" t="n">
        <f aca="false">IF($V31="","",INDEX(LT_eff,$V31))</f>
        <v>0.0285</v>
      </c>
      <c r="M31" s="33" t="n">
        <f aca="false">IF($V31="","",INDEX(LT_coupon,$V31))</f>
        <v>0.065</v>
      </c>
      <c r="N31" s="32" t="n">
        <f aca="false">IF($V31="","",INDEX(LT_ltv_asis,$V31))</f>
        <v>0.647448015122873</v>
      </c>
      <c r="O31" s="32" t="n">
        <f aca="false">IF($V31="","",INDEX(LT_ltv_stab,$V31))</f>
        <v>0.59051724137931</v>
      </c>
      <c r="P31" s="34" t="n">
        <f aca="false">IF($V31="","",INDEX(LT_seas,$V31))</f>
        <v>15.0800821355236</v>
      </c>
      <c r="Q31" s="34" t="n">
        <f aca="false">IF($V31="","",INDEX(LT_rti,$V31))</f>
        <v>9.03490759753593</v>
      </c>
      <c r="R31" s="34" t="n">
        <f aca="false">IF($V31="","",INDEX(LT_rte,$V31))</f>
        <v>33.0513347022587</v>
      </c>
      <c r="S31" s="32" t="n">
        <f aca="false">IF($V31="","",INDEX(LT_backlev,$V31))</f>
        <v>0.8</v>
      </c>
      <c r="T31" s="32" t="n">
        <f aca="false">IF($V31="","",INDEX(LT_roe,$V31))</f>
        <v>0.113</v>
      </c>
      <c r="V31" s="26" t="n">
        <f aca="false">IF(LARGE(LT_rank,8)=0,"",MATCH(LARGE(LT_rank,8),LT_rank,0))</f>
        <v>60</v>
      </c>
      <c r="W31" s="22" t="n">
        <f aca="false">IF($V31="","",INDEX(LT_equity,$V31))</f>
        <v>13700000</v>
      </c>
    </row>
    <row r="32" customFormat="false" ht="25.5" hidden="false" customHeight="true" outlineLevel="0" collapsed="false">
      <c r="B32" s="18" t="str">
        <f aca="false">IF($V32="","",INDEX(LT_name,$V32))</f>
        <v>Woodmore Apartments</v>
      </c>
      <c r="C32" s="19" t="n">
        <f aca="false">IF($V32="","",INDEX(LT_gsdf,$V32))</f>
        <v>30242</v>
      </c>
      <c r="D32" s="20" t="str">
        <f aca="false">IF($V32="","",INDEX(LT_seg,$V32))</f>
        <v>Multifamily</v>
      </c>
      <c r="E32" s="21" t="str">
        <f aca="false">IF($V32="","",INDEX(LT_state,$V32))</f>
        <v>MD</v>
      </c>
      <c r="F32" s="20" t="str">
        <f aca="false">IF($V32="","",INDEX(LT_ptgrp,$V32))</f>
        <v>Multifamily</v>
      </c>
      <c r="G32" s="22" t="n">
        <f aca="false">IF($V32="","",INDEX(LT_upb,$V32))</f>
        <v>67000000</v>
      </c>
      <c r="H32" s="23" t="n">
        <f aca="false">IFERROR(G32/StratUPB,0)</f>
        <v>0.0180292181295348</v>
      </c>
      <c r="I32" s="20" t="str">
        <f aca="false">IF($V32="","",INDEX(LT_rr,$V32))</f>
        <v>Performance Concern</v>
      </c>
      <c r="J32" s="20" t="str">
        <f aca="false">IF($V32="","",INDEX(LT_lender,$V32))</f>
        <v>GS CRE Notes 2025-FL4</v>
      </c>
      <c r="K32" s="22" t="n">
        <f aca="false">IF($V32="","",INDEX(LT_navres,$V32))</f>
        <v>0</v>
      </c>
      <c r="L32" s="24" t="n">
        <f aca="false">IF($V32="","",INDEX(LT_eff,$V32))</f>
        <v>0.0318</v>
      </c>
      <c r="M32" s="24" t="n">
        <f aca="false">IF($V32="","",INDEX(LT_coupon,$V32))</f>
        <v>0.0683</v>
      </c>
      <c r="N32" s="23" t="n">
        <f aca="false">IF($V32="","",INDEX(LT_ltv_asis,$V32))</f>
        <v>0.786384976525822</v>
      </c>
      <c r="O32" s="23" t="n">
        <f aca="false">IF($V32="","",INDEX(LT_ltv_stab,$V32))</f>
        <v>0.715042372881356</v>
      </c>
      <c r="P32" s="25" t="n">
        <f aca="false">IF($V32="","",INDEX(LT_seas,$V32))</f>
        <v>25.7248459958932</v>
      </c>
      <c r="Q32" s="25" t="n">
        <f aca="false">IF($V32="","",INDEX(LT_rti,$V32))</f>
        <v>0</v>
      </c>
      <c r="R32" s="25" t="n">
        <f aca="false">IF($V32="","",INDEX(LT_rte,$V32))</f>
        <v>34.0369609856263</v>
      </c>
      <c r="S32" s="23" t="n">
        <f aca="false">IF($V32="","",INDEX(LT_backlev,$V32))</f>
        <v>0.848749556</v>
      </c>
      <c r="T32" s="23" t="n">
        <f aca="false">IF($V32="","",INDEX(LT_roe,$V32))</f>
        <v>0.144055936332987</v>
      </c>
      <c r="V32" s="26" t="n">
        <f aca="false">IF(LARGE(LT_rank,9)=0,"",MATCH(LARGE(LT_rank,9),LT_rank,0))</f>
        <v>24</v>
      </c>
      <c r="W32" s="22" t="n">
        <f aca="false">IF($V32="","",INDEX(LT_equity,$V32))</f>
        <v>10133779.748</v>
      </c>
    </row>
    <row r="33" customFormat="false" ht="25.5" hidden="false" customHeight="true" outlineLevel="0" collapsed="false">
      <c r="B33" s="27" t="str">
        <f aca="false">IF($V33="","",INDEX(LT_name,$V33))</f>
        <v>San Antonio Portfolio</v>
      </c>
      <c r="C33" s="28" t="n">
        <f aca="false">IF($V33="","",INDEX(LT_gsdf,$V33))</f>
        <v>30070</v>
      </c>
      <c r="D33" s="29" t="str">
        <f aca="false">IF($V33="","",INDEX(LT_seg,$V33))</f>
        <v>Multifamily</v>
      </c>
      <c r="E33" s="30" t="str">
        <f aca="false">IF($V33="","",INDEX(LT_state,$V33))</f>
        <v>TX</v>
      </c>
      <c r="F33" s="29" t="str">
        <f aca="false">IF($V33="","",INDEX(LT_ptgrp,$V33))</f>
        <v>Multifamily</v>
      </c>
      <c r="G33" s="31" t="n">
        <f aca="false">IF($V33="","",INDEX(LT_upb,$V33))</f>
        <v>66000000</v>
      </c>
      <c r="H33" s="32" t="n">
        <f aca="false">IFERROR(G33/StratUPB,0)</f>
        <v>0.0177601253216313</v>
      </c>
      <c r="I33" s="29" t="str">
        <f aca="false">IF($V33="","",INDEX(LT_rr,$V33))</f>
        <v>REO</v>
      </c>
      <c r="J33" s="29" t="str">
        <f aca="false">IF($V33="","",INDEX(LT_lender,$V33))</f>
        <v>Unlevered</v>
      </c>
      <c r="K33" s="31" t="n">
        <f aca="false">IF($V33="","",INDEX(LT_navres,$V33))</f>
        <v>-11850000</v>
      </c>
      <c r="L33" s="33" t="n">
        <f aca="false">IF($V33="","",INDEX(LT_eff,$V33))</f>
        <v>0.0345</v>
      </c>
      <c r="M33" s="33" t="n">
        <f aca="false">IF($V33="","",INDEX(LT_coupon,$V33))</f>
        <v>0.071</v>
      </c>
      <c r="N33" s="32" t="n">
        <f aca="false">IF($V33="","",INDEX(LT_ltv_asis,$V33))</f>
        <v>0.817782152230971</v>
      </c>
      <c r="O33" s="32" t="n">
        <f aca="false">IF($V33="","",INDEX(LT_ltv_stab,$V33))</f>
        <v>0.688216892596455</v>
      </c>
      <c r="P33" s="34" t="n">
        <f aca="false">IF($V33="","",INDEX(LT_seas,$V33))</f>
        <v>58.4476386036961</v>
      </c>
      <c r="Q33" s="34" t="n">
        <f aca="false">IF($V33="","",INDEX(LT_rti,$V33))</f>
        <v>0</v>
      </c>
      <c r="R33" s="34" t="n">
        <f aca="false">IF($V33="","",INDEX(LT_rte,$V33))</f>
        <v>2.06981519507187</v>
      </c>
      <c r="S33" s="32" t="n">
        <f aca="false">IF($V33="","",INDEX(LT_backlev,$V33))</f>
        <v>0</v>
      </c>
      <c r="T33" s="32" t="n">
        <f aca="false">IF($V33="","",INDEX(LT_roe,$V33))</f>
        <v>0.071</v>
      </c>
      <c r="V33" s="26" t="n">
        <f aca="false">IF(LARGE(LT_rank,10)=0,"",MATCH(LARGE(LT_rank,10),LT_rank,0))</f>
        <v>65</v>
      </c>
      <c r="W33" s="22" t="n">
        <f aca="false">IF($V33="","",INDEX(LT_equity,$V33))</f>
        <v>66000000</v>
      </c>
    </row>
    <row r="34" customFormat="false" ht="15" hidden="false" customHeight="false" outlineLevel="0" collapsed="false">
      <c r="B34" s="35" t="s">
        <v>60</v>
      </c>
      <c r="C34" s="36"/>
      <c r="D34" s="36"/>
      <c r="E34" s="36"/>
      <c r="F34" s="36"/>
      <c r="G34" s="37" t="n">
        <f aca="false">SUM($G$24:$G$33)</f>
        <v>831300000</v>
      </c>
      <c r="H34" s="38" t="n">
        <f aca="false">SUM($H$24:$H$33)</f>
        <v>0.223696851210183</v>
      </c>
      <c r="I34" s="36"/>
      <c r="J34" s="36"/>
      <c r="K34" s="37" t="n">
        <f aca="false">SUM($K$24:$K$33)</f>
        <v>-11850000</v>
      </c>
      <c r="L34" s="39" t="n">
        <f aca="false">IFERROR(SUMPRODUCT($G$24:$G$33,$L$24:$L$33)/SUMPRODUCT($G$24:$G$33,ISNUMBER($L$24:$L$33)*1),0)</f>
        <v>0.0324888127029953</v>
      </c>
      <c r="M34" s="39" t="n">
        <f aca="false">IFERROR(SUMPRODUCT($G$24:$G$33,$M$24:$M$33)/SUMPRODUCT($G$24:$G$33,ISNUMBER($M$24:$M$33)*1),0)</f>
        <v>0.0689888127029953</v>
      </c>
      <c r="N34" s="38" t="n">
        <f aca="false">IFERROR(SUMPRODUCT($G$24:$G$33,$N$24:$N$33)/SUMPRODUCT($G$24:$G$33,ISNUMBER($N$24:$N$33)*1),0)</f>
        <v>0.69742166274744</v>
      </c>
      <c r="O34" s="38" t="n">
        <f aca="false">IFERROR(SUMPRODUCT($G$24:$G$33,$O$24:$O$33)/SUMPRODUCT($G$24:$G$33,ISNUMBER($O$24:$O$33)*1),0)</f>
        <v>0.640370612114739</v>
      </c>
      <c r="P34" s="40" t="n">
        <f aca="false">IFERROR(SUMPRODUCT($G$24:$G$33,$P$24:$P$33)/SUMPRODUCT($G$24:$G$33,ISNUMBER($P$24:$P$33)*1),0)</f>
        <v>22.7281650595008</v>
      </c>
      <c r="Q34" s="40" t="n">
        <f aca="false">IFERROR(SUMPRODUCT($G$24:$G$33,$Q$24:$Q$33)/SUMPRODUCT($G$24:$G$33,ISNUMBER($Q$24:$Q$33)*1),0)</f>
        <v>11.7153257644752</v>
      </c>
      <c r="R34" s="40" t="n">
        <f aca="false">IFERROR(SUMPRODUCT($G$24:$G$33,$R$24:$R$33)/SUMPRODUCT($G$24:$G$33,ISNUMBER($R$24:$R$33)*1),0)</f>
        <v>29.4790273071222</v>
      </c>
      <c r="S34" s="38" t="n">
        <f aca="false">IFERROR(SUMPRODUCT($G$24:$G$33,$S$24:$S$33)/G34,0)</f>
        <v>0.749620955784915</v>
      </c>
      <c r="T34" s="38" t="n">
        <f aca="false">IFERROR(SUMPRODUCT($W$24:$W$33,$T$24:$T$33)/SUMPRODUCT($W$24:$W$33,ISNUMBER($T$24:$T$33)*1),0)</f>
        <v>0.114885260037284</v>
      </c>
    </row>
    <row r="35" customFormat="false" ht="15" hidden="false" customHeight="false" outlineLevel="0" collapsed="false">
      <c r="B35" s="1" t="s">
        <v>61</v>
      </c>
    </row>
    <row r="37" customFormat="false" ht="15" hidden="false" customHeight="false" outlineLevel="0" collapsed="false">
      <c r="B37" s="3" t="s">
        <v>62</v>
      </c>
      <c r="C37" s="4"/>
      <c r="D37" s="4"/>
      <c r="E37" s="4"/>
      <c r="F37" s="4"/>
      <c r="G37" s="4"/>
      <c r="H37" s="4"/>
      <c r="I37" s="4"/>
      <c r="J37" s="4"/>
      <c r="K37" s="4"/>
      <c r="L37" s="4"/>
      <c r="M37" s="4"/>
      <c r="N37" s="4"/>
      <c r="O37" s="4"/>
      <c r="P37" s="4"/>
      <c r="Q37" s="4"/>
      <c r="R37" s="4"/>
      <c r="S37" s="4"/>
      <c r="T37" s="4"/>
    </row>
    <row r="38" customFormat="false" ht="39.75" hidden="false" customHeight="true" outlineLevel="0" collapsed="false">
      <c r="B38" s="16" t="s">
        <v>63</v>
      </c>
      <c r="C38" s="17" t="s">
        <v>13</v>
      </c>
      <c r="D38" s="17" t="s">
        <v>64</v>
      </c>
      <c r="E38" s="17" t="s">
        <v>65</v>
      </c>
      <c r="F38" s="17" t="s">
        <v>66</v>
      </c>
      <c r="G38" s="17" t="s">
        <v>16</v>
      </c>
      <c r="H38" s="17" t="s">
        <v>46</v>
      </c>
      <c r="I38" s="17" t="s">
        <v>19</v>
      </c>
      <c r="J38" s="17" t="s">
        <v>28</v>
      </c>
      <c r="K38" s="17" t="s">
        <v>31</v>
      </c>
      <c r="L38" s="17" t="s">
        <v>7</v>
      </c>
      <c r="M38" s="17" t="s">
        <v>11</v>
      </c>
      <c r="N38" s="17" t="s">
        <v>23</v>
      </c>
      <c r="O38" s="17" t="s">
        <v>67</v>
      </c>
      <c r="P38" s="17" t="s">
        <v>5</v>
      </c>
      <c r="Q38" s="17" t="s">
        <v>68</v>
      </c>
      <c r="R38" s="17" t="s">
        <v>69</v>
      </c>
      <c r="S38" s="17" t="s">
        <v>56</v>
      </c>
      <c r="T38" s="17" t="s">
        <v>70</v>
      </c>
      <c r="V38" s="17" t="s">
        <v>71</v>
      </c>
    </row>
    <row r="39" customFormat="false" ht="15" hidden="false" customHeight="false" outlineLevel="0" collapsed="false">
      <c r="B39" s="41" t="str">
        <f aca="false">V39</f>
        <v>Multifamily</v>
      </c>
      <c r="C39" s="26" t="n">
        <f aca="false">SUMPRODUCT(LT_incl*(LT_seg=$V39))</f>
        <v>80</v>
      </c>
      <c r="D39" s="23" t="n">
        <f aca="false">IFERROR(C39/StratLoans,0)</f>
        <v>0.610687022900763</v>
      </c>
      <c r="E39" s="26" t="n">
        <f aca="false">SUMPRODUCT(LT_incl*(LT_seg=$V39),LT_units)</f>
        <v>18739</v>
      </c>
      <c r="F39" s="26" t="n">
        <f aca="false">SUMPRODUCT(LT_incl*(LT_seg=$V39),LT_beds)</f>
        <v>0</v>
      </c>
      <c r="G39" s="22" t="n">
        <f aca="false">SUMPRODUCT(LT_incl*(LT_seg=$V39),LT_upb)</f>
        <v>2786473618.93</v>
      </c>
      <c r="H39" s="23" t="n">
        <f aca="false">IFERROR(G39/StratUPB,0)</f>
        <v>0.749820010266912</v>
      </c>
      <c r="I39" s="22" t="n">
        <f aca="false">IFERROR(G39/C39,0)</f>
        <v>34830920.236625</v>
      </c>
      <c r="J39" s="22" t="n">
        <f aca="false">SUMPRODUCT(LT_incl*(LT_seg=$V39),LT_unfunded)</f>
        <v>41827413.81</v>
      </c>
      <c r="K39" s="22" t="n">
        <f aca="false">SUMPRODUCT(LT_incl*(LT_seg=$V39),LT_navres)</f>
        <v>-35803871.9637166</v>
      </c>
      <c r="L39" s="24" t="n">
        <f aca="false">IFERROR(SUMPRODUCT(LT_incl*(LT_seg=$V39),LT_upb,LT_eff)/SUMPRODUCT(LT_incl*(LT_seg=$V39)*ISNUMBER(LT_eff),LT_upb),0)</f>
        <v>0.0333740339600937</v>
      </c>
      <c r="M39" s="24" t="n">
        <f aca="false">IFERROR(SUMPRODUCT(LT_incl*(LT_seg=$V39),LT_upb,LT_coupon)/SUMPRODUCT(LT_incl*(LT_seg=$V39)*ISNUMBER(LT_coupon),LT_upb),0)</f>
        <v>0.0698740339600937</v>
      </c>
      <c r="N39" s="23" t="n">
        <f aca="false">IFERROR(SUMPRODUCT(LT_incl*(LT_seg=$V39),LT_upb,LT_ltv_asis)/SUMPRODUCT(LT_incl*(LT_seg=$V39)*ISNUMBER(LT_ltv_asis),LT_upb),0)</f>
        <v>0.69042630981749</v>
      </c>
      <c r="O39" s="23" t="n">
        <f aca="false">IFERROR(SUMPRODUCT(LT_incl*(LT_seg=$V39),LT_upb,LT_ltv_stab)/SUMPRODUCT(LT_incl*(LT_seg=$V39)*ISNUMBER(LT_ltv_stab),LT_upb),0)</f>
        <v>0.657282354321162</v>
      </c>
      <c r="P39" s="25" t="n">
        <f aca="false">IFERROR(SUMPRODUCT(LT_incl*(LT_seg=$V39),LT_upb,LT_seas)/SUMPRODUCT(LT_incl*(LT_seg=$V39)*ISNUMBER(LT_seas),LT_upb),0)</f>
        <v>29.0237626227109</v>
      </c>
      <c r="Q39" s="25" t="n">
        <f aca="false">IFERROR(SUMPRODUCT(LT_incl*(LT_seg=$V39),LT_upb,LT_rti)/SUMPRODUCT(LT_incl*(LT_seg=$V39)*ISNUMBER(LT_rti),LT_upb),0)</f>
        <v>9.42078345431511</v>
      </c>
      <c r="R39" s="25" t="n">
        <f aca="false">IFERROR(SUMPRODUCT(LT_incl*(LT_seg=$V39),LT_upb,LT_rte)/SUMPRODUCT(LT_incl*(LT_seg=$V39)*ISNUMBER(LT_rte),LT_upb),0)</f>
        <v>22.8564035105863</v>
      </c>
      <c r="S39" s="23" t="n">
        <f aca="false">IFERROR(SUMPRODUCT(LT_incl*(LT_seg=$V39),LT_backdebt)/G39,0)</f>
        <v>0.661332415267474</v>
      </c>
      <c r="T39" s="23" t="n">
        <f aca="false">IFERROR(SUMPRODUCT(LT_incl*(LT_seg=$V39),LT_equity,LT_roe)/SUMPRODUCT(LT_incl*(LT_seg=$V39)*ISNUMBER(LT_roe),LT_equity),0)</f>
        <v>0.100307330665403</v>
      </c>
      <c r="V39" s="42" t="s">
        <v>72</v>
      </c>
    </row>
    <row r="40" customFormat="false" ht="15" hidden="false" customHeight="false" outlineLevel="0" collapsed="false">
      <c r="B40" s="43" t="str">
        <f aca="false">V40</f>
        <v>Seniors Housing</v>
      </c>
      <c r="C40" s="44" t="n">
        <f aca="false">SUMPRODUCT(LT_incl*(LT_seg=$V40))</f>
        <v>40</v>
      </c>
      <c r="D40" s="32" t="n">
        <f aca="false">IFERROR(C40/StratLoans,0)</f>
        <v>0.305343511450382</v>
      </c>
      <c r="E40" s="44" t="n">
        <f aca="false">SUMPRODUCT(LT_incl*(LT_seg=$V40),LT_units)</f>
        <v>0</v>
      </c>
      <c r="F40" s="44" t="n">
        <f aca="false">SUMPRODUCT(LT_incl*(LT_seg=$V40),LT_beds)</f>
        <v>8726</v>
      </c>
      <c r="G40" s="31" t="n">
        <f aca="false">SUMPRODUCT(LT_incl*(LT_seg=$V40),LT_upb)</f>
        <v>898169118.97</v>
      </c>
      <c r="H40" s="32" t="n">
        <f aca="false">IFERROR(G40/StratUPB,0)</f>
        <v>0.241690850195853</v>
      </c>
      <c r="I40" s="31" t="n">
        <f aca="false">IFERROR(G40/C40,0)</f>
        <v>22454227.97425</v>
      </c>
      <c r="J40" s="31" t="n">
        <f aca="false">SUMPRODUCT(LT_incl*(LT_seg=$V40),LT_unfunded)</f>
        <v>28598084.46</v>
      </c>
      <c r="K40" s="31" t="n">
        <f aca="false">SUMPRODUCT(LT_incl*(LT_seg=$V40),LT_navres)</f>
        <v>400000</v>
      </c>
      <c r="L40" s="33" t="n">
        <f aca="false">IFERROR(SUMPRODUCT(LT_incl*(LT_seg=$V40),LT_upb,LT_eff)/SUMPRODUCT(LT_incl*(LT_seg=$V40)*ISNUMBER(LT_eff),LT_upb),0)</f>
        <v>0.0524045014323935</v>
      </c>
      <c r="M40" s="33" t="n">
        <f aca="false">IFERROR(SUMPRODUCT(LT_incl*(LT_seg=$V40),LT_upb,LT_coupon)/SUMPRODUCT(LT_incl*(LT_seg=$V40)*ISNUMBER(LT_coupon),LT_upb),0)</f>
        <v>0.0889045014323935</v>
      </c>
      <c r="N40" s="32" t="n">
        <f aca="false">IFERROR(SUMPRODUCT(LT_incl*(LT_seg=$V40),LT_upb,LT_ltv_asis)/SUMPRODUCT(LT_incl*(LT_seg=$V40)*ISNUMBER(LT_ltv_asis),LT_upb),0)</f>
        <v>0.668243678976347</v>
      </c>
      <c r="O40" s="32" t="n">
        <f aca="false">IFERROR(SUMPRODUCT(LT_incl*(LT_seg=$V40),LT_upb,LT_ltv_stab)/SUMPRODUCT(LT_incl*(LT_seg=$V40)*ISNUMBER(LT_ltv_stab),LT_upb),0)</f>
        <v>0.659872968036123</v>
      </c>
      <c r="P40" s="34" t="n">
        <f aca="false">IFERROR(SUMPRODUCT(LT_incl*(LT_seg=$V40),LT_upb,LT_seas)/SUMPRODUCT(LT_incl*(LT_seg=$V40)*ISNUMBER(LT_seas),LT_upb),0)</f>
        <v>15.7733527824031</v>
      </c>
      <c r="Q40" s="34" t="n">
        <f aca="false">IFERROR(SUMPRODUCT(LT_incl*(LT_seg=$V40),LT_upb,LT_rti)/SUMPRODUCT(LT_incl*(LT_seg=$V40)*ISNUMBER(LT_rti),LT_upb),0)</f>
        <v>12.7599878685038</v>
      </c>
      <c r="R40" s="34" t="n">
        <f aca="false">IFERROR(SUMPRODUCT(LT_incl*(LT_seg=$V40),LT_upb,LT_rte)/SUMPRODUCT(LT_incl*(LT_seg=$V40)*ISNUMBER(LT_rte),LT_upb),0)</f>
        <v>22.1139262060847</v>
      </c>
      <c r="S40" s="32" t="n">
        <f aca="false">IFERROR(SUMPRODUCT(LT_incl*(LT_seg=$V40),LT_backdebt)/G40,0)</f>
        <v>0.546669781007827</v>
      </c>
      <c r="T40" s="32" t="n">
        <f aca="false">IFERROR(SUMPRODUCT(LT_incl*(LT_seg=$V40),LT_equity,LT_roe)/SUMPRODUCT(LT_incl*(LT_seg=$V40)*ISNUMBER(LT_roe),LT_equity),0)</f>
        <v>0.124666111134436</v>
      </c>
      <c r="V40" s="42" t="s">
        <v>73</v>
      </c>
    </row>
    <row r="41" customFormat="false" ht="15" hidden="false" customHeight="false" outlineLevel="0" collapsed="false">
      <c r="B41" s="41" t="str">
        <f aca="false">V41</f>
        <v>Mezzanine</v>
      </c>
      <c r="C41" s="26" t="n">
        <f aca="false">SUMPRODUCT(LT_incl*(LT_seg=$V41))</f>
        <v>11</v>
      </c>
      <c r="D41" s="23" t="n">
        <f aca="false">IFERROR(C41/StratLoans,0)</f>
        <v>0.083969465648855</v>
      </c>
      <c r="E41" s="26" t="n">
        <f aca="false">SUMPRODUCT(LT_incl*(LT_seg=$V41),LT_units)</f>
        <v>3621</v>
      </c>
      <c r="F41" s="26" t="n">
        <f aca="false">SUMPRODUCT(LT_incl*(LT_seg=$V41),LT_beds)</f>
        <v>0</v>
      </c>
      <c r="G41" s="22" t="n">
        <f aca="false">SUMPRODUCT(LT_incl*(LT_seg=$V41),LT_upb)</f>
        <v>31547255.4</v>
      </c>
      <c r="H41" s="23" t="n">
        <f aca="false">IFERROR(G41/StratUPB,0)</f>
        <v>0.00848913953723497</v>
      </c>
      <c r="I41" s="22" t="n">
        <f aca="false">IFERROR(G41/C41,0)</f>
        <v>2867932.30909091</v>
      </c>
      <c r="J41" s="22" t="n">
        <f aca="false">SUMPRODUCT(LT_incl*(LT_seg=$V41),LT_unfunded)</f>
        <v>0</v>
      </c>
      <c r="K41" s="22" t="n">
        <f aca="false">SUMPRODUCT(LT_incl*(LT_seg=$V41),LT_navres)</f>
        <v>-357383.067330304</v>
      </c>
      <c r="L41" s="24" t="n">
        <f aca="false">IFERROR(SUMPRODUCT(LT_incl*(LT_seg=$V41),LT_upb,LT_eff)/SUMPRODUCT(LT_incl*(LT_seg=$V41)*ISNUMBER(LT_eff),LT_upb),0)</f>
        <v>0.0848462998131368</v>
      </c>
      <c r="M41" s="24" t="n">
        <f aca="false">IFERROR(SUMPRODUCT(LT_incl*(LT_seg=$V41),LT_upb,LT_coupon)/SUMPRODUCT(LT_incl*(LT_seg=$V41)*ISNUMBER(LT_coupon),LT_upb),0)</f>
        <v>0.121346299813137</v>
      </c>
      <c r="N41" s="23" t="n">
        <f aca="false">IFERROR(SUMPRODUCT(LT_incl*(LT_seg=$V41),LT_upb,LT_ltv_asis)/SUMPRODUCT(LT_incl*(LT_seg=$V41)*ISNUMBER(LT_ltv_asis),LT_upb),0)</f>
        <v>0.793556483107143</v>
      </c>
      <c r="O41" s="23" t="n">
        <f aca="false">IFERROR(SUMPRODUCT(LT_incl*(LT_seg=$V41),LT_upb,LT_ltv_stab)/SUMPRODUCT(LT_incl*(LT_seg=$V41)*ISNUMBER(LT_ltv_stab),LT_upb),0)</f>
        <v>0.782606604652931</v>
      </c>
      <c r="P41" s="25" t="n">
        <f aca="false">IFERROR(SUMPRODUCT(LT_incl*(LT_seg=$V41),LT_upb,LT_seas)/SUMPRODUCT(LT_incl*(LT_seg=$V41)*ISNUMBER(LT_seas),LT_upb),0)</f>
        <v>52.4015585979462</v>
      </c>
      <c r="Q41" s="25" t="n">
        <f aca="false">IFERROR(SUMPRODUCT(LT_incl*(LT_seg=$V41),LT_upb,LT_rti)/SUMPRODUCT(LT_incl*(LT_seg=$V41)*ISNUMBER(LT_rti),LT_upb),0)</f>
        <v>66.9767970517663</v>
      </c>
      <c r="R41" s="25" t="n">
        <f aca="false">IFERROR(SUMPRODUCT(LT_incl*(LT_seg=$V41),LT_upb,LT_rte)/SUMPRODUCT(LT_incl*(LT_seg=$V41)*ISNUMBER(LT_rte),LT_upb),0)</f>
        <v>66.9767970517663</v>
      </c>
      <c r="S41" s="23" t="n">
        <f aca="false">IFERROR(SUMPRODUCT(LT_incl*(LT_seg=$V41),LT_backdebt)/G41,0)</f>
        <v>0</v>
      </c>
      <c r="T41" s="23" t="n">
        <f aca="false">IFERROR(SUMPRODUCT(LT_incl*(LT_seg=$V41),LT_equity,LT_roe)/SUMPRODUCT(LT_incl*(LT_seg=$V41)*ISNUMBER(LT_roe),LT_equity),0)</f>
        <v>0.121346299813137</v>
      </c>
      <c r="V41" s="42" t="s">
        <v>74</v>
      </c>
    </row>
    <row r="42" customFormat="false" ht="15" hidden="false" customHeight="false" outlineLevel="0" collapsed="false">
      <c r="B42" s="27" t="s">
        <v>75</v>
      </c>
      <c r="C42" s="44" t="n">
        <f aca="false">SUMPRODUCT(LT_incl*(1-ISNUMBER(MATCH(LT_seg,$V$39:$V$41,0))))</f>
        <v>0</v>
      </c>
      <c r="D42" s="32" t="n">
        <f aca="false">IFERROR(C42/StratLoans,0)</f>
        <v>0</v>
      </c>
      <c r="E42" s="44" t="n">
        <f aca="false">SUMPRODUCT(LT_incl*(1-ISNUMBER(MATCH(LT_seg,$V$39:$V$41,0))),LT_units)</f>
        <v>0</v>
      </c>
      <c r="F42" s="44" t="n">
        <f aca="false">SUMPRODUCT(LT_incl*(1-ISNUMBER(MATCH(LT_seg,$V$39:$V$41,0))),LT_beds)</f>
        <v>0</v>
      </c>
      <c r="G42" s="31" t="n">
        <f aca="false">SUMPRODUCT(LT_incl*(1-ISNUMBER(MATCH(LT_seg,$V$39:$V$41,0))),LT_upb)</f>
        <v>0</v>
      </c>
      <c r="H42" s="32" t="n">
        <f aca="false">IFERROR(G42/StratUPB,0)</f>
        <v>0</v>
      </c>
      <c r="I42" s="31" t="n">
        <f aca="false">IFERROR(G42/C42,0)</f>
        <v>0</v>
      </c>
      <c r="J42" s="31" t="n">
        <f aca="false">SUMPRODUCT(LT_incl*(1-ISNUMBER(MATCH(LT_seg,$V$39:$V$41,0))),LT_unfunded)</f>
        <v>0</v>
      </c>
      <c r="K42" s="31" t="n">
        <f aca="false">SUMPRODUCT(LT_incl*(1-ISNUMBER(MATCH(LT_seg,$V$39:$V$41,0))),LT_navres)</f>
        <v>0</v>
      </c>
      <c r="L42" s="33" t="n">
        <f aca="false">IFERROR(SUMPRODUCT(LT_incl*(1-ISNUMBER(MATCH(LT_seg,$V$39:$V$41,0))),LT_upb,LT_eff)/SUMPRODUCT(LT_incl*(1-ISNUMBER(MATCH(LT_seg,$V$39:$V$41,0)))*ISNUMBER(LT_eff),LT_upb),0)</f>
        <v>0</v>
      </c>
      <c r="M42" s="33" t="n">
        <f aca="false">IFERROR(SUMPRODUCT(LT_incl*(1-ISNUMBER(MATCH(LT_seg,$V$39:$V$41,0))),LT_upb,LT_coupon)/SUMPRODUCT(LT_incl*(1-ISNUMBER(MATCH(LT_seg,$V$39:$V$41,0)))*ISNUMBER(LT_coupon),LT_upb),0)</f>
        <v>0</v>
      </c>
      <c r="N42" s="32" t="n">
        <f aca="false">IFERROR(SUMPRODUCT(LT_incl*(1-ISNUMBER(MATCH(LT_seg,$V$39:$V$41,0))),LT_upb,LT_ltv_asis)/SUMPRODUCT(LT_incl*(1-ISNUMBER(MATCH(LT_seg,$V$39:$V$41,0)))*ISNUMBER(LT_ltv_asis),LT_upb),0)</f>
        <v>0</v>
      </c>
      <c r="O42" s="32" t="n">
        <f aca="false">IFERROR(SUMPRODUCT(LT_incl*(1-ISNUMBER(MATCH(LT_seg,$V$39:$V$41,0))),LT_upb,LT_ltv_stab)/SUMPRODUCT(LT_incl*(1-ISNUMBER(MATCH(LT_seg,$V$39:$V$41,0)))*ISNUMBER(LT_ltv_stab),LT_upb),0)</f>
        <v>0</v>
      </c>
      <c r="P42" s="34" t="n">
        <f aca="false">IFERROR(SUMPRODUCT(LT_incl*(1-ISNUMBER(MATCH(LT_seg,$V$39:$V$41,0))),LT_upb,LT_seas)/SUMPRODUCT(LT_incl*(1-ISNUMBER(MATCH(LT_seg,$V$39:$V$41,0)))*ISNUMBER(LT_seas),LT_upb),0)</f>
        <v>0</v>
      </c>
      <c r="Q42" s="34" t="n">
        <f aca="false">IFERROR(SUMPRODUCT(LT_incl*(1-ISNUMBER(MATCH(LT_seg,$V$39:$V$41,0))),LT_upb,LT_rti)/SUMPRODUCT(LT_incl*(1-ISNUMBER(MATCH(LT_seg,$V$39:$V$41,0)))*ISNUMBER(LT_rti),LT_upb),0)</f>
        <v>0</v>
      </c>
      <c r="R42" s="34" t="n">
        <f aca="false">IFERROR(SUMPRODUCT(LT_incl*(1-ISNUMBER(MATCH(LT_seg,$V$39:$V$41,0))),LT_upb,LT_rte)/SUMPRODUCT(LT_incl*(1-ISNUMBER(MATCH(LT_seg,$V$39:$V$41,0)))*ISNUMBER(LT_rte),LT_upb),0)</f>
        <v>0</v>
      </c>
      <c r="S42" s="32" t="n">
        <f aca="false">IFERROR(SUMPRODUCT(LT_incl*(1-ISNUMBER(MATCH(LT_seg,$V$39:$V$41,0))),LT_backdebt)/G42,0)</f>
        <v>0</v>
      </c>
      <c r="T42" s="32" t="n">
        <f aca="false">IFERROR(SUMPRODUCT(LT_incl*(1-ISNUMBER(MATCH(LT_seg,$V$39:$V$41,0))),LT_equity,LT_roe)/SUMPRODUCT(LT_incl*(1-ISNUMBER(MATCH(LT_seg,$V$39:$V$41,0)))*ISNUMBER(LT_roe),LT_equity),0)</f>
        <v>0</v>
      </c>
    </row>
    <row r="43" customFormat="false" ht="15" hidden="false" customHeight="false" outlineLevel="0" collapsed="false">
      <c r="B43" s="35" t="s">
        <v>76</v>
      </c>
      <c r="C43" s="45" t="n">
        <f aca="false">SUMPRODUCT(LT_incl*(1))</f>
        <v>131</v>
      </c>
      <c r="D43" s="38" t="n">
        <f aca="false">IFERROR(C43/StratLoans,0)</f>
        <v>1</v>
      </c>
      <c r="E43" s="45" t="n">
        <f aca="false">SUMPRODUCT(LT_incl*(1),LT_units)</f>
        <v>22360</v>
      </c>
      <c r="F43" s="45" t="n">
        <f aca="false">SUMPRODUCT(LT_incl*(1),LT_beds)</f>
        <v>8726</v>
      </c>
      <c r="G43" s="37" t="n">
        <f aca="false">SUMPRODUCT(LT_incl*(1),LT_upb)</f>
        <v>3716189993.3</v>
      </c>
      <c r="H43" s="38" t="n">
        <f aca="false">IFERROR(G43/StratUPB,0)</f>
        <v>1</v>
      </c>
      <c r="I43" s="37" t="n">
        <f aca="false">IFERROR(G43/C43,0)</f>
        <v>28367862.5442748</v>
      </c>
      <c r="J43" s="37" t="n">
        <f aca="false">SUMPRODUCT(LT_incl*(1),LT_unfunded)</f>
        <v>70425498.27</v>
      </c>
      <c r="K43" s="37" t="n">
        <f aca="false">SUMPRODUCT(LT_incl*(1),LT_navres)</f>
        <v>-35761255.0310469</v>
      </c>
      <c r="L43" s="39" t="n">
        <f aca="false">IFERROR(SUMPRODUCT(LT_incl*(1),LT_upb,LT_eff)/SUMPRODUCT(LT_incl*(1)*ISNUMBER(LT_eff),LT_upb),0)</f>
        <v>0.0384104790702225</v>
      </c>
      <c r="M43" s="39" t="n">
        <f aca="false">IFERROR(SUMPRODUCT(LT_incl*(1),LT_upb,LT_coupon)/SUMPRODUCT(LT_incl*(1)*ISNUMBER(LT_coupon),LT_upb),0)</f>
        <v>0.0749104790702225</v>
      </c>
      <c r="N43" s="38" t="n">
        <f aca="false">IFERROR(SUMPRODUCT(LT_incl*(1),LT_upb,LT_ltv_asis)/SUMPRODUCT(LT_incl*(1)*ISNUMBER(LT_ltv_asis),LT_upb),0)</f>
        <v>0.685976245136614</v>
      </c>
      <c r="O43" s="38" t="n">
        <f aca="false">IFERROR(SUMPRODUCT(LT_incl*(1),LT_upb,LT_ltv_stab)/SUMPRODUCT(LT_incl*(1)*ISNUMBER(LT_ltv_stab),LT_upb),0)</f>
        <v>0.658970555756018</v>
      </c>
      <c r="P43" s="40" t="n">
        <f aca="false">IFERROR(SUMPRODUCT(LT_incl*(1),LT_upb,LT_seas)/SUMPRODUCT(LT_incl*(1)*ISNUMBER(LT_seas),LT_upb),0)</f>
        <v>26.0197171750702</v>
      </c>
      <c r="Q43" s="40" t="n">
        <f aca="false">IFERROR(SUMPRODUCT(LT_incl*(1),LT_upb,LT_rti)/SUMPRODUCT(LT_incl*(1)*ISNUMBER(LT_rti),LT_upb),0)</f>
        <v>10.7164396387939</v>
      </c>
      <c r="R43" s="40" t="n">
        <f aca="false">IFERROR(SUMPRODUCT(LT_incl*(1),LT_upb,LT_rte)/SUMPRODUCT(LT_incl*(1)*ISNUMBER(LT_rte),LT_upb),0)</f>
        <v>23.051497716819</v>
      </c>
      <c r="S43" s="38" t="n">
        <f aca="false">IFERROR(SUMPRODUCT(LT_incl*(1),LT_backdebt)/G43,0)</f>
        <v>0.628005362553862</v>
      </c>
      <c r="T43" s="38" t="n">
        <f aca="false">IFERROR(SUMPRODUCT(LT_incl*(1),LT_equity,LT_roe)/SUMPRODUCT(LT_incl*(1)*ISNUMBER(LT_roe),LT_equity),0)</f>
        <v>0.107961987212177</v>
      </c>
    </row>
    <row r="45" customFormat="false" ht="15" hidden="false" customHeight="false" outlineLevel="0" collapsed="false">
      <c r="B45" s="3" t="s">
        <v>77</v>
      </c>
      <c r="C45" s="4"/>
      <c r="D45" s="4"/>
      <c r="E45" s="4"/>
      <c r="F45" s="4"/>
      <c r="G45" s="4"/>
      <c r="H45" s="4"/>
      <c r="I45" s="4"/>
      <c r="J45" s="4"/>
      <c r="K45" s="4"/>
      <c r="L45" s="4"/>
      <c r="M45" s="4"/>
      <c r="N45" s="4"/>
      <c r="O45" s="4"/>
      <c r="P45" s="4"/>
      <c r="Q45" s="4"/>
      <c r="R45" s="4"/>
      <c r="S45" s="4"/>
      <c r="T45" s="4"/>
    </row>
    <row r="46" customFormat="false" ht="39.75" hidden="false" customHeight="true" outlineLevel="0" collapsed="false">
      <c r="B46" s="16" t="s">
        <v>63</v>
      </c>
      <c r="C46" s="17" t="s">
        <v>13</v>
      </c>
      <c r="D46" s="17" t="s">
        <v>64</v>
      </c>
      <c r="E46" s="17" t="s">
        <v>65</v>
      </c>
      <c r="F46" s="17" t="s">
        <v>66</v>
      </c>
      <c r="G46" s="17" t="s">
        <v>16</v>
      </c>
      <c r="H46" s="17" t="s">
        <v>46</v>
      </c>
      <c r="I46" s="17" t="s">
        <v>19</v>
      </c>
      <c r="J46" s="17" t="s">
        <v>28</v>
      </c>
      <c r="K46" s="17" t="s">
        <v>31</v>
      </c>
      <c r="L46" s="17" t="s">
        <v>7</v>
      </c>
      <c r="M46" s="17" t="s">
        <v>11</v>
      </c>
      <c r="N46" s="17" t="s">
        <v>23</v>
      </c>
      <c r="O46" s="17" t="s">
        <v>67</v>
      </c>
      <c r="P46" s="17" t="s">
        <v>5</v>
      </c>
      <c r="Q46" s="17" t="s">
        <v>68</v>
      </c>
      <c r="R46" s="17" t="s">
        <v>69</v>
      </c>
      <c r="S46" s="17" t="s">
        <v>56</v>
      </c>
      <c r="T46" s="17" t="s">
        <v>70</v>
      </c>
      <c r="V46" s="17" t="s">
        <v>71</v>
      </c>
    </row>
    <row r="47" customFormat="false" ht="15" hidden="false" customHeight="false" outlineLevel="0" collapsed="false">
      <c r="B47" s="41" t="str">
        <f aca="false">V47</f>
        <v>Multifamily</v>
      </c>
      <c r="C47" s="26" t="n">
        <f aca="false">SUMPRODUCT(LT_incl*(LT_ptgrp=$V47))</f>
        <v>88</v>
      </c>
      <c r="D47" s="23" t="n">
        <f aca="false">IFERROR(C47/StratLoans,0)</f>
        <v>0.67175572519084</v>
      </c>
      <c r="E47" s="26" t="n">
        <f aca="false">SUMPRODUCT(LT_incl*(LT_ptgrp=$V47),LT_units)</f>
        <v>21992</v>
      </c>
      <c r="F47" s="26" t="n">
        <f aca="false">SUMPRODUCT(LT_incl*(LT_ptgrp=$V47),LT_beds)</f>
        <v>0</v>
      </c>
      <c r="G47" s="22" t="n">
        <f aca="false">SUMPRODUCT(LT_incl*(LT_ptgrp=$V47),LT_upb)</f>
        <v>2813164189.9</v>
      </c>
      <c r="H47" s="23" t="n">
        <f aca="false">IFERROR(G47/StratUPB,0)</f>
        <v>0.757002250953777</v>
      </c>
      <c r="I47" s="22" t="n">
        <f aca="false">IFERROR(G47/C47,0)</f>
        <v>31967774.8852273</v>
      </c>
      <c r="J47" s="22" t="n">
        <f aca="false">SUMPRODUCT(LT_incl*(LT_ptgrp=$V47),LT_unfunded)</f>
        <v>41827413.81</v>
      </c>
      <c r="K47" s="22" t="n">
        <f aca="false">SUMPRODUCT(LT_incl*(LT_ptgrp=$V47),LT_navres)</f>
        <v>-36161255.0310469</v>
      </c>
      <c r="L47" s="24" t="n">
        <f aca="false">IFERROR(SUMPRODUCT(LT_incl*(LT_ptgrp=$V47),LT_upb,LT_eff)/SUMPRODUCT(LT_incl*(LT_ptgrp=$V47)*ISNUMBER(LT_eff),LT_upb),0)</f>
        <v>0.0338598088959948</v>
      </c>
      <c r="M47" s="24" t="n">
        <f aca="false">IFERROR(SUMPRODUCT(LT_incl*(LT_ptgrp=$V47),LT_upb,LT_coupon)/SUMPRODUCT(LT_incl*(LT_ptgrp=$V47)*ISNUMBER(LT_coupon),LT_upb),0)</f>
        <v>0.0703598088959948</v>
      </c>
      <c r="N47" s="23" t="n">
        <f aca="false">IFERROR(SUMPRODUCT(LT_incl*(LT_ptgrp=$V47),LT_upb,LT_ltv_asis)/SUMPRODUCT(LT_incl*(LT_ptgrp=$V47)*ISNUMBER(LT_ltv_asis),LT_upb),0)</f>
        <v>0.691527121047168</v>
      </c>
      <c r="O47" s="23" t="n">
        <f aca="false">IFERROR(SUMPRODUCT(LT_incl*(LT_ptgrp=$V47),LT_upb,LT_ltv_stab)/SUMPRODUCT(LT_incl*(LT_ptgrp=$V47)*ISNUMBER(LT_ltv_stab),LT_upb),0)</f>
        <v>0.658487481150896</v>
      </c>
      <c r="P47" s="25" t="n">
        <f aca="false">IFERROR(SUMPRODUCT(LT_incl*(LT_ptgrp=$V47),LT_upb,LT_seas)/SUMPRODUCT(LT_incl*(LT_ptgrp=$V47)*ISNUMBER(LT_seas),LT_upb),0)</f>
        <v>29.1699881563731</v>
      </c>
      <c r="Q47" s="25" t="n">
        <f aca="false">IFERROR(SUMPRODUCT(LT_incl*(LT_ptgrp=$V47),LT_upb,LT_rti)/SUMPRODUCT(LT_incl*(LT_ptgrp=$V47)*ISNUMBER(LT_rti),LT_upb),0)</f>
        <v>10.0407306138991</v>
      </c>
      <c r="R47" s="25" t="n">
        <f aca="false">IFERROR(SUMPRODUCT(LT_incl*(LT_ptgrp=$V47),LT_upb,LT_rte)/SUMPRODUCT(LT_incl*(LT_ptgrp=$V47)*ISNUMBER(LT_rte),LT_upb),0)</f>
        <v>23.3488769976682</v>
      </c>
      <c r="S47" s="23" t="n">
        <f aca="false">IFERROR(SUMPRODUCT(LT_incl*(LT_ptgrp=$V47),LT_backdebt)/G47,0)</f>
        <v>0.655057865126451</v>
      </c>
      <c r="T47" s="23" t="n">
        <f aca="false">IFERROR(SUMPRODUCT(LT_incl*(LT_ptgrp=$V47),LT_equity,LT_roe)/SUMPRODUCT(LT_incl*(LT_ptgrp=$V47)*ISNUMBER(LT_roe),LT_equity),0)</f>
        <v>0.100878532914859</v>
      </c>
      <c r="V47" s="42" t="s">
        <v>72</v>
      </c>
    </row>
    <row r="48" customFormat="false" ht="15" hidden="false" customHeight="false" outlineLevel="0" collapsed="false">
      <c r="B48" s="43" t="str">
        <f aca="false">V48</f>
        <v>Skilled Nursing</v>
      </c>
      <c r="C48" s="44" t="n">
        <f aca="false">SUMPRODUCT(LT_incl*(LT_ptgrp=$V48))</f>
        <v>17</v>
      </c>
      <c r="D48" s="32" t="n">
        <f aca="false">IFERROR(C48/StratLoans,0)</f>
        <v>0.129770992366412</v>
      </c>
      <c r="E48" s="44" t="n">
        <f aca="false">SUMPRODUCT(LT_incl*(LT_ptgrp=$V48),LT_units)</f>
        <v>0</v>
      </c>
      <c r="F48" s="44" t="n">
        <f aca="false">SUMPRODUCT(LT_incl*(LT_ptgrp=$V48),LT_beds)</f>
        <v>4140</v>
      </c>
      <c r="G48" s="31" t="n">
        <f aca="false">SUMPRODUCT(LT_incl*(LT_ptgrp=$V48),LT_upb)</f>
        <v>399566524.54</v>
      </c>
      <c r="H48" s="32" t="n">
        <f aca="false">IFERROR(G48/StratUPB,0)</f>
        <v>0.107520478032713</v>
      </c>
      <c r="I48" s="31" t="n">
        <f aca="false">IFERROR(G48/C48,0)</f>
        <v>23503913.2082353</v>
      </c>
      <c r="J48" s="31" t="n">
        <f aca="false">SUMPRODUCT(LT_incl*(LT_ptgrp=$V48),LT_unfunded)</f>
        <v>16408084.46</v>
      </c>
      <c r="K48" s="31" t="n">
        <f aca="false">SUMPRODUCT(LT_incl*(LT_ptgrp=$V48),LT_navres)</f>
        <v>400000</v>
      </c>
      <c r="L48" s="33" t="n">
        <f aca="false">IFERROR(SUMPRODUCT(LT_incl*(LT_ptgrp=$V48),LT_upb,LT_eff)/SUMPRODUCT(LT_incl*(LT_ptgrp=$V48)*ISNUMBER(LT_eff),LT_upb),0)</f>
        <v>0.0538250532289449</v>
      </c>
      <c r="M48" s="33" t="n">
        <f aca="false">IFERROR(SUMPRODUCT(LT_incl*(LT_ptgrp=$V48),LT_upb,LT_coupon)/SUMPRODUCT(LT_incl*(LT_ptgrp=$V48)*ISNUMBER(LT_coupon),LT_upb),0)</f>
        <v>0.0903250532289449</v>
      </c>
      <c r="N48" s="32" t="n">
        <f aca="false">IFERROR(SUMPRODUCT(LT_incl*(LT_ptgrp=$V48),LT_upb,LT_ltv_asis)/SUMPRODUCT(LT_incl*(LT_ptgrp=$V48)*ISNUMBER(LT_ltv_asis),LT_upb),0)</f>
        <v>0.674034454421573</v>
      </c>
      <c r="O48" s="32" t="n">
        <f aca="false">IFERROR(SUMPRODUCT(LT_incl*(LT_ptgrp=$V48),LT_upb,LT_ltv_stab)/SUMPRODUCT(LT_incl*(LT_ptgrp=$V48)*ISNUMBER(LT_ltv_stab),LT_upb),0)</f>
        <v>0.673109081034724</v>
      </c>
      <c r="P48" s="34" t="n">
        <f aca="false">IFERROR(SUMPRODUCT(LT_incl*(LT_ptgrp=$V48),LT_upb,LT_seas)/SUMPRODUCT(LT_incl*(LT_ptgrp=$V48)*ISNUMBER(LT_seas),LT_upb),0)</f>
        <v>20.6276755245309</v>
      </c>
      <c r="Q48" s="34" t="n">
        <f aca="false">IFERROR(SUMPRODUCT(LT_incl*(LT_ptgrp=$V48),LT_upb,LT_rti)/SUMPRODUCT(LT_incl*(LT_ptgrp=$V48)*ISNUMBER(LT_rti),LT_upb),0)</f>
        <v>8.18528736494456</v>
      </c>
      <c r="R48" s="34" t="n">
        <f aca="false">IFERROR(SUMPRODUCT(LT_incl*(LT_ptgrp=$V48),LT_upb,LT_rte)/SUMPRODUCT(LT_incl*(LT_ptgrp=$V48)*ISNUMBER(LT_rte),LT_upb),0)</f>
        <v>17.7106652094176</v>
      </c>
      <c r="S48" s="32" t="n">
        <f aca="false">IFERROR(SUMPRODUCT(LT_incl*(LT_ptgrp=$V48),LT_backdebt)/G48,0)</f>
        <v>0.46074532001225</v>
      </c>
      <c r="T48" s="32" t="n">
        <f aca="false">IFERROR(SUMPRODUCT(LT_incl*(LT_ptgrp=$V48),LT_equity,LT_roe)/SUMPRODUCT(LT_incl*(LT_ptgrp=$V48)*ISNUMBER(LT_roe),LT_equity),0)</f>
        <v>0.118005517039621</v>
      </c>
      <c r="V48" s="42" t="s">
        <v>78</v>
      </c>
    </row>
    <row r="49" customFormat="false" ht="15" hidden="false" customHeight="false" outlineLevel="0" collapsed="false">
      <c r="B49" s="41" t="str">
        <f aca="false">V49</f>
        <v>Assisted Living / Memory Care</v>
      </c>
      <c r="C49" s="26" t="n">
        <f aca="false">SUMPRODUCT(LT_incl*(LT_ptgrp=$V49))</f>
        <v>15</v>
      </c>
      <c r="D49" s="23" t="n">
        <f aca="false">IFERROR(C49/StratLoans,0)</f>
        <v>0.114503816793893</v>
      </c>
      <c r="E49" s="26" t="n">
        <f aca="false">SUMPRODUCT(LT_incl*(LT_ptgrp=$V49),LT_units)</f>
        <v>0</v>
      </c>
      <c r="F49" s="26" t="n">
        <f aca="false">SUMPRODUCT(LT_incl*(LT_ptgrp=$V49),LT_beds)</f>
        <v>2181</v>
      </c>
      <c r="G49" s="22" t="n">
        <f aca="false">SUMPRODUCT(LT_incl*(LT_ptgrp=$V49),LT_upb)</f>
        <v>305034500</v>
      </c>
      <c r="H49" s="23" t="n">
        <f aca="false">IFERROR(G49/StratUPB,0)</f>
        <v>0.0820825901124413</v>
      </c>
      <c r="I49" s="22" t="n">
        <f aca="false">IFERROR(G49/C49,0)</f>
        <v>20335633.3333333</v>
      </c>
      <c r="J49" s="22" t="n">
        <f aca="false">SUMPRODUCT(LT_incl*(LT_ptgrp=$V49),LT_unfunded)</f>
        <v>12190000</v>
      </c>
      <c r="K49" s="22" t="n">
        <f aca="false">SUMPRODUCT(LT_incl*(LT_ptgrp=$V49),LT_navres)</f>
        <v>0</v>
      </c>
      <c r="L49" s="24" t="n">
        <f aca="false">IFERROR(SUMPRODUCT(LT_incl*(LT_ptgrp=$V49),LT_upb,LT_eff)/SUMPRODUCT(LT_incl*(LT_ptgrp=$V49)*ISNUMBER(LT_eff),LT_upb),0)</f>
        <v>0.0498833082815223</v>
      </c>
      <c r="M49" s="24" t="n">
        <f aca="false">IFERROR(SUMPRODUCT(LT_incl*(LT_ptgrp=$V49),LT_upb,LT_coupon)/SUMPRODUCT(LT_incl*(LT_ptgrp=$V49)*ISNUMBER(LT_coupon),LT_upb),0)</f>
        <v>0.0863833082815223</v>
      </c>
      <c r="N49" s="23" t="n">
        <f aca="false">IFERROR(SUMPRODUCT(LT_incl*(LT_ptgrp=$V49),LT_upb,LT_ltv_asis)/SUMPRODUCT(LT_incl*(LT_ptgrp=$V49)*ISNUMBER(LT_ltv_asis),LT_upb),0)</f>
        <v>0.642536134574421</v>
      </c>
      <c r="O49" s="23" t="n">
        <f aca="false">IFERROR(SUMPRODUCT(LT_incl*(LT_ptgrp=$V49),LT_upb,LT_ltv_stab)/SUMPRODUCT(LT_incl*(LT_ptgrp=$V49)*ISNUMBER(LT_ltv_stab),LT_upb),0)</f>
        <v>0.651312426876095</v>
      </c>
      <c r="P49" s="25" t="n">
        <f aca="false">IFERROR(SUMPRODUCT(LT_incl*(LT_ptgrp=$V49),LT_upb,LT_seas)/SUMPRODUCT(LT_incl*(LT_ptgrp=$V49)*ISNUMBER(LT_seas),LT_upb),0)</f>
        <v>11.4662370890198</v>
      </c>
      <c r="Q49" s="25" t="n">
        <f aca="false">IFERROR(SUMPRODUCT(LT_incl*(LT_ptgrp=$V49),LT_upb,LT_rti)/SUMPRODUCT(LT_incl*(LT_ptgrp=$V49)*ISNUMBER(LT_rti),LT_upb),0)</f>
        <v>17.5030803648652</v>
      </c>
      <c r="R49" s="25" t="n">
        <f aca="false">IFERROR(SUMPRODUCT(LT_incl*(LT_ptgrp=$V49),LT_upb,LT_rte)/SUMPRODUCT(LT_incl*(LT_ptgrp=$V49)*ISNUMBER(LT_rte),LT_upb),0)</f>
        <v>26.5627380089362</v>
      </c>
      <c r="S49" s="23" t="n">
        <f aca="false">IFERROR(SUMPRODUCT(LT_incl*(LT_ptgrp=$V49),LT_backdebt)/G49,0)</f>
        <v>0.574741257981569</v>
      </c>
      <c r="T49" s="23" t="n">
        <f aca="false">IFERROR(SUMPRODUCT(LT_incl*(LT_ptgrp=$V49),LT_equity,LT_roe)/SUMPRODUCT(LT_incl*(LT_ptgrp=$V49)*ISNUMBER(LT_roe),LT_equity),0)</f>
        <v>0.118658363899572</v>
      </c>
      <c r="V49" s="42" t="s">
        <v>79</v>
      </c>
    </row>
    <row r="50" customFormat="false" ht="15" hidden="false" customHeight="false" outlineLevel="0" collapsed="false">
      <c r="B50" s="43" t="str">
        <f aca="false">V50</f>
        <v>Mixed SNF / Senior Living</v>
      </c>
      <c r="C50" s="44" t="n">
        <f aca="false">SUMPRODUCT(LT_incl*(LT_ptgrp=$V50))</f>
        <v>8</v>
      </c>
      <c r="D50" s="32" t="n">
        <f aca="false">IFERROR(C50/StratLoans,0)</f>
        <v>0.0610687022900763</v>
      </c>
      <c r="E50" s="44" t="n">
        <f aca="false">SUMPRODUCT(LT_incl*(LT_ptgrp=$V50),LT_units)</f>
        <v>0</v>
      </c>
      <c r="F50" s="44" t="n">
        <f aca="false">SUMPRODUCT(LT_incl*(LT_ptgrp=$V50),LT_beds)</f>
        <v>2405</v>
      </c>
      <c r="G50" s="31" t="n">
        <f aca="false">SUMPRODUCT(LT_incl*(LT_ptgrp=$V50),LT_upb)</f>
        <v>193568094.43</v>
      </c>
      <c r="H50" s="32" t="n">
        <f aca="false">IFERROR(G50/StratUPB,0)</f>
        <v>0.0520877820506993</v>
      </c>
      <c r="I50" s="31" t="n">
        <f aca="false">IFERROR(G50/C50,0)</f>
        <v>24196011.80375</v>
      </c>
      <c r="J50" s="31" t="n">
        <f aca="false">SUMPRODUCT(LT_incl*(LT_ptgrp=$V50),LT_unfunded)</f>
        <v>0</v>
      </c>
      <c r="K50" s="31" t="n">
        <f aca="false">SUMPRODUCT(LT_incl*(LT_ptgrp=$V50),LT_navres)</f>
        <v>0</v>
      </c>
      <c r="L50" s="33" t="n">
        <f aca="false">IFERROR(SUMPRODUCT(LT_incl*(LT_ptgrp=$V50),LT_upb,LT_eff)/SUMPRODUCT(LT_incl*(LT_ptgrp=$V50)*ISNUMBER(LT_eff),LT_upb),0)</f>
        <v>0.053445199531404</v>
      </c>
      <c r="M50" s="33" t="n">
        <f aca="false">IFERROR(SUMPRODUCT(LT_incl*(LT_ptgrp=$V50),LT_upb,LT_coupon)/SUMPRODUCT(LT_incl*(LT_ptgrp=$V50)*ISNUMBER(LT_coupon),LT_upb),0)</f>
        <v>0.089945199531404</v>
      </c>
      <c r="N50" s="32" t="n">
        <f aca="false">IFERROR(SUMPRODUCT(LT_incl*(LT_ptgrp=$V50),LT_upb,LT_ltv_asis)/SUMPRODUCT(LT_incl*(LT_ptgrp=$V50)*ISNUMBER(LT_ltv_asis),LT_upb),0)</f>
        <v>0.697025895209214</v>
      </c>
      <c r="O50" s="32" t="n">
        <f aca="false">IFERROR(SUMPRODUCT(LT_incl*(LT_ptgrp=$V50),LT_upb,LT_ltv_stab)/SUMPRODUCT(LT_incl*(LT_ptgrp=$V50)*ISNUMBER(LT_ltv_stab),LT_upb),0)</f>
        <v>0.646553745997524</v>
      </c>
      <c r="P50" s="34" t="n">
        <f aca="false">IFERROR(SUMPRODUCT(LT_incl*(LT_ptgrp=$V50),LT_upb,LT_seas)/SUMPRODUCT(LT_incl*(LT_ptgrp=$V50)*ISNUMBER(LT_seas),LT_upb),0)</f>
        <v>12.5403510476028</v>
      </c>
      <c r="Q50" s="34" t="n">
        <f aca="false">IFERROR(SUMPRODUCT(LT_incl*(LT_ptgrp=$V50),LT_upb,LT_rti)/SUMPRODUCT(LT_incl*(LT_ptgrp=$V50)*ISNUMBER(LT_rti),LT_upb),0)</f>
        <v>14.7287541264939</v>
      </c>
      <c r="R50" s="34" t="n">
        <f aca="false">IFERROR(SUMPRODUCT(LT_incl*(LT_ptgrp=$V50),LT_upb,LT_rte)/SUMPRODUCT(LT_incl*(LT_ptgrp=$V50)*ISNUMBER(LT_rte),LT_upb),0)</f>
        <v>24.1925467059593</v>
      </c>
      <c r="S50" s="32" t="n">
        <f aca="false">IFERROR(SUMPRODUCT(LT_incl*(LT_ptgrp=$V50),LT_backdebt)/G50,0)</f>
        <v>0.679800033624677</v>
      </c>
      <c r="T50" s="32" t="n">
        <f aca="false">IFERROR(SUMPRODUCT(LT_incl*(LT_ptgrp=$V50),LT_equity,LT_roe)/SUMPRODUCT(LT_incl*(LT_ptgrp=$V50)*ISNUMBER(LT_roe),LT_equity),0)</f>
        <v>0.160394481490038</v>
      </c>
      <c r="V50" s="42" t="s">
        <v>80</v>
      </c>
    </row>
    <row r="51" customFormat="false" ht="15" hidden="false" customHeight="false" outlineLevel="0" collapsed="false">
      <c r="B51" s="41" t="str">
        <f aca="false">V51</f>
        <v>Retail</v>
      </c>
      <c r="C51" s="26" t="n">
        <f aca="false">SUMPRODUCT(LT_incl*(LT_ptgrp=$V51))</f>
        <v>1</v>
      </c>
      <c r="D51" s="23" t="n">
        <f aca="false">IFERROR(C51/StratLoans,0)</f>
        <v>0.00763358778625954</v>
      </c>
      <c r="E51" s="26" t="n">
        <f aca="false">SUMPRODUCT(LT_incl*(LT_ptgrp=$V51),LT_units)</f>
        <v>0</v>
      </c>
      <c r="F51" s="26" t="n">
        <f aca="false">SUMPRODUCT(LT_incl*(LT_ptgrp=$V51),LT_beds)</f>
        <v>0</v>
      </c>
      <c r="G51" s="22" t="n">
        <f aca="false">SUMPRODUCT(LT_incl*(LT_ptgrp=$V51),LT_upb)</f>
        <v>2759612.81</v>
      </c>
      <c r="H51" s="23" t="n">
        <f aca="false">IFERROR(G51/StratUPB,0)</f>
        <v>0.000742591959769378</v>
      </c>
      <c r="I51" s="22" t="n">
        <f aca="false">IFERROR(G51/C51,0)</f>
        <v>2759612.81</v>
      </c>
      <c r="J51" s="22" t="n">
        <f aca="false">SUMPRODUCT(LT_incl*(LT_ptgrp=$V51),LT_unfunded)</f>
        <v>0</v>
      </c>
      <c r="K51" s="22" t="n">
        <f aca="false">SUMPRODUCT(LT_incl*(LT_ptgrp=$V51),LT_navres)</f>
        <v>0</v>
      </c>
      <c r="L51" s="24" t="n">
        <f aca="false">IFERROR(SUMPRODUCT(LT_incl*(LT_ptgrp=$V51),LT_upb,LT_eff)/SUMPRODUCT(LT_incl*(LT_ptgrp=$V51)*ISNUMBER(LT_eff),LT_upb),0)</f>
        <v>0.0885</v>
      </c>
      <c r="M51" s="24" t="n">
        <f aca="false">IFERROR(SUMPRODUCT(LT_incl*(LT_ptgrp=$V51),LT_upb,LT_coupon)/SUMPRODUCT(LT_incl*(LT_ptgrp=$V51)*ISNUMBER(LT_coupon),LT_upb),0)</f>
        <v>0.125</v>
      </c>
      <c r="N51" s="23" t="n">
        <f aca="false">IFERROR(SUMPRODUCT(LT_incl*(LT_ptgrp=$V51),LT_upb,LT_ltv_asis)/SUMPRODUCT(LT_incl*(LT_ptgrp=$V51)*ISNUMBER(LT_ltv_asis),LT_upb),0)</f>
        <v>0.768789755011136</v>
      </c>
      <c r="O51" s="23" t="n">
        <f aca="false">IFERROR(SUMPRODUCT(LT_incl*(LT_ptgrp=$V51),LT_upb,LT_ltv_stab)/SUMPRODUCT(LT_incl*(LT_ptgrp=$V51)*ISNUMBER(LT_ltv_stab),LT_upb),0)</f>
        <v>0.835189309576838</v>
      </c>
      <c r="P51" s="25" t="n">
        <f aca="false">IFERROR(SUMPRODUCT(LT_incl*(LT_ptgrp=$V51),LT_upb,LT_seas)/SUMPRODUCT(LT_incl*(LT_ptgrp=$V51)*ISNUMBER(LT_seas),LT_upb),0)</f>
        <v>93.1088295687885</v>
      </c>
      <c r="Q51" s="25" t="n">
        <f aca="false">IFERROR(SUMPRODUCT(LT_incl*(LT_ptgrp=$V51),LT_upb,LT_rti)/SUMPRODUCT(LT_incl*(LT_ptgrp=$V51)*ISNUMBER(LT_rti),LT_upb),0)</f>
        <v>27.2361396303902</v>
      </c>
      <c r="R51" s="25" t="n">
        <f aca="false">IFERROR(SUMPRODUCT(LT_incl*(LT_ptgrp=$V51),LT_upb,LT_rte)/SUMPRODUCT(LT_incl*(LT_ptgrp=$V51)*ISNUMBER(LT_rte),LT_upb),0)</f>
        <v>27.2361396303902</v>
      </c>
      <c r="S51" s="23" t="n">
        <f aca="false">IFERROR(SUMPRODUCT(LT_incl*(LT_ptgrp=$V51),LT_backdebt)/G51,0)</f>
        <v>0</v>
      </c>
      <c r="T51" s="23" t="n">
        <f aca="false">IFERROR(SUMPRODUCT(LT_incl*(LT_ptgrp=$V51),LT_equity,LT_roe)/SUMPRODUCT(LT_incl*(LT_ptgrp=$V51)*ISNUMBER(LT_roe),LT_equity),0)</f>
        <v>0.125</v>
      </c>
      <c r="V51" s="42" t="s">
        <v>81</v>
      </c>
    </row>
    <row r="52" customFormat="false" ht="15" hidden="false" customHeight="false" outlineLevel="0" collapsed="false">
      <c r="B52" s="43" t="str">
        <f aca="false">V52</f>
        <v>Hospitality</v>
      </c>
      <c r="C52" s="44" t="n">
        <f aca="false">SUMPRODUCT(LT_incl*(LT_ptgrp=$V52))</f>
        <v>2</v>
      </c>
      <c r="D52" s="32" t="n">
        <f aca="false">IFERROR(C52/StratLoans,0)</f>
        <v>0.0152671755725191</v>
      </c>
      <c r="E52" s="44" t="n">
        <f aca="false">SUMPRODUCT(LT_incl*(LT_ptgrp=$V52),LT_units)</f>
        <v>368</v>
      </c>
      <c r="F52" s="44" t="n">
        <f aca="false">SUMPRODUCT(LT_incl*(LT_ptgrp=$V52),LT_beds)</f>
        <v>0</v>
      </c>
      <c r="G52" s="31" t="n">
        <f aca="false">SUMPRODUCT(LT_incl*(LT_ptgrp=$V52),LT_upb)</f>
        <v>2097071.62</v>
      </c>
      <c r="H52" s="32" t="n">
        <f aca="false">IFERROR(G52/StratUPB,0)</f>
        <v>0.00056430689060055</v>
      </c>
      <c r="I52" s="31" t="n">
        <f aca="false">IFERROR(G52/C52,0)</f>
        <v>1048535.81</v>
      </c>
      <c r="J52" s="31" t="n">
        <f aca="false">SUMPRODUCT(LT_incl*(LT_ptgrp=$V52),LT_unfunded)</f>
        <v>0</v>
      </c>
      <c r="K52" s="31" t="n">
        <f aca="false">SUMPRODUCT(LT_incl*(LT_ptgrp=$V52),LT_navres)</f>
        <v>0</v>
      </c>
      <c r="L52" s="33" t="n">
        <f aca="false">IFERROR(SUMPRODUCT(LT_incl*(LT_ptgrp=$V52),LT_upb,LT_eff)/SUMPRODUCT(LT_incl*(LT_ptgrp=$V52)*ISNUMBER(LT_eff),LT_upb),0)</f>
        <v>0.0835</v>
      </c>
      <c r="M52" s="33" t="n">
        <f aca="false">IFERROR(SUMPRODUCT(LT_incl*(LT_ptgrp=$V52),LT_upb,LT_coupon)/SUMPRODUCT(LT_incl*(LT_ptgrp=$V52)*ISNUMBER(LT_coupon),LT_upb),0)</f>
        <v>0.12</v>
      </c>
      <c r="N52" s="32" t="n">
        <f aca="false">IFERROR(SUMPRODUCT(LT_incl*(LT_ptgrp=$V52),LT_upb,LT_ltv_asis)/SUMPRODUCT(LT_incl*(LT_ptgrp=$V52)*ISNUMBER(LT_ltv_asis),LT_upb),0)</f>
        <v>0.662033582750871</v>
      </c>
      <c r="O52" s="32" t="n">
        <f aca="false">IFERROR(SUMPRODUCT(LT_incl*(LT_ptgrp=$V52),LT_upb,LT_ltv_stab)/SUMPRODUCT(LT_incl*(LT_ptgrp=$V52)*ISNUMBER(LT_ltv_stab),LT_upb),0)</f>
        <v>0.691836338044971</v>
      </c>
      <c r="P52" s="34" t="n">
        <f aca="false">IFERROR(SUMPRODUCT(LT_incl*(LT_ptgrp=$V52),LT_upb,LT_seas)/SUMPRODUCT(LT_incl*(LT_ptgrp=$V52)*ISNUMBER(LT_seas),LT_upb),0)</f>
        <v>100.217751552082</v>
      </c>
      <c r="Q52" s="34" t="n">
        <f aca="false">IFERROR(SUMPRODUCT(LT_incl*(LT_ptgrp=$V52),LT_upb,LT_rti)/SUMPRODUCT(LT_incl*(LT_ptgrp=$V52)*ISNUMBER(LT_rti),LT_upb),0)</f>
        <v>20.1775103392522</v>
      </c>
      <c r="R52" s="34" t="n">
        <f aca="false">IFERROR(SUMPRODUCT(LT_incl*(LT_ptgrp=$V52),LT_upb,LT_rte)/SUMPRODUCT(LT_incl*(LT_ptgrp=$V52)*ISNUMBER(LT_rte),LT_upb),0)</f>
        <v>20.1775103392522</v>
      </c>
      <c r="S52" s="32" t="n">
        <f aca="false">IFERROR(SUMPRODUCT(LT_incl*(LT_ptgrp=$V52),LT_backdebt)/G52,0)</f>
        <v>0</v>
      </c>
      <c r="T52" s="32" t="n">
        <f aca="false">IFERROR(SUMPRODUCT(LT_incl*(LT_ptgrp=$V52),LT_equity,LT_roe)/SUMPRODUCT(LT_incl*(LT_ptgrp=$V52)*ISNUMBER(LT_roe),LT_equity),0)</f>
        <v>0.12</v>
      </c>
      <c r="V52" s="42" t="s">
        <v>82</v>
      </c>
    </row>
    <row r="53" customFormat="false" ht="15" hidden="false" customHeight="false" outlineLevel="0" collapsed="false">
      <c r="B53" s="18" t="s">
        <v>75</v>
      </c>
      <c r="C53" s="26" t="n">
        <f aca="false">SUMPRODUCT(LT_incl*(1-ISNUMBER(MATCH(LT_ptgrp,$V$47:$V$52,0))))</f>
        <v>0</v>
      </c>
      <c r="D53" s="23" t="n">
        <f aca="false">IFERROR(C53/StratLoans,0)</f>
        <v>0</v>
      </c>
      <c r="E53" s="26" t="n">
        <f aca="false">SUMPRODUCT(LT_incl*(1-ISNUMBER(MATCH(LT_ptgrp,$V$47:$V$52,0))),LT_units)</f>
        <v>0</v>
      </c>
      <c r="F53" s="26" t="n">
        <f aca="false">SUMPRODUCT(LT_incl*(1-ISNUMBER(MATCH(LT_ptgrp,$V$47:$V$52,0))),LT_beds)</f>
        <v>0</v>
      </c>
      <c r="G53" s="22" t="n">
        <f aca="false">SUMPRODUCT(LT_incl*(1-ISNUMBER(MATCH(LT_ptgrp,$V$47:$V$52,0))),LT_upb)</f>
        <v>0</v>
      </c>
      <c r="H53" s="23" t="n">
        <f aca="false">IFERROR(G53/StratUPB,0)</f>
        <v>0</v>
      </c>
      <c r="I53" s="22" t="n">
        <f aca="false">IFERROR(G53/C53,0)</f>
        <v>0</v>
      </c>
      <c r="J53" s="22" t="n">
        <f aca="false">SUMPRODUCT(LT_incl*(1-ISNUMBER(MATCH(LT_ptgrp,$V$47:$V$52,0))),LT_unfunded)</f>
        <v>0</v>
      </c>
      <c r="K53" s="22" t="n">
        <f aca="false">SUMPRODUCT(LT_incl*(1-ISNUMBER(MATCH(LT_ptgrp,$V$47:$V$52,0))),LT_navres)</f>
        <v>0</v>
      </c>
      <c r="L53" s="24" t="n">
        <f aca="false">IFERROR(SUMPRODUCT(LT_incl*(1-ISNUMBER(MATCH(LT_ptgrp,$V$47:$V$52,0))),LT_upb,LT_eff)/SUMPRODUCT(LT_incl*(1-ISNUMBER(MATCH(LT_ptgrp,$V$47:$V$52,0)))*ISNUMBER(LT_eff),LT_upb),0)</f>
        <v>0</v>
      </c>
      <c r="M53" s="24" t="n">
        <f aca="false">IFERROR(SUMPRODUCT(LT_incl*(1-ISNUMBER(MATCH(LT_ptgrp,$V$47:$V$52,0))),LT_upb,LT_coupon)/SUMPRODUCT(LT_incl*(1-ISNUMBER(MATCH(LT_ptgrp,$V$47:$V$52,0)))*ISNUMBER(LT_coupon),LT_upb),0)</f>
        <v>0</v>
      </c>
      <c r="N53" s="23" t="n">
        <f aca="false">IFERROR(SUMPRODUCT(LT_incl*(1-ISNUMBER(MATCH(LT_ptgrp,$V$47:$V$52,0))),LT_upb,LT_ltv_asis)/SUMPRODUCT(LT_incl*(1-ISNUMBER(MATCH(LT_ptgrp,$V$47:$V$52,0)))*ISNUMBER(LT_ltv_asis),LT_upb),0)</f>
        <v>0</v>
      </c>
      <c r="O53" s="23" t="n">
        <f aca="false">IFERROR(SUMPRODUCT(LT_incl*(1-ISNUMBER(MATCH(LT_ptgrp,$V$47:$V$52,0))),LT_upb,LT_ltv_stab)/SUMPRODUCT(LT_incl*(1-ISNUMBER(MATCH(LT_ptgrp,$V$47:$V$52,0)))*ISNUMBER(LT_ltv_stab),LT_upb),0)</f>
        <v>0</v>
      </c>
      <c r="P53" s="25" t="n">
        <f aca="false">IFERROR(SUMPRODUCT(LT_incl*(1-ISNUMBER(MATCH(LT_ptgrp,$V$47:$V$52,0))),LT_upb,LT_seas)/SUMPRODUCT(LT_incl*(1-ISNUMBER(MATCH(LT_ptgrp,$V$47:$V$52,0)))*ISNUMBER(LT_seas),LT_upb),0)</f>
        <v>0</v>
      </c>
      <c r="Q53" s="25" t="n">
        <f aca="false">IFERROR(SUMPRODUCT(LT_incl*(1-ISNUMBER(MATCH(LT_ptgrp,$V$47:$V$52,0))),LT_upb,LT_rti)/SUMPRODUCT(LT_incl*(1-ISNUMBER(MATCH(LT_ptgrp,$V$47:$V$52,0)))*ISNUMBER(LT_rti),LT_upb),0)</f>
        <v>0</v>
      </c>
      <c r="R53" s="25" t="n">
        <f aca="false">IFERROR(SUMPRODUCT(LT_incl*(1-ISNUMBER(MATCH(LT_ptgrp,$V$47:$V$52,0))),LT_upb,LT_rte)/SUMPRODUCT(LT_incl*(1-ISNUMBER(MATCH(LT_ptgrp,$V$47:$V$52,0)))*ISNUMBER(LT_rte),LT_upb),0)</f>
        <v>0</v>
      </c>
      <c r="S53" s="23" t="n">
        <f aca="false">IFERROR(SUMPRODUCT(LT_incl*(1-ISNUMBER(MATCH(LT_ptgrp,$V$47:$V$52,0))),LT_backdebt)/G53,0)</f>
        <v>0</v>
      </c>
      <c r="T53" s="23" t="n">
        <f aca="false">IFERROR(SUMPRODUCT(LT_incl*(1-ISNUMBER(MATCH(LT_ptgrp,$V$47:$V$52,0))),LT_equity,LT_roe)/SUMPRODUCT(LT_incl*(1-ISNUMBER(MATCH(LT_ptgrp,$V$47:$V$52,0)))*ISNUMBER(LT_roe),LT_equity),0)</f>
        <v>0</v>
      </c>
    </row>
    <row r="54" customFormat="false" ht="15" hidden="false" customHeight="false" outlineLevel="0" collapsed="false">
      <c r="B54" s="35" t="s">
        <v>76</v>
      </c>
      <c r="C54" s="45" t="n">
        <f aca="false">SUMPRODUCT(LT_incl*(1))</f>
        <v>131</v>
      </c>
      <c r="D54" s="38" t="n">
        <f aca="false">IFERROR(C54/StratLoans,0)</f>
        <v>1</v>
      </c>
      <c r="E54" s="45" t="n">
        <f aca="false">SUMPRODUCT(LT_incl*(1),LT_units)</f>
        <v>22360</v>
      </c>
      <c r="F54" s="45" t="n">
        <f aca="false">SUMPRODUCT(LT_incl*(1),LT_beds)</f>
        <v>8726</v>
      </c>
      <c r="G54" s="37" t="n">
        <f aca="false">SUMPRODUCT(LT_incl*(1),LT_upb)</f>
        <v>3716189993.3</v>
      </c>
      <c r="H54" s="38" t="n">
        <f aca="false">IFERROR(G54/StratUPB,0)</f>
        <v>1</v>
      </c>
      <c r="I54" s="37" t="n">
        <f aca="false">IFERROR(G54/C54,0)</f>
        <v>28367862.5442748</v>
      </c>
      <c r="J54" s="37" t="n">
        <f aca="false">SUMPRODUCT(LT_incl*(1),LT_unfunded)</f>
        <v>70425498.27</v>
      </c>
      <c r="K54" s="37" t="n">
        <f aca="false">SUMPRODUCT(LT_incl*(1),LT_navres)</f>
        <v>-35761255.0310469</v>
      </c>
      <c r="L54" s="39" t="n">
        <f aca="false">IFERROR(SUMPRODUCT(LT_incl*(1),LT_upb,LT_eff)/SUMPRODUCT(LT_incl*(1)*ISNUMBER(LT_eff),LT_upb),0)</f>
        <v>0.0384104790702225</v>
      </c>
      <c r="M54" s="39" t="n">
        <f aca="false">IFERROR(SUMPRODUCT(LT_incl*(1),LT_upb,LT_coupon)/SUMPRODUCT(LT_incl*(1)*ISNUMBER(LT_coupon),LT_upb),0)</f>
        <v>0.0749104790702225</v>
      </c>
      <c r="N54" s="38" t="n">
        <f aca="false">IFERROR(SUMPRODUCT(LT_incl*(1),LT_upb,LT_ltv_asis)/SUMPRODUCT(LT_incl*(1)*ISNUMBER(LT_ltv_asis),LT_upb),0)</f>
        <v>0.685976245136614</v>
      </c>
      <c r="O54" s="38" t="n">
        <f aca="false">IFERROR(SUMPRODUCT(LT_incl*(1),LT_upb,LT_ltv_stab)/SUMPRODUCT(LT_incl*(1)*ISNUMBER(LT_ltv_stab),LT_upb),0)</f>
        <v>0.658970555756018</v>
      </c>
      <c r="P54" s="40" t="n">
        <f aca="false">IFERROR(SUMPRODUCT(LT_incl*(1),LT_upb,LT_seas)/SUMPRODUCT(LT_incl*(1)*ISNUMBER(LT_seas),LT_upb),0)</f>
        <v>26.0197171750702</v>
      </c>
      <c r="Q54" s="40" t="n">
        <f aca="false">IFERROR(SUMPRODUCT(LT_incl*(1),LT_upb,LT_rti)/SUMPRODUCT(LT_incl*(1)*ISNUMBER(LT_rti),LT_upb),0)</f>
        <v>10.7164396387939</v>
      </c>
      <c r="R54" s="40" t="n">
        <f aca="false">IFERROR(SUMPRODUCT(LT_incl*(1),LT_upb,LT_rte)/SUMPRODUCT(LT_incl*(1)*ISNUMBER(LT_rte),LT_upb),0)</f>
        <v>23.051497716819</v>
      </c>
      <c r="S54" s="38" t="n">
        <f aca="false">IFERROR(SUMPRODUCT(LT_incl*(1),LT_backdebt)/G54,0)</f>
        <v>0.628005362553862</v>
      </c>
      <c r="T54" s="38" t="n">
        <f aca="false">IFERROR(SUMPRODUCT(LT_incl*(1),LT_equity,LT_roe)/SUMPRODUCT(LT_incl*(1)*ISNUMBER(LT_roe),LT_equity),0)</f>
        <v>0.107961987212177</v>
      </c>
    </row>
    <row r="56" customFormat="false" ht="15" hidden="false" customHeight="false" outlineLevel="0" collapsed="false">
      <c r="B56" s="3" t="s">
        <v>83</v>
      </c>
      <c r="C56" s="4"/>
      <c r="D56" s="4"/>
      <c r="E56" s="4"/>
      <c r="F56" s="4"/>
      <c r="G56" s="4"/>
      <c r="H56" s="4"/>
      <c r="I56" s="4"/>
      <c r="J56" s="4"/>
      <c r="K56" s="4"/>
      <c r="L56" s="4"/>
      <c r="M56" s="4"/>
      <c r="N56" s="4"/>
      <c r="O56" s="4"/>
      <c r="P56" s="4"/>
      <c r="Q56" s="4"/>
      <c r="R56" s="4"/>
      <c r="S56" s="4"/>
      <c r="T56" s="4"/>
    </row>
    <row r="57" customFormat="false" ht="39.75" hidden="false" customHeight="true" outlineLevel="0" collapsed="false">
      <c r="B57" s="16" t="s">
        <v>63</v>
      </c>
      <c r="C57" s="17" t="s">
        <v>13</v>
      </c>
      <c r="D57" s="17" t="s">
        <v>64</v>
      </c>
      <c r="E57" s="17" t="s">
        <v>65</v>
      </c>
      <c r="F57" s="17" t="s">
        <v>66</v>
      </c>
      <c r="G57" s="17" t="s">
        <v>16</v>
      </c>
      <c r="H57" s="17" t="s">
        <v>46</v>
      </c>
      <c r="I57" s="17" t="s">
        <v>19</v>
      </c>
      <c r="J57" s="17" t="s">
        <v>28</v>
      </c>
      <c r="K57" s="17" t="s">
        <v>31</v>
      </c>
      <c r="L57" s="17" t="s">
        <v>7</v>
      </c>
      <c r="M57" s="17" t="s">
        <v>11</v>
      </c>
      <c r="N57" s="17" t="s">
        <v>23</v>
      </c>
      <c r="O57" s="17" t="s">
        <v>67</v>
      </c>
      <c r="P57" s="17" t="s">
        <v>5</v>
      </c>
      <c r="Q57" s="17" t="s">
        <v>68</v>
      </c>
      <c r="R57" s="17" t="s">
        <v>69</v>
      </c>
      <c r="S57" s="17" t="s">
        <v>56</v>
      </c>
      <c r="T57" s="17" t="s">
        <v>70</v>
      </c>
      <c r="V57" s="17" t="s">
        <v>71</v>
      </c>
    </row>
    <row r="58" customFormat="false" ht="15" hidden="false" customHeight="false" outlineLevel="0" collapsed="false">
      <c r="B58" s="41" t="str">
        <f aca="false">V58</f>
        <v>New Loan</v>
      </c>
      <c r="C58" s="26" t="n">
        <f aca="false">SUMPRODUCT(LT_incl*(LT_rr=$V58))</f>
        <v>24</v>
      </c>
      <c r="D58" s="23" t="n">
        <f aca="false">IFERROR(C58/StratLoans,0)</f>
        <v>0.183206106870229</v>
      </c>
      <c r="E58" s="26" t="n">
        <f aca="false">SUMPRODUCT(LT_incl*(LT_rr=$V58),LT_units)</f>
        <v>2048</v>
      </c>
      <c r="F58" s="26" t="n">
        <f aca="false">SUMPRODUCT(LT_incl*(LT_rr=$V58),LT_beds)</f>
        <v>2052</v>
      </c>
      <c r="G58" s="22" t="n">
        <f aca="false">SUMPRODUCT(LT_incl*(LT_rr=$V58),LT_upb)</f>
        <v>660389349.15</v>
      </c>
      <c r="H58" s="23" t="n">
        <f aca="false">IFERROR(G58/StratUPB,0)</f>
        <v>0.177706024272341</v>
      </c>
      <c r="I58" s="22" t="n">
        <f aca="false">IFERROR(G58/C58,0)</f>
        <v>27516222.88125</v>
      </c>
      <c r="J58" s="22" t="n">
        <f aca="false">SUMPRODUCT(LT_incl*(LT_rr=$V58),LT_unfunded)</f>
        <v>11469742.29</v>
      </c>
      <c r="K58" s="22" t="n">
        <f aca="false">SUMPRODUCT(LT_incl*(LT_rr=$V58),LT_navres)</f>
        <v>0</v>
      </c>
      <c r="L58" s="24" t="n">
        <f aca="false">IFERROR(SUMPRODUCT(LT_incl*(LT_rr=$V58),LT_upb,LT_eff)/SUMPRODUCT(LT_incl*(LT_rr=$V58)*ISNUMBER(LT_eff),LT_upb),0)</f>
        <v>0.0383392683839441</v>
      </c>
      <c r="M58" s="24" t="n">
        <f aca="false">IFERROR(SUMPRODUCT(LT_incl*(LT_rr=$V58),LT_upb,LT_coupon)/SUMPRODUCT(LT_incl*(LT_rr=$V58)*ISNUMBER(LT_coupon),LT_upb),0)</f>
        <v>0.0748392683839441</v>
      </c>
      <c r="N58" s="23" t="n">
        <f aca="false">IFERROR(SUMPRODUCT(LT_incl*(LT_rr=$V58),LT_upb,LT_ltv_asis)/SUMPRODUCT(LT_incl*(LT_rr=$V58)*ISNUMBER(LT_ltv_asis),LT_upb),0)</f>
        <v>0.66622735215896</v>
      </c>
      <c r="O58" s="23" t="n">
        <f aca="false">IFERROR(SUMPRODUCT(LT_incl*(LT_rr=$V58),LT_upb,LT_ltv_stab)/SUMPRODUCT(LT_incl*(LT_rr=$V58)*ISNUMBER(LT_ltv_stab),LT_upb),0)</f>
        <v>0.646125594105744</v>
      </c>
      <c r="P58" s="25" t="n">
        <f aca="false">IFERROR(SUMPRODUCT(LT_incl*(LT_rr=$V58),LT_upb,LT_seas)/SUMPRODUCT(LT_incl*(LT_rr=$V58)*ISNUMBER(LT_seas),LT_upb),0)</f>
        <v>4.15994435293137</v>
      </c>
      <c r="Q58" s="25" t="n">
        <f aca="false">IFERROR(SUMPRODUCT(LT_incl*(LT_rr=$V58),LT_upb,LT_rti)/SUMPRODUCT(LT_incl*(LT_rr=$V58)*ISNUMBER(LT_rti),LT_upb),0)</f>
        <v>25.577738555151</v>
      </c>
      <c r="R58" s="25" t="n">
        <f aca="false">IFERROR(SUMPRODUCT(LT_incl*(LT_rr=$V58),LT_upb,LT_rte)/SUMPRODUCT(LT_incl*(LT_rr=$V58)*ISNUMBER(LT_rte),LT_upb),0)</f>
        <v>38.0386262868352</v>
      </c>
      <c r="S58" s="23" t="n">
        <f aca="false">IFERROR(SUMPRODUCT(LT_incl*(LT_rr=$V58),LT_backdebt)/G58,0)</f>
        <v>0.735539114038201</v>
      </c>
      <c r="T58" s="23" t="n">
        <f aca="false">IFERROR(SUMPRODUCT(LT_incl*(LT_rr=$V58),LT_equity,LT_roe)/SUMPRODUCT(LT_incl*(LT_rr=$V58)*ISNUMBER(LT_roe),LT_equity),0)</f>
        <v>0.122918917915075</v>
      </c>
      <c r="V58" s="42" t="s">
        <v>84</v>
      </c>
    </row>
    <row r="59" customFormat="false" ht="15" hidden="false" customHeight="false" outlineLevel="0" collapsed="false">
      <c r="B59" s="43" t="str">
        <f aca="false">V59</f>
        <v>Exceeding Exit</v>
      </c>
      <c r="C59" s="44" t="n">
        <f aca="false">SUMPRODUCT(LT_incl*(LT_rr=$V59))</f>
        <v>14</v>
      </c>
      <c r="D59" s="32" t="n">
        <f aca="false">IFERROR(C59/StratLoans,0)</f>
        <v>0.106870229007634</v>
      </c>
      <c r="E59" s="44" t="n">
        <f aca="false">SUMPRODUCT(LT_incl*(LT_rr=$V59),LT_units)</f>
        <v>2262</v>
      </c>
      <c r="F59" s="44" t="n">
        <f aca="false">SUMPRODUCT(LT_incl*(LT_rr=$V59),LT_beds)</f>
        <v>2241</v>
      </c>
      <c r="G59" s="31" t="n">
        <f aca="false">SUMPRODUCT(LT_incl*(LT_rr=$V59),LT_upb)</f>
        <v>270879609</v>
      </c>
      <c r="H59" s="32" t="n">
        <f aca="false">IFERROR(G59/StratUPB,0)</f>
        <v>0.0728917545896132</v>
      </c>
      <c r="I59" s="31" t="n">
        <f aca="false">IFERROR(G59/C59,0)</f>
        <v>19348543.5</v>
      </c>
      <c r="J59" s="31" t="n">
        <f aca="false">SUMPRODUCT(LT_incl*(LT_rr=$V59),LT_unfunded)</f>
        <v>16390000</v>
      </c>
      <c r="K59" s="31" t="n">
        <f aca="false">SUMPRODUCT(LT_incl*(LT_rr=$V59),LT_navres)</f>
        <v>0</v>
      </c>
      <c r="L59" s="33" t="n">
        <f aca="false">IFERROR(SUMPRODUCT(LT_incl*(LT_rr=$V59),LT_upb,LT_eff)/SUMPRODUCT(LT_incl*(LT_rr=$V59)*ISNUMBER(LT_eff),LT_upb),0)</f>
        <v>0.0550185469442257</v>
      </c>
      <c r="M59" s="33" t="n">
        <f aca="false">IFERROR(SUMPRODUCT(LT_incl*(LT_rr=$V59),LT_upb,LT_coupon)/SUMPRODUCT(LT_incl*(LT_rr=$V59)*ISNUMBER(LT_coupon),LT_upb),0)</f>
        <v>0.0915185469442257</v>
      </c>
      <c r="N59" s="32" t="n">
        <f aca="false">IFERROR(SUMPRODUCT(LT_incl*(LT_rr=$V59),LT_upb,LT_ltv_asis)/SUMPRODUCT(LT_incl*(LT_rr=$V59)*ISNUMBER(LT_ltv_asis),LT_upb),0)</f>
        <v>0.627021472712124</v>
      </c>
      <c r="O59" s="32" t="n">
        <f aca="false">IFERROR(SUMPRODUCT(LT_incl*(LT_rr=$V59),LT_upb,LT_ltv_stab)/SUMPRODUCT(LT_incl*(LT_rr=$V59)*ISNUMBER(LT_ltv_stab),LT_upb),0)</f>
        <v>0.65156981386505</v>
      </c>
      <c r="P59" s="34" t="n">
        <f aca="false">IFERROR(SUMPRODUCT(LT_incl*(LT_rr=$V59),LT_upb,LT_seas)/SUMPRODUCT(LT_incl*(LT_rr=$V59)*ISNUMBER(LT_seas),LT_upb),0)</f>
        <v>21.7446162825352</v>
      </c>
      <c r="Q59" s="34" t="n">
        <f aca="false">IFERROR(SUMPRODUCT(LT_incl*(LT_rr=$V59),LT_upb,LT_rti)/SUMPRODUCT(LT_incl*(LT_rr=$V59)*ISNUMBER(LT_rti),LT_upb),0)</f>
        <v>12.2541740985277</v>
      </c>
      <c r="R59" s="34" t="n">
        <f aca="false">IFERROR(SUMPRODUCT(LT_incl*(LT_rr=$V59),LT_upb,LT_rte)/SUMPRODUCT(LT_incl*(LT_rr=$V59)*ISNUMBER(LT_rte),LT_upb),0)</f>
        <v>20.4468820585818</v>
      </c>
      <c r="S59" s="32" t="n">
        <f aca="false">IFERROR(SUMPRODUCT(LT_incl*(LT_rr=$V59),LT_backdebt)/G59,0)</f>
        <v>0.428462956318071</v>
      </c>
      <c r="T59" s="32" t="n">
        <f aca="false">IFERROR(SUMPRODUCT(LT_incl*(LT_rr=$V59),LT_equity,LT_roe)/SUMPRODUCT(LT_incl*(LT_rr=$V59)*ISNUMBER(LT_roe),LT_equity),0)</f>
        <v>0.116844976905657</v>
      </c>
      <c r="V59" s="42" t="s">
        <v>85</v>
      </c>
    </row>
    <row r="60" customFormat="false" ht="15" hidden="false" customHeight="false" outlineLevel="0" collapsed="false">
      <c r="B60" s="41" t="str">
        <f aca="false">V60</f>
        <v>At Exit</v>
      </c>
      <c r="C60" s="26" t="n">
        <f aca="false">SUMPRODUCT(LT_incl*(LT_rr=$V60))</f>
        <v>8</v>
      </c>
      <c r="D60" s="23" t="n">
        <f aca="false">IFERROR(C60/StratLoans,0)</f>
        <v>0.0610687022900763</v>
      </c>
      <c r="E60" s="26" t="n">
        <f aca="false">SUMPRODUCT(LT_incl*(LT_rr=$V60),LT_units)</f>
        <v>994</v>
      </c>
      <c r="F60" s="26" t="n">
        <f aca="false">SUMPRODUCT(LT_incl*(LT_rr=$V60),LT_beds)</f>
        <v>422</v>
      </c>
      <c r="G60" s="22" t="n">
        <f aca="false">SUMPRODUCT(LT_incl*(LT_rr=$V60),LT_upb)</f>
        <v>191428594.43</v>
      </c>
      <c r="H60" s="23" t="n">
        <f aca="false">IFERROR(G60/StratUPB,0)</f>
        <v>0.0515120579881897</v>
      </c>
      <c r="I60" s="22" t="n">
        <f aca="false">IFERROR(G60/C60,0)</f>
        <v>23928574.30375</v>
      </c>
      <c r="J60" s="22" t="n">
        <f aca="false">SUMPRODUCT(LT_incl*(LT_rr=$V60),LT_unfunded)</f>
        <v>0</v>
      </c>
      <c r="K60" s="22" t="n">
        <f aca="false">SUMPRODUCT(LT_incl*(LT_rr=$V60),LT_navres)</f>
        <v>0</v>
      </c>
      <c r="L60" s="24" t="n">
        <f aca="false">IFERROR(SUMPRODUCT(LT_incl*(LT_rr=$V60),LT_upb,LT_eff)/SUMPRODUCT(LT_incl*(LT_rr=$V60)*ISNUMBER(LT_eff),LT_upb),0)</f>
        <v>0.0394760364940585</v>
      </c>
      <c r="M60" s="24" t="n">
        <f aca="false">IFERROR(SUMPRODUCT(LT_incl*(LT_rr=$V60),LT_upb,LT_coupon)/SUMPRODUCT(LT_incl*(LT_rr=$V60)*ISNUMBER(LT_coupon),LT_upb),0)</f>
        <v>0.0759760364940585</v>
      </c>
      <c r="N60" s="23" t="n">
        <f aca="false">IFERROR(SUMPRODUCT(LT_incl*(LT_rr=$V60),LT_upb,LT_ltv_asis)/SUMPRODUCT(LT_incl*(LT_rr=$V60)*ISNUMBER(LT_ltv_asis),LT_upb),0)</f>
        <v>0.713196246797972</v>
      </c>
      <c r="O60" s="23" t="n">
        <f aca="false">IFERROR(SUMPRODUCT(LT_incl*(LT_rr=$V60),LT_upb,LT_ltv_stab)/SUMPRODUCT(LT_incl*(LT_rr=$V60)*ISNUMBER(LT_ltv_stab),LT_upb),0)</f>
        <v>0.697592716962824</v>
      </c>
      <c r="P60" s="25" t="n">
        <f aca="false">IFERROR(SUMPRODUCT(LT_incl*(LT_rr=$V60),LT_upb,LT_seas)/SUMPRODUCT(LT_incl*(LT_rr=$V60)*ISNUMBER(LT_seas),LT_upb),0)</f>
        <v>38.7680426498474</v>
      </c>
      <c r="Q60" s="25" t="n">
        <f aca="false">IFERROR(SUMPRODUCT(LT_incl*(LT_rr=$V60),LT_upb,LT_rti)/SUMPRODUCT(LT_incl*(LT_rr=$V60)*ISNUMBER(LT_rti),LT_upb),0)</f>
        <v>4.14869622595999</v>
      </c>
      <c r="R60" s="25" t="n">
        <f aca="false">IFERROR(SUMPRODUCT(LT_incl*(LT_rr=$V60),LT_upb,LT_rte)/SUMPRODUCT(LT_incl*(LT_rr=$V60)*ISNUMBER(LT_rte),LT_upb),0)</f>
        <v>9.28999993257184</v>
      </c>
      <c r="S60" s="23" t="n">
        <f aca="false">IFERROR(SUMPRODUCT(LT_incl*(LT_rr=$V60),LT_backdebt)/G60,0)</f>
        <v>0.623379924450064</v>
      </c>
      <c r="T60" s="23" t="n">
        <f aca="false">IFERROR(SUMPRODUCT(LT_incl*(LT_rr=$V60),LT_equity,LT_roe)/SUMPRODUCT(LT_incl*(LT_rr=$V60)*ISNUMBER(LT_roe),LT_equity),0)</f>
        <v>0.11228916908892</v>
      </c>
      <c r="V60" s="42" t="s">
        <v>86</v>
      </c>
    </row>
    <row r="61" customFormat="false" ht="15" hidden="false" customHeight="false" outlineLevel="0" collapsed="false">
      <c r="B61" s="43" t="str">
        <f aca="false">V61</f>
        <v>Approaching Exit</v>
      </c>
      <c r="C61" s="44" t="n">
        <f aca="false">SUMPRODUCT(LT_incl*(LT_rr=$V61))</f>
        <v>41</v>
      </c>
      <c r="D61" s="32" t="n">
        <f aca="false">IFERROR(C61/StratLoans,0)</f>
        <v>0.312977099236641</v>
      </c>
      <c r="E61" s="44" t="n">
        <f aca="false">SUMPRODUCT(LT_incl*(LT_rr=$V61),LT_units)</f>
        <v>7968</v>
      </c>
      <c r="F61" s="44" t="n">
        <f aca="false">SUMPRODUCT(LT_incl*(LT_rr=$V61),LT_beds)</f>
        <v>1279</v>
      </c>
      <c r="G61" s="31" t="n">
        <f aca="false">SUMPRODUCT(LT_incl*(LT_rr=$V61),LT_upb)</f>
        <v>1205321593.53</v>
      </c>
      <c r="H61" s="32" t="n">
        <f aca="false">IFERROR(G61/StratUPB,0)</f>
        <v>0.324343372029713</v>
      </c>
      <c r="I61" s="31" t="n">
        <f aca="false">IFERROR(G61/C61,0)</f>
        <v>29398087.6470732</v>
      </c>
      <c r="J61" s="31" t="n">
        <f aca="false">SUMPRODUCT(LT_incl*(LT_rr=$V61),LT_unfunded)</f>
        <v>15685661.6</v>
      </c>
      <c r="K61" s="31" t="n">
        <f aca="false">SUMPRODUCT(LT_incl*(LT_rr=$V61),LT_navres)</f>
        <v>0</v>
      </c>
      <c r="L61" s="33" t="n">
        <f aca="false">IFERROR(SUMPRODUCT(LT_incl*(LT_rr=$V61),LT_upb,LT_eff)/SUMPRODUCT(LT_incl*(LT_rr=$V61)*ISNUMBER(LT_eff),LT_upb),0)</f>
        <v>0.0360346925346268</v>
      </c>
      <c r="M61" s="33" t="n">
        <f aca="false">IFERROR(SUMPRODUCT(LT_incl*(LT_rr=$V61),LT_upb,LT_coupon)/SUMPRODUCT(LT_incl*(LT_rr=$V61)*ISNUMBER(LT_coupon),LT_upb),0)</f>
        <v>0.0725346925346268</v>
      </c>
      <c r="N61" s="32" t="n">
        <f aca="false">IFERROR(SUMPRODUCT(LT_incl*(LT_rr=$V61),LT_upb,LT_ltv_asis)/SUMPRODUCT(LT_incl*(LT_rr=$V61)*ISNUMBER(LT_ltv_asis),LT_upb),0)</f>
        <v>0.685007188374716</v>
      </c>
      <c r="O61" s="32" t="n">
        <f aca="false">IFERROR(SUMPRODUCT(LT_incl*(LT_rr=$V61),LT_upb,LT_ltv_stab)/SUMPRODUCT(LT_incl*(LT_rr=$V61)*ISNUMBER(LT_ltv_stab),LT_upb),0)</f>
        <v>0.65703416464391</v>
      </c>
      <c r="P61" s="34" t="n">
        <f aca="false">IFERROR(SUMPRODUCT(LT_incl*(LT_rr=$V61),LT_upb,LT_seas)/SUMPRODUCT(LT_incl*(LT_rr=$V61)*ISNUMBER(LT_seas),LT_upb),0)</f>
        <v>22.7077834988651</v>
      </c>
      <c r="Q61" s="34" t="n">
        <f aca="false">IFERROR(SUMPRODUCT(LT_incl*(LT_rr=$V61),LT_upb,LT_rti)/SUMPRODUCT(LT_incl*(LT_rr=$V61)*ISNUMBER(LT_rti),LT_upb),0)</f>
        <v>10.7833413142613</v>
      </c>
      <c r="R61" s="34" t="n">
        <f aca="false">IFERROR(SUMPRODUCT(LT_incl*(LT_rr=$V61),LT_upb,LT_rte)/SUMPRODUCT(LT_incl*(LT_rr=$V61)*ISNUMBER(LT_rte),LT_upb),0)</f>
        <v>27.150513945536</v>
      </c>
      <c r="S61" s="32" t="n">
        <f aca="false">IFERROR(SUMPRODUCT(LT_incl*(LT_rr=$V61),LT_backdebt)/G61,0)</f>
        <v>0.734675240416859</v>
      </c>
      <c r="T61" s="32" t="n">
        <f aca="false">IFERROR(SUMPRODUCT(LT_incl*(LT_rr=$V61),LT_equity,LT_roe)/SUMPRODUCT(LT_incl*(LT_rr=$V61)*ISNUMBER(LT_roe),LT_equity),0)</f>
        <v>0.124232957320532</v>
      </c>
      <c r="V61" s="42" t="s">
        <v>87</v>
      </c>
    </row>
    <row r="62" customFormat="false" ht="15" hidden="false" customHeight="false" outlineLevel="0" collapsed="false">
      <c r="B62" s="41" t="str">
        <f aca="false">V62</f>
        <v>Performance Concern</v>
      </c>
      <c r="C62" s="26" t="n">
        <f aca="false">SUMPRODUCT(LT_incl*(LT_rr=$V62))</f>
        <v>29</v>
      </c>
      <c r="D62" s="23" t="n">
        <f aca="false">IFERROR(C62/StratLoans,0)</f>
        <v>0.221374045801527</v>
      </c>
      <c r="E62" s="26" t="n">
        <f aca="false">SUMPRODUCT(LT_incl*(LT_rr=$V62),LT_units)</f>
        <v>6702</v>
      </c>
      <c r="F62" s="26" t="n">
        <f aca="false">SUMPRODUCT(LT_incl*(LT_rr=$V62),LT_beds)</f>
        <v>988</v>
      </c>
      <c r="G62" s="22" t="n">
        <f aca="false">SUMPRODUCT(LT_incl*(LT_rr=$V62),LT_upb)</f>
        <v>1025718345.45</v>
      </c>
      <c r="H62" s="23" t="n">
        <f aca="false">IFERROR(G62/StratUPB,0)</f>
        <v>0.276013429695277</v>
      </c>
      <c r="I62" s="22" t="n">
        <f aca="false">IFERROR(G62/C62,0)</f>
        <v>35369598.1189655</v>
      </c>
      <c r="J62" s="22" t="n">
        <f aca="false">SUMPRODUCT(LT_incl*(LT_rr=$V62),LT_unfunded)</f>
        <v>24463409.27</v>
      </c>
      <c r="K62" s="22" t="n">
        <f aca="false">SUMPRODUCT(LT_incl*(LT_rr=$V62),LT_navres)</f>
        <v>-5031355.10141297</v>
      </c>
      <c r="L62" s="24" t="n">
        <f aca="false">IFERROR(SUMPRODUCT(LT_incl*(LT_rr=$V62),LT_upb,LT_eff)/SUMPRODUCT(LT_incl*(LT_rr=$V62)*ISNUMBER(LT_eff),LT_upb),0)</f>
        <v>0.0341943051712237</v>
      </c>
      <c r="M62" s="24" t="n">
        <f aca="false">IFERROR(SUMPRODUCT(LT_incl*(LT_rr=$V62),LT_upb,LT_coupon)/SUMPRODUCT(LT_incl*(LT_rr=$V62)*ISNUMBER(LT_coupon),LT_upb),0)</f>
        <v>0.0706943051712238</v>
      </c>
      <c r="N62" s="23" t="n">
        <f aca="false">IFERROR(SUMPRODUCT(LT_incl*(LT_rr=$V62),LT_upb,LT_ltv_asis)/SUMPRODUCT(LT_incl*(LT_rr=$V62)*ISNUMBER(LT_ltv_asis),LT_upb),0)</f>
        <v>0.693600585219606</v>
      </c>
      <c r="O62" s="23" t="n">
        <f aca="false">IFERROR(SUMPRODUCT(LT_incl*(LT_rr=$V62),LT_upb,LT_ltv_stab)/SUMPRODUCT(LT_incl*(LT_rr=$V62)*ISNUMBER(LT_ltv_stab),LT_upb),0)</f>
        <v>0.654092043981189</v>
      </c>
      <c r="P62" s="25" t="n">
        <f aca="false">IFERROR(SUMPRODUCT(LT_incl*(LT_rr=$V62),LT_upb,LT_seas)/SUMPRODUCT(LT_incl*(LT_rr=$V62)*ISNUMBER(LT_seas),LT_upb),0)</f>
        <v>33.6569724602388</v>
      </c>
      <c r="Q62" s="25" t="n">
        <f aca="false">IFERROR(SUMPRODUCT(LT_incl*(LT_rr=$V62),LT_upb,LT_rti)/SUMPRODUCT(LT_incl*(LT_rr=$V62)*ISNUMBER(LT_rti),LT_upb),0)</f>
        <v>4.981994445049</v>
      </c>
      <c r="R62" s="25" t="n">
        <f aca="false">IFERROR(SUMPRODUCT(LT_incl*(LT_rr=$V62),LT_upb,LT_rte)/SUMPRODUCT(LT_incl*(LT_rr=$V62)*ISNUMBER(LT_rte),LT_upb),0)</f>
        <v>17.9510247525392</v>
      </c>
      <c r="S62" s="23" t="n">
        <f aca="false">IFERROR(SUMPRODUCT(LT_incl*(LT_rr=$V62),LT_backdebt)/G62,0)</f>
        <v>0.660268407340749</v>
      </c>
      <c r="T62" s="23" t="n">
        <f aca="false">IFERROR(SUMPRODUCT(LT_incl*(LT_rr=$V62),LT_equity,LT_roe)/SUMPRODUCT(LT_incl*(LT_rr=$V62)*ISNUMBER(LT_roe),LT_equity),0)</f>
        <v>0.10063182471315</v>
      </c>
      <c r="V62" s="42" t="s">
        <v>88</v>
      </c>
    </row>
    <row r="63" customFormat="false" ht="15" hidden="false" customHeight="false" outlineLevel="0" collapsed="false">
      <c r="B63" s="43" t="str">
        <f aca="false">V63</f>
        <v>Credit Concern</v>
      </c>
      <c r="C63" s="44" t="n">
        <f aca="false">SUMPRODUCT(LT_incl*(LT_rr=$V63))</f>
        <v>12</v>
      </c>
      <c r="D63" s="32" t="n">
        <f aca="false">IFERROR(C63/StratLoans,0)</f>
        <v>0.0916030534351145</v>
      </c>
      <c r="E63" s="44" t="n">
        <f aca="false">SUMPRODUCT(LT_incl*(LT_rr=$V63),LT_units)</f>
        <v>1309</v>
      </c>
      <c r="F63" s="44" t="n">
        <f aca="false">SUMPRODUCT(LT_incl*(LT_rr=$V63),LT_beds)</f>
        <v>1744</v>
      </c>
      <c r="G63" s="31" t="n">
        <f aca="false">SUMPRODUCT(LT_incl*(LT_rr=$V63),LT_upb)</f>
        <v>263089314.89</v>
      </c>
      <c r="H63" s="32" t="n">
        <f aca="false">IFERROR(G63/StratUPB,0)</f>
        <v>0.0707954424731592</v>
      </c>
      <c r="I63" s="31" t="n">
        <f aca="false">IFERROR(G63/C63,0)</f>
        <v>21924109.5741667</v>
      </c>
      <c r="J63" s="31" t="n">
        <f aca="false">SUMPRODUCT(LT_incl*(LT_rr=$V63),LT_unfunded)</f>
        <v>2416685.11</v>
      </c>
      <c r="K63" s="31" t="n">
        <f aca="false">SUMPRODUCT(LT_incl*(LT_rr=$V63),LT_navres)</f>
        <v>-12589213.0796339</v>
      </c>
      <c r="L63" s="33" t="n">
        <f aca="false">IFERROR(SUMPRODUCT(LT_incl*(LT_rr=$V63),LT_upb,LT_eff)/SUMPRODUCT(LT_incl*(LT_rr=$V63)*ISNUMBER(LT_eff),LT_upb),0)</f>
        <v>0.0488099585221243</v>
      </c>
      <c r="M63" s="33" t="n">
        <f aca="false">IFERROR(SUMPRODUCT(LT_incl*(LT_rr=$V63),LT_upb,LT_coupon)/SUMPRODUCT(LT_incl*(LT_rr=$V63)*ISNUMBER(LT_coupon),LT_upb),0)</f>
        <v>0.0853099585221243</v>
      </c>
      <c r="N63" s="32" t="n">
        <f aca="false">IFERROR(SUMPRODUCT(LT_incl*(LT_rr=$V63),LT_upb,LT_ltv_asis)/SUMPRODUCT(LT_incl*(LT_rr=$V63)*ISNUMBER(LT_ltv_asis),LT_upb),0)</f>
        <v>0.72048486049679</v>
      </c>
      <c r="O63" s="32" t="n">
        <f aca="false">IFERROR(SUMPRODUCT(LT_incl*(LT_rr=$V63),LT_upb,LT_ltv_stab)/SUMPRODUCT(LT_incl*(LT_rr=$V63)*ISNUMBER(LT_ltv_stab),LT_upb),0)</f>
        <v>0.700317229854111</v>
      </c>
      <c r="P63" s="34" t="n">
        <f aca="false">IFERROR(SUMPRODUCT(LT_incl*(LT_rr=$V63),LT_upb,LT_seas)/SUMPRODUCT(LT_incl*(LT_rr=$V63)*ISNUMBER(LT_seas),LT_upb),0)</f>
        <v>49.1155021502647</v>
      </c>
      <c r="Q63" s="34" t="n">
        <f aca="false">IFERROR(SUMPRODUCT(LT_incl*(LT_rr=$V63),LT_upb,LT_rti)/SUMPRODUCT(LT_incl*(LT_rr=$V63)*ISNUMBER(LT_rti),LT_upb),0)</f>
        <v>2.70614342981673</v>
      </c>
      <c r="R63" s="34" t="n">
        <f aca="false">IFERROR(SUMPRODUCT(LT_incl*(LT_rr=$V63),LT_upb,LT_rte)/SUMPRODUCT(LT_incl*(LT_rr=$V63)*ISNUMBER(LT_rte),LT_upb),0)</f>
        <v>7.4196190700311</v>
      </c>
      <c r="S63" s="32" t="n">
        <f aca="false">IFERROR(SUMPRODUCT(LT_incl*(LT_rr=$V63),LT_backdebt)/G63,0)</f>
        <v>0.1895975009083</v>
      </c>
      <c r="T63" s="32" t="n">
        <f aca="false">IFERROR(SUMPRODUCT(LT_incl*(LT_rr=$V63),LT_equity,LT_roe)/SUMPRODUCT(LT_incl*(LT_rr=$V63)*ISNUMBER(LT_roe),LT_equity),0)</f>
        <v>0.0917294471925673</v>
      </c>
      <c r="V63" s="42" t="s">
        <v>89</v>
      </c>
    </row>
    <row r="64" customFormat="false" ht="15" hidden="false" customHeight="false" outlineLevel="0" collapsed="false">
      <c r="B64" s="41" t="str">
        <f aca="false">V64</f>
        <v>REO</v>
      </c>
      <c r="C64" s="26" t="n">
        <f aca="false">SUMPRODUCT(LT_incl*(LT_rr=$V64))</f>
        <v>3</v>
      </c>
      <c r="D64" s="23" t="n">
        <f aca="false">IFERROR(C64/StratLoans,0)</f>
        <v>0.0229007633587786</v>
      </c>
      <c r="E64" s="26" t="n">
        <f aca="false">SUMPRODUCT(LT_incl*(LT_rr=$V64),LT_units)</f>
        <v>1077</v>
      </c>
      <c r="F64" s="26" t="n">
        <f aca="false">SUMPRODUCT(LT_incl*(LT_rr=$V64),LT_beds)</f>
        <v>0</v>
      </c>
      <c r="G64" s="22" t="n">
        <f aca="false">SUMPRODUCT(LT_incl*(LT_rr=$V64),LT_upb)</f>
        <v>99363186.85</v>
      </c>
      <c r="H64" s="23" t="n">
        <f aca="false">IFERROR(G64/StratUPB,0)</f>
        <v>0.026737918951707</v>
      </c>
      <c r="I64" s="22" t="n">
        <f aca="false">IFERROR(G64/C64,0)</f>
        <v>33121062.2833333</v>
      </c>
      <c r="J64" s="22" t="n">
        <f aca="false">SUMPRODUCT(LT_incl*(LT_rr=$V64),LT_unfunded)</f>
        <v>0</v>
      </c>
      <c r="K64" s="22" t="n">
        <f aca="false">SUMPRODUCT(LT_incl*(LT_rr=$V64),LT_navres)</f>
        <v>-18140686.85</v>
      </c>
      <c r="L64" s="24" t="n">
        <f aca="false">IFERROR(SUMPRODUCT(LT_incl*(LT_rr=$V64),LT_upb,LT_eff)/SUMPRODUCT(LT_incl*(LT_rr=$V64)*ISNUMBER(LT_eff),LT_upb),0)</f>
        <v>0.036362069442824</v>
      </c>
      <c r="M64" s="24" t="n">
        <f aca="false">IFERROR(SUMPRODUCT(LT_incl*(LT_rr=$V64),LT_upb,LT_coupon)/SUMPRODUCT(LT_incl*(LT_rr=$V64)*ISNUMBER(LT_coupon),LT_upb),0)</f>
        <v>0.072862069442824</v>
      </c>
      <c r="N64" s="23" t="n">
        <f aca="false">IFERROR(SUMPRODUCT(LT_incl*(LT_rr=$V64),LT_upb,LT_ltv_asis)/SUMPRODUCT(LT_incl*(LT_rr=$V64)*ISNUMBER(LT_ltv_asis),LT_upb),0)</f>
        <v>0.769794851164439</v>
      </c>
      <c r="O64" s="23" t="n">
        <f aca="false">IFERROR(SUMPRODUCT(LT_incl*(LT_rr=$V64),LT_upb,LT_ltv_stab)/SUMPRODUCT(LT_incl*(LT_rr=$V64)*ISNUMBER(LT_ltv_stab),LT_upb),0)</f>
        <v>0.657603699851043</v>
      </c>
      <c r="P64" s="25" t="n">
        <f aca="false">IFERROR(SUMPRODUCT(LT_incl*(LT_rr=$V64),LT_upb,LT_seas)/SUMPRODUCT(LT_incl*(LT_rr=$V64)*ISNUMBER(LT_seas),LT_upb),0)</f>
        <v>58.5833149802848</v>
      </c>
      <c r="Q64" s="25" t="n">
        <f aca="false">IFERROR(SUMPRODUCT(LT_incl*(LT_rr=$V64),LT_upb,LT_rti)/SUMPRODUCT(LT_incl*(LT_rr=$V64)*ISNUMBER(LT_rti),LT_upb),0)</f>
        <v>0</v>
      </c>
      <c r="R64" s="25" t="n">
        <f aca="false">IFERROR(SUMPRODUCT(LT_incl*(LT_rr=$V64),LT_upb,LT_rte)/SUMPRODUCT(LT_incl*(LT_rr=$V64)*ISNUMBER(LT_rte),LT_upb),0)</f>
        <v>1.3748331470182</v>
      </c>
      <c r="S64" s="23" t="n">
        <f aca="false">IFERROR(SUMPRODUCT(LT_incl*(LT_rr=$V64),LT_backdebt)/G64,0)</f>
        <v>0</v>
      </c>
      <c r="T64" s="23" t="n">
        <f aca="false">IFERROR(SUMPRODUCT(LT_incl*(LT_rr=$V64),LT_equity,LT_roe)/SUMPRODUCT(LT_incl*(LT_rr=$V64)*ISNUMBER(LT_roe),LT_equity),0)</f>
        <v>0.072862069442824</v>
      </c>
      <c r="V64" s="42" t="s">
        <v>90</v>
      </c>
    </row>
    <row r="65" customFormat="false" ht="15" hidden="false" customHeight="false" outlineLevel="0" collapsed="false">
      <c r="B65" s="27" t="s">
        <v>75</v>
      </c>
      <c r="C65" s="44" t="n">
        <f aca="false">SUMPRODUCT(LT_incl*(1-ISNUMBER(MATCH(LT_rr,$V$58:$V$64,0))))</f>
        <v>0</v>
      </c>
      <c r="D65" s="32" t="n">
        <f aca="false">IFERROR(C65/StratLoans,0)</f>
        <v>0</v>
      </c>
      <c r="E65" s="44" t="n">
        <f aca="false">SUMPRODUCT(LT_incl*(1-ISNUMBER(MATCH(LT_rr,$V$58:$V$64,0))),LT_units)</f>
        <v>0</v>
      </c>
      <c r="F65" s="44" t="n">
        <f aca="false">SUMPRODUCT(LT_incl*(1-ISNUMBER(MATCH(LT_rr,$V$58:$V$64,0))),LT_beds)</f>
        <v>0</v>
      </c>
      <c r="G65" s="31" t="n">
        <f aca="false">SUMPRODUCT(LT_incl*(1-ISNUMBER(MATCH(LT_rr,$V$58:$V$64,0))),LT_upb)</f>
        <v>0</v>
      </c>
      <c r="H65" s="32" t="n">
        <f aca="false">IFERROR(G65/StratUPB,0)</f>
        <v>0</v>
      </c>
      <c r="I65" s="31" t="n">
        <f aca="false">IFERROR(G65/C65,0)</f>
        <v>0</v>
      </c>
      <c r="J65" s="31" t="n">
        <f aca="false">SUMPRODUCT(LT_incl*(1-ISNUMBER(MATCH(LT_rr,$V$58:$V$64,0))),LT_unfunded)</f>
        <v>0</v>
      </c>
      <c r="K65" s="31" t="n">
        <f aca="false">SUMPRODUCT(LT_incl*(1-ISNUMBER(MATCH(LT_rr,$V$58:$V$64,0))),LT_navres)</f>
        <v>0</v>
      </c>
      <c r="L65" s="33" t="n">
        <f aca="false">IFERROR(SUMPRODUCT(LT_incl*(1-ISNUMBER(MATCH(LT_rr,$V$58:$V$64,0))),LT_upb,LT_eff)/SUMPRODUCT(LT_incl*(1-ISNUMBER(MATCH(LT_rr,$V$58:$V$64,0)))*ISNUMBER(LT_eff),LT_upb),0)</f>
        <v>0</v>
      </c>
      <c r="M65" s="33" t="n">
        <f aca="false">IFERROR(SUMPRODUCT(LT_incl*(1-ISNUMBER(MATCH(LT_rr,$V$58:$V$64,0))),LT_upb,LT_coupon)/SUMPRODUCT(LT_incl*(1-ISNUMBER(MATCH(LT_rr,$V$58:$V$64,0)))*ISNUMBER(LT_coupon),LT_upb),0)</f>
        <v>0</v>
      </c>
      <c r="N65" s="32" t="n">
        <f aca="false">IFERROR(SUMPRODUCT(LT_incl*(1-ISNUMBER(MATCH(LT_rr,$V$58:$V$64,0))),LT_upb,LT_ltv_asis)/SUMPRODUCT(LT_incl*(1-ISNUMBER(MATCH(LT_rr,$V$58:$V$64,0)))*ISNUMBER(LT_ltv_asis),LT_upb),0)</f>
        <v>0</v>
      </c>
      <c r="O65" s="32" t="n">
        <f aca="false">IFERROR(SUMPRODUCT(LT_incl*(1-ISNUMBER(MATCH(LT_rr,$V$58:$V$64,0))),LT_upb,LT_ltv_stab)/SUMPRODUCT(LT_incl*(1-ISNUMBER(MATCH(LT_rr,$V$58:$V$64,0)))*ISNUMBER(LT_ltv_stab),LT_upb),0)</f>
        <v>0</v>
      </c>
      <c r="P65" s="34" t="n">
        <f aca="false">IFERROR(SUMPRODUCT(LT_incl*(1-ISNUMBER(MATCH(LT_rr,$V$58:$V$64,0))),LT_upb,LT_seas)/SUMPRODUCT(LT_incl*(1-ISNUMBER(MATCH(LT_rr,$V$58:$V$64,0)))*ISNUMBER(LT_seas),LT_upb),0)</f>
        <v>0</v>
      </c>
      <c r="Q65" s="34" t="n">
        <f aca="false">IFERROR(SUMPRODUCT(LT_incl*(1-ISNUMBER(MATCH(LT_rr,$V$58:$V$64,0))),LT_upb,LT_rti)/SUMPRODUCT(LT_incl*(1-ISNUMBER(MATCH(LT_rr,$V$58:$V$64,0)))*ISNUMBER(LT_rti),LT_upb),0)</f>
        <v>0</v>
      </c>
      <c r="R65" s="34" t="n">
        <f aca="false">IFERROR(SUMPRODUCT(LT_incl*(1-ISNUMBER(MATCH(LT_rr,$V$58:$V$64,0))),LT_upb,LT_rte)/SUMPRODUCT(LT_incl*(1-ISNUMBER(MATCH(LT_rr,$V$58:$V$64,0)))*ISNUMBER(LT_rte),LT_upb),0)</f>
        <v>0</v>
      </c>
      <c r="S65" s="32" t="n">
        <f aca="false">IFERROR(SUMPRODUCT(LT_incl*(1-ISNUMBER(MATCH(LT_rr,$V$58:$V$64,0))),LT_backdebt)/G65,0)</f>
        <v>0</v>
      </c>
      <c r="T65" s="32" t="n">
        <f aca="false">IFERROR(SUMPRODUCT(LT_incl*(1-ISNUMBER(MATCH(LT_rr,$V$58:$V$64,0))),LT_equity,LT_roe)/SUMPRODUCT(LT_incl*(1-ISNUMBER(MATCH(LT_rr,$V$58:$V$64,0)))*ISNUMBER(LT_roe),LT_equity),0)</f>
        <v>0</v>
      </c>
    </row>
    <row r="66" customFormat="false" ht="15" hidden="false" customHeight="false" outlineLevel="0" collapsed="false">
      <c r="B66" s="35" t="s">
        <v>76</v>
      </c>
      <c r="C66" s="45" t="n">
        <f aca="false">SUMPRODUCT(LT_incl*(1))</f>
        <v>131</v>
      </c>
      <c r="D66" s="38" t="n">
        <f aca="false">IFERROR(C66/StratLoans,0)</f>
        <v>1</v>
      </c>
      <c r="E66" s="45" t="n">
        <f aca="false">SUMPRODUCT(LT_incl*(1),LT_units)</f>
        <v>22360</v>
      </c>
      <c r="F66" s="45" t="n">
        <f aca="false">SUMPRODUCT(LT_incl*(1),LT_beds)</f>
        <v>8726</v>
      </c>
      <c r="G66" s="37" t="n">
        <f aca="false">SUMPRODUCT(LT_incl*(1),LT_upb)</f>
        <v>3716189993.3</v>
      </c>
      <c r="H66" s="38" t="n">
        <f aca="false">IFERROR(G66/StratUPB,0)</f>
        <v>1</v>
      </c>
      <c r="I66" s="37" t="n">
        <f aca="false">IFERROR(G66/C66,0)</f>
        <v>28367862.5442748</v>
      </c>
      <c r="J66" s="37" t="n">
        <f aca="false">SUMPRODUCT(LT_incl*(1),LT_unfunded)</f>
        <v>70425498.27</v>
      </c>
      <c r="K66" s="37" t="n">
        <f aca="false">SUMPRODUCT(LT_incl*(1),LT_navres)</f>
        <v>-35761255.0310469</v>
      </c>
      <c r="L66" s="39" t="n">
        <f aca="false">IFERROR(SUMPRODUCT(LT_incl*(1),LT_upb,LT_eff)/SUMPRODUCT(LT_incl*(1)*ISNUMBER(LT_eff),LT_upb),0)</f>
        <v>0.0384104790702225</v>
      </c>
      <c r="M66" s="39" t="n">
        <f aca="false">IFERROR(SUMPRODUCT(LT_incl*(1),LT_upb,LT_coupon)/SUMPRODUCT(LT_incl*(1)*ISNUMBER(LT_coupon),LT_upb),0)</f>
        <v>0.0749104790702225</v>
      </c>
      <c r="N66" s="38" t="n">
        <f aca="false">IFERROR(SUMPRODUCT(LT_incl*(1),LT_upb,LT_ltv_asis)/SUMPRODUCT(LT_incl*(1)*ISNUMBER(LT_ltv_asis),LT_upb),0)</f>
        <v>0.685976245136614</v>
      </c>
      <c r="O66" s="38" t="n">
        <f aca="false">IFERROR(SUMPRODUCT(LT_incl*(1),LT_upb,LT_ltv_stab)/SUMPRODUCT(LT_incl*(1)*ISNUMBER(LT_ltv_stab),LT_upb),0)</f>
        <v>0.658970555756018</v>
      </c>
      <c r="P66" s="40" t="n">
        <f aca="false">IFERROR(SUMPRODUCT(LT_incl*(1),LT_upb,LT_seas)/SUMPRODUCT(LT_incl*(1)*ISNUMBER(LT_seas),LT_upb),0)</f>
        <v>26.0197171750702</v>
      </c>
      <c r="Q66" s="40" t="n">
        <f aca="false">IFERROR(SUMPRODUCT(LT_incl*(1),LT_upb,LT_rti)/SUMPRODUCT(LT_incl*(1)*ISNUMBER(LT_rti),LT_upb),0)</f>
        <v>10.7164396387939</v>
      </c>
      <c r="R66" s="40" t="n">
        <f aca="false">IFERROR(SUMPRODUCT(LT_incl*(1),LT_upb,LT_rte)/SUMPRODUCT(LT_incl*(1)*ISNUMBER(LT_rte),LT_upb),0)</f>
        <v>23.051497716819</v>
      </c>
      <c r="S66" s="38" t="n">
        <f aca="false">IFERROR(SUMPRODUCT(LT_incl*(1),LT_backdebt)/G66,0)</f>
        <v>0.628005362553862</v>
      </c>
      <c r="T66" s="38" t="n">
        <f aca="false">IFERROR(SUMPRODUCT(LT_incl*(1),LT_equity,LT_roe)/SUMPRODUCT(LT_incl*(1)*ISNUMBER(LT_roe),LT_equity),0)</f>
        <v>0.107961987212177</v>
      </c>
    </row>
    <row r="68" customFormat="false" ht="15" hidden="false" customHeight="false" outlineLevel="0" collapsed="false">
      <c r="B68" s="3" t="s">
        <v>91</v>
      </c>
      <c r="C68" s="4"/>
      <c r="D68" s="4"/>
      <c r="E68" s="4"/>
      <c r="F68" s="4"/>
      <c r="G68" s="4"/>
      <c r="H68" s="4"/>
      <c r="I68" s="4"/>
      <c r="J68" s="4"/>
      <c r="K68" s="4"/>
      <c r="L68" s="4"/>
      <c r="M68" s="4"/>
      <c r="N68" s="4"/>
      <c r="O68" s="4"/>
      <c r="P68" s="4"/>
      <c r="Q68" s="4"/>
      <c r="R68" s="4"/>
      <c r="S68" s="4"/>
      <c r="T68" s="4"/>
    </row>
    <row r="69" customFormat="false" ht="39.75" hidden="false" customHeight="true" outlineLevel="0" collapsed="false">
      <c r="B69" s="16" t="s">
        <v>63</v>
      </c>
      <c r="C69" s="17" t="s">
        <v>13</v>
      </c>
      <c r="D69" s="17" t="s">
        <v>64</v>
      </c>
      <c r="E69" s="17" t="s">
        <v>65</v>
      </c>
      <c r="F69" s="17" t="s">
        <v>66</v>
      </c>
      <c r="G69" s="17" t="s">
        <v>16</v>
      </c>
      <c r="H69" s="17" t="s">
        <v>46</v>
      </c>
      <c r="I69" s="17" t="s">
        <v>19</v>
      </c>
      <c r="J69" s="17" t="s">
        <v>28</v>
      </c>
      <c r="K69" s="17" t="s">
        <v>31</v>
      </c>
      <c r="L69" s="17" t="s">
        <v>7</v>
      </c>
      <c r="M69" s="17" t="s">
        <v>11</v>
      </c>
      <c r="N69" s="17" t="s">
        <v>23</v>
      </c>
      <c r="O69" s="17" t="s">
        <v>67</v>
      </c>
      <c r="P69" s="17" t="s">
        <v>5</v>
      </c>
      <c r="Q69" s="17" t="s">
        <v>68</v>
      </c>
      <c r="R69" s="17" t="s">
        <v>69</v>
      </c>
      <c r="S69" s="17" t="s">
        <v>56</v>
      </c>
      <c r="T69" s="17" t="s">
        <v>70</v>
      </c>
      <c r="V69" s="17" t="s">
        <v>71</v>
      </c>
    </row>
    <row r="70" customFormat="false" ht="15" hidden="false" customHeight="false" outlineLevel="0" collapsed="false">
      <c r="B70" s="41" t="str">
        <f aca="false">V70</f>
        <v>TX</v>
      </c>
      <c r="C70" s="26" t="n">
        <f aca="false">SUMPRODUCT(LT_incl*(LT_state1=$V70))</f>
        <v>29</v>
      </c>
      <c r="D70" s="23" t="n">
        <f aca="false">IFERROR(C70/StratLoans,0)</f>
        <v>0.221374045801527</v>
      </c>
      <c r="E70" s="26" t="n">
        <f aca="false">SUMPRODUCT(LT_incl*(LT_state1=$V70),LT_units)</f>
        <v>6501</v>
      </c>
      <c r="F70" s="26" t="n">
        <f aca="false">SUMPRODUCT(LT_incl*(LT_state1=$V70),LT_beds)</f>
        <v>885</v>
      </c>
      <c r="G70" s="22" t="n">
        <f aca="false">SUMPRODUCT(LT_incl*(LT_state1=$V70),LT_upb)</f>
        <v>802961178.89</v>
      </c>
      <c r="H70" s="23" t="n">
        <f aca="false">IFERROR(G70/StratUPB,0)</f>
        <v>0.216071078265018</v>
      </c>
      <c r="I70" s="22" t="n">
        <f aca="false">IFERROR(G70/C70,0)</f>
        <v>27688316.5134483</v>
      </c>
      <c r="J70" s="22" t="n">
        <f aca="false">SUMPRODUCT(LT_incl*(LT_state1=$V70),LT_unfunded)</f>
        <v>20914259.61</v>
      </c>
      <c r="K70" s="22" t="n">
        <f aca="false">SUMPRODUCT(LT_incl*(LT_state1=$V70),LT_navres)</f>
        <v>-19167882.6592889</v>
      </c>
      <c r="L70" s="24" t="n">
        <f aca="false">IFERROR(SUMPRODUCT(LT_incl*(LT_state1=$V70),LT_upb,LT_eff)/SUMPRODUCT(LT_incl*(LT_state1=$V70)*ISNUMBER(LT_eff),LT_upb),0)</f>
        <v>0.0337852135630848</v>
      </c>
      <c r="M70" s="24" t="n">
        <f aca="false">IFERROR(SUMPRODUCT(LT_incl*(LT_state1=$V70),LT_upb,LT_coupon)/SUMPRODUCT(LT_incl*(LT_state1=$V70)*ISNUMBER(LT_coupon),LT_upb),0)</f>
        <v>0.0702852135630848</v>
      </c>
      <c r="N70" s="23" t="n">
        <f aca="false">IFERROR(SUMPRODUCT(LT_incl*(LT_state1=$V70),LT_upb,LT_ltv_asis)/SUMPRODUCT(LT_incl*(LT_state1=$V70)*ISNUMBER(LT_ltv_asis),LT_upb),0)</f>
        <v>0.71333167902037</v>
      </c>
      <c r="O70" s="23" t="n">
        <f aca="false">IFERROR(SUMPRODUCT(LT_incl*(LT_state1=$V70),LT_upb,LT_ltv_stab)/SUMPRODUCT(LT_incl*(LT_state1=$V70)*ISNUMBER(LT_ltv_stab),LT_upb),0)</f>
        <v>0.677247151181682</v>
      </c>
      <c r="P70" s="25" t="n">
        <f aca="false">IFERROR(SUMPRODUCT(LT_incl*(LT_state1=$V70),LT_upb,LT_seas)/SUMPRODUCT(LT_incl*(LT_state1=$V70)*ISNUMBER(LT_seas),LT_upb),0)</f>
        <v>35.591894220048</v>
      </c>
      <c r="Q70" s="25" t="n">
        <f aca="false">IFERROR(SUMPRODUCT(LT_incl*(LT_state1=$V70),LT_upb,LT_rti)/SUMPRODUCT(LT_incl*(LT_state1=$V70)*ISNUMBER(LT_rti),LT_upb),0)</f>
        <v>7.40864928408363</v>
      </c>
      <c r="R70" s="25" t="n">
        <f aca="false">IFERROR(SUMPRODUCT(LT_incl*(LT_state1=$V70),LT_upb,LT_rte)/SUMPRODUCT(LT_incl*(LT_state1=$V70)*ISNUMBER(LT_rte),LT_upb),0)</f>
        <v>17.0824890858744</v>
      </c>
      <c r="S70" s="23" t="n">
        <f aca="false">IFERROR(SUMPRODUCT(LT_incl*(LT_state1=$V70),LT_backdebt)/G70,0)</f>
        <v>0.487085436300004</v>
      </c>
      <c r="T70" s="23" t="n">
        <f aca="false">IFERROR(SUMPRODUCT(LT_incl*(LT_state1=$V70),LT_equity,LT_roe)/SUMPRODUCT(LT_incl*(LT_state1=$V70)*ISNUMBER(LT_roe),LT_equity),0)</f>
        <v>0.0848934156892534</v>
      </c>
      <c r="V70" s="42" t="s">
        <v>92</v>
      </c>
    </row>
    <row r="71" customFormat="false" ht="15" hidden="false" customHeight="false" outlineLevel="0" collapsed="false">
      <c r="B71" s="43" t="str">
        <f aca="false">V71</f>
        <v>NY</v>
      </c>
      <c r="C71" s="44" t="n">
        <f aca="false">SUMPRODUCT(LT_incl*(LT_state1=$V71))</f>
        <v>18</v>
      </c>
      <c r="D71" s="32" t="n">
        <f aca="false">IFERROR(C71/StratLoans,0)</f>
        <v>0.137404580152672</v>
      </c>
      <c r="E71" s="44" t="n">
        <f aca="false">SUMPRODUCT(LT_incl*(LT_state1=$V71),LT_units)</f>
        <v>2265</v>
      </c>
      <c r="F71" s="44" t="n">
        <f aca="false">SUMPRODUCT(LT_incl*(LT_state1=$V71),LT_beds)</f>
        <v>785</v>
      </c>
      <c r="G71" s="31" t="n">
        <f aca="false">SUMPRODUCT(LT_incl*(LT_state1=$V71),LT_upb)</f>
        <v>615352764.69</v>
      </c>
      <c r="H71" s="32" t="n">
        <f aca="false">IFERROR(G71/StratUPB,0)</f>
        <v>0.165587003301616</v>
      </c>
      <c r="I71" s="31" t="n">
        <f aca="false">IFERROR(G71/C71,0)</f>
        <v>34186264.705</v>
      </c>
      <c r="J71" s="31" t="n">
        <f aca="false">SUMPRODUCT(LT_incl*(LT_state1=$V71),LT_unfunded)</f>
        <v>10697826.75</v>
      </c>
      <c r="K71" s="31" t="n">
        <f aca="false">SUMPRODUCT(LT_incl*(LT_state1=$V71),LT_navres)</f>
        <v>-12599781</v>
      </c>
      <c r="L71" s="33" t="n">
        <f aca="false">IFERROR(SUMPRODUCT(LT_incl*(LT_state1=$V71),LT_upb,LT_eff)/SUMPRODUCT(LT_incl*(LT_state1=$V71)*ISNUMBER(LT_eff),LT_upb),0)</f>
        <v>0.0379409134118243</v>
      </c>
      <c r="M71" s="33" t="n">
        <f aca="false">IFERROR(SUMPRODUCT(LT_incl*(LT_state1=$V71),LT_upb,LT_coupon)/SUMPRODUCT(LT_incl*(LT_state1=$V71)*ISNUMBER(LT_coupon),LT_upb),0)</f>
        <v>0.0744409134118243</v>
      </c>
      <c r="N71" s="32" t="n">
        <f aca="false">IFERROR(SUMPRODUCT(LT_incl*(LT_state1=$V71),LT_upb,LT_ltv_asis)/SUMPRODUCT(LT_incl*(LT_state1=$V71)*ISNUMBER(LT_ltv_asis),LT_upb),0)</f>
        <v>0.637103844986531</v>
      </c>
      <c r="O71" s="32" t="n">
        <f aca="false">IFERROR(SUMPRODUCT(LT_incl*(LT_state1=$V71),LT_upb,LT_ltv_stab)/SUMPRODUCT(LT_incl*(LT_state1=$V71)*ISNUMBER(LT_ltv_stab),LT_upb),0)</f>
        <v>0.642564192850572</v>
      </c>
      <c r="P71" s="34" t="n">
        <f aca="false">IFERROR(SUMPRODUCT(LT_incl*(LT_state1=$V71),LT_upb,LT_seas)/SUMPRODUCT(LT_incl*(LT_state1=$V71)*ISNUMBER(LT_seas),LT_upb),0)</f>
        <v>18.123106456232</v>
      </c>
      <c r="Q71" s="34" t="n">
        <f aca="false">IFERROR(SUMPRODUCT(LT_incl*(LT_state1=$V71),LT_upb,LT_rti)/SUMPRODUCT(LT_incl*(LT_state1=$V71)*ISNUMBER(LT_rti),LT_upb),0)</f>
        <v>16.7805673158609</v>
      </c>
      <c r="R71" s="34" t="n">
        <f aca="false">IFERROR(SUMPRODUCT(LT_incl*(LT_state1=$V71),LT_upb,LT_rte)/SUMPRODUCT(LT_incl*(LT_state1=$V71)*ISNUMBER(LT_rte),LT_upb),0)</f>
        <v>31.836435209582</v>
      </c>
      <c r="S71" s="32" t="n">
        <f aca="false">IFERROR(SUMPRODUCT(LT_incl*(LT_state1=$V71),LT_backdebt)/G71,0)</f>
        <v>0.593638365215159</v>
      </c>
      <c r="T71" s="32" t="n">
        <f aca="false">IFERROR(SUMPRODUCT(LT_incl*(LT_state1=$V71),LT_equity,LT_roe)/SUMPRODUCT(LT_incl*(LT_state1=$V71)*ISNUMBER(LT_roe),LT_equity),0)</f>
        <v>0.0997205529439867</v>
      </c>
      <c r="V71" s="42" t="s">
        <v>93</v>
      </c>
    </row>
    <row r="72" customFormat="false" ht="15" hidden="false" customHeight="false" outlineLevel="0" collapsed="false">
      <c r="B72" s="41" t="str">
        <f aca="false">V72</f>
        <v>CA</v>
      </c>
      <c r="C72" s="26" t="n">
        <f aca="false">SUMPRODUCT(LT_incl*(LT_state1=$V72))</f>
        <v>10</v>
      </c>
      <c r="D72" s="23" t="n">
        <f aca="false">IFERROR(C72/StratLoans,0)</f>
        <v>0.0763358778625954</v>
      </c>
      <c r="E72" s="26" t="n">
        <f aca="false">SUMPRODUCT(LT_incl*(LT_state1=$V72),LT_units)</f>
        <v>1091</v>
      </c>
      <c r="F72" s="26" t="n">
        <f aca="false">SUMPRODUCT(LT_incl*(LT_state1=$V72),LT_beds)</f>
        <v>311</v>
      </c>
      <c r="G72" s="22" t="n">
        <f aca="false">SUMPRODUCT(LT_incl*(LT_state1=$V72),LT_upb)</f>
        <v>317062000</v>
      </c>
      <c r="H72" s="23" t="n">
        <f aca="false">IFERROR(G72/StratUPB,0)</f>
        <v>0.0853191038595007</v>
      </c>
      <c r="I72" s="22" t="n">
        <f aca="false">IFERROR(G72/C72,0)</f>
        <v>31706200</v>
      </c>
      <c r="J72" s="22" t="n">
        <f aca="false">SUMPRODUCT(LT_incl*(LT_state1=$V72),LT_unfunded)</f>
        <v>10490000</v>
      </c>
      <c r="K72" s="22" t="n">
        <f aca="false">SUMPRODUCT(LT_incl*(LT_state1=$V72),LT_navres)</f>
        <v>-10547.4544277098</v>
      </c>
      <c r="L72" s="24" t="n">
        <f aca="false">IFERROR(SUMPRODUCT(LT_incl*(LT_state1=$V72),LT_upb,LT_eff)/SUMPRODUCT(LT_incl*(LT_state1=$V72)*ISNUMBER(LT_eff),LT_upb),0)</f>
        <v>0.036019447300528</v>
      </c>
      <c r="M72" s="24" t="n">
        <f aca="false">IFERROR(SUMPRODUCT(LT_incl*(LT_state1=$V72),LT_upb,LT_coupon)/SUMPRODUCT(LT_incl*(LT_state1=$V72)*ISNUMBER(LT_coupon),LT_upb),0)</f>
        <v>0.072519447300528</v>
      </c>
      <c r="N72" s="23" t="n">
        <f aca="false">IFERROR(SUMPRODUCT(LT_incl*(LT_state1=$V72),LT_upb,LT_ltv_asis)/SUMPRODUCT(LT_incl*(LT_state1=$V72)*ISNUMBER(LT_ltv_asis),LT_upb),0)</f>
        <v>0.772546998400621</v>
      </c>
      <c r="O72" s="23" t="n">
        <f aca="false">IFERROR(SUMPRODUCT(LT_incl*(LT_state1=$V72),LT_upb,LT_ltv_stab)/SUMPRODUCT(LT_incl*(LT_state1=$V72)*ISNUMBER(LT_ltv_stab),LT_upb),0)</f>
        <v>0.691097212367525</v>
      </c>
      <c r="P72" s="25" t="n">
        <f aca="false">IFERROR(SUMPRODUCT(LT_incl*(LT_state1=$V72),LT_upb,LT_seas)/SUMPRODUCT(LT_incl*(LT_state1=$V72)*ISNUMBER(LT_seas),LT_upb),0)</f>
        <v>29.0728549233927</v>
      </c>
      <c r="Q72" s="25" t="n">
        <f aca="false">IFERROR(SUMPRODUCT(LT_incl*(LT_state1=$V72),LT_upb,LT_rti)/SUMPRODUCT(LT_incl*(LT_state1=$V72)*ISNUMBER(LT_rti),LT_upb),0)</f>
        <v>9.76564128687829</v>
      </c>
      <c r="R72" s="25" t="n">
        <f aca="false">IFERROR(SUMPRODUCT(LT_incl*(LT_state1=$V72),LT_upb,LT_rte)/SUMPRODUCT(LT_incl*(LT_state1=$V72)*ISNUMBER(LT_rte),LT_upb),0)</f>
        <v>22.0486035565991</v>
      </c>
      <c r="S72" s="23" t="n">
        <f aca="false">IFERROR(SUMPRODUCT(LT_incl*(LT_state1=$V72),LT_backdebt)/G72,0)</f>
        <v>0.726104950415619</v>
      </c>
      <c r="T72" s="23" t="n">
        <f aca="false">IFERROR(SUMPRODUCT(LT_incl*(LT_state1=$V72),LT_equity,LT_roe)/SUMPRODUCT(LT_incl*(LT_state1=$V72)*ISNUMBER(LT_roe),LT_equity),0)</f>
        <v>0.118603444201933</v>
      </c>
      <c r="V72" s="42" t="s">
        <v>94</v>
      </c>
    </row>
    <row r="73" customFormat="false" ht="15" hidden="false" customHeight="false" outlineLevel="0" collapsed="false">
      <c r="B73" s="43" t="str">
        <f aca="false">V73</f>
        <v>GA</v>
      </c>
      <c r="C73" s="44" t="n">
        <f aca="false">SUMPRODUCT(LT_incl*(LT_state1=$V73))</f>
        <v>3</v>
      </c>
      <c r="D73" s="32" t="n">
        <f aca="false">IFERROR(C73/StratLoans,0)</f>
        <v>0.0229007633587786</v>
      </c>
      <c r="E73" s="44" t="n">
        <f aca="false">SUMPRODUCT(LT_incl*(LT_state1=$V73),LT_units)</f>
        <v>1038</v>
      </c>
      <c r="F73" s="44" t="n">
        <f aca="false">SUMPRODUCT(LT_incl*(LT_state1=$V73),LT_beds)</f>
        <v>0</v>
      </c>
      <c r="G73" s="31" t="n">
        <f aca="false">SUMPRODUCT(LT_incl*(LT_state1=$V73),LT_upb)</f>
        <v>192500000</v>
      </c>
      <c r="H73" s="32" t="n">
        <f aca="false">IFERROR(G73/StratUPB,0)</f>
        <v>0.0518003655214245</v>
      </c>
      <c r="I73" s="31" t="n">
        <f aca="false">IFERROR(G73/C73,0)</f>
        <v>64166666.6666667</v>
      </c>
      <c r="J73" s="31" t="n">
        <f aca="false">SUMPRODUCT(LT_incl*(LT_state1=$V73),LT_unfunded)</f>
        <v>0</v>
      </c>
      <c r="K73" s="31" t="n">
        <f aca="false">SUMPRODUCT(LT_incl*(LT_state1=$V73),LT_navres)</f>
        <v>0</v>
      </c>
      <c r="L73" s="33" t="n">
        <f aca="false">IFERROR(SUMPRODUCT(LT_incl*(LT_state1=$V73),LT_upb,LT_eff)/SUMPRODUCT(LT_incl*(LT_state1=$V73)*ISNUMBER(LT_eff),LT_upb),0)</f>
        <v>0.0293701298701299</v>
      </c>
      <c r="M73" s="33" t="n">
        <f aca="false">IFERROR(SUMPRODUCT(LT_incl*(LT_state1=$V73),LT_upb,LT_coupon)/SUMPRODUCT(LT_incl*(LT_state1=$V73)*ISNUMBER(LT_coupon),LT_upb),0)</f>
        <v>0.0658701298701299</v>
      </c>
      <c r="N73" s="32" t="n">
        <f aca="false">IFERROR(SUMPRODUCT(LT_incl*(LT_state1=$V73),LT_upb,LT_ltv_asis)/SUMPRODUCT(LT_incl*(LT_state1=$V73)*ISNUMBER(LT_ltv_asis),LT_upb),0)</f>
        <v>0.661644479191411</v>
      </c>
      <c r="O73" s="32" t="n">
        <f aca="false">IFERROR(SUMPRODUCT(LT_incl*(LT_state1=$V73),LT_upb,LT_ltv_stab)/SUMPRODUCT(LT_incl*(LT_state1=$V73)*ISNUMBER(LT_ltv_stab),LT_upb),0)</f>
        <v>0.614020076506424</v>
      </c>
      <c r="P73" s="34" t="n">
        <f aca="false">IFERROR(SUMPRODUCT(LT_incl*(LT_state1=$V73),LT_upb,LT_seas)/SUMPRODUCT(LT_incl*(LT_state1=$V73)*ISNUMBER(LT_seas),LT_upb),0)</f>
        <v>16.3676258033548</v>
      </c>
      <c r="Q73" s="34" t="n">
        <f aca="false">IFERROR(SUMPRODUCT(LT_incl*(LT_state1=$V73),LT_upb,LT_rti)/SUMPRODUCT(LT_incl*(LT_state1=$V73)*ISNUMBER(LT_rti),LT_upb),0)</f>
        <v>15.6042134456919</v>
      </c>
      <c r="R73" s="34" t="n">
        <f aca="false">IFERROR(SUMPRODUCT(LT_incl*(LT_state1=$V73),LT_upb,LT_rte)/SUMPRODUCT(LT_incl*(LT_state1=$V73)*ISNUMBER(LT_rte),LT_upb),0)</f>
        <v>37.3094109176245</v>
      </c>
      <c r="S73" s="32" t="n">
        <f aca="false">IFERROR(SUMPRODUCT(LT_incl*(LT_state1=$V73),LT_backdebt)/G73,0)</f>
        <v>0.812421877257143</v>
      </c>
      <c r="T73" s="32" t="n">
        <f aca="false">IFERROR(SUMPRODUCT(LT_incl*(LT_state1=$V73),LT_equity,LT_roe)/SUMPRODUCT(LT_incl*(LT_state1=$V73)*ISNUMBER(LT_roe),LT_equity),0)</f>
        <v>0.118699678933311</v>
      </c>
      <c r="V73" s="42" t="s">
        <v>95</v>
      </c>
    </row>
    <row r="74" customFormat="false" ht="15" hidden="false" customHeight="false" outlineLevel="0" collapsed="false">
      <c r="B74" s="41" t="str">
        <f aca="false">V74</f>
        <v>MN</v>
      </c>
      <c r="C74" s="26" t="n">
        <f aca="false">SUMPRODUCT(LT_incl*(LT_state1=$V74))</f>
        <v>5</v>
      </c>
      <c r="D74" s="23" t="n">
        <f aca="false">IFERROR(C74/StratLoans,0)</f>
        <v>0.0381679389312977</v>
      </c>
      <c r="E74" s="26" t="n">
        <f aca="false">SUMPRODUCT(LT_incl*(LT_state1=$V74),LT_units)</f>
        <v>432</v>
      </c>
      <c r="F74" s="26" t="n">
        <f aca="false">SUMPRODUCT(LT_incl*(LT_state1=$V74),LT_beds)</f>
        <v>671</v>
      </c>
      <c r="G74" s="22" t="n">
        <f aca="false">SUMPRODUCT(LT_incl*(LT_state1=$V74),LT_upb)</f>
        <v>140660000</v>
      </c>
      <c r="H74" s="23" t="n">
        <f aca="false">IFERROR(G74/StratUPB,0)</f>
        <v>0.0378505943597068</v>
      </c>
      <c r="I74" s="22" t="n">
        <f aca="false">IFERROR(G74/C74,0)</f>
        <v>28132000</v>
      </c>
      <c r="J74" s="22" t="n">
        <f aca="false">SUMPRODUCT(LT_incl*(LT_state1=$V74),LT_unfunded)</f>
        <v>0</v>
      </c>
      <c r="K74" s="22" t="n">
        <f aca="false">SUMPRODUCT(LT_incl*(LT_state1=$V74),LT_navres)</f>
        <v>0</v>
      </c>
      <c r="L74" s="24" t="n">
        <f aca="false">IFERROR(SUMPRODUCT(LT_incl*(LT_state1=$V74),LT_upb,LT_eff)/SUMPRODUCT(LT_incl*(LT_state1=$V74)*ISNUMBER(LT_eff),LT_upb),0)</f>
        <v>0.0477614460400967</v>
      </c>
      <c r="M74" s="24" t="n">
        <f aca="false">IFERROR(SUMPRODUCT(LT_incl*(LT_state1=$V74),LT_upb,LT_coupon)/SUMPRODUCT(LT_incl*(LT_state1=$V74)*ISNUMBER(LT_coupon),LT_upb),0)</f>
        <v>0.0842614460400967</v>
      </c>
      <c r="N74" s="23" t="n">
        <f aca="false">IFERROR(SUMPRODUCT(LT_incl*(LT_state1=$V74),LT_upb,LT_ltv_asis)/SUMPRODUCT(LT_incl*(LT_state1=$V74)*ISNUMBER(LT_ltv_asis),LT_upb),0)</f>
        <v>0.650433733371638</v>
      </c>
      <c r="O74" s="23" t="n">
        <f aca="false">IFERROR(SUMPRODUCT(LT_incl*(LT_state1=$V74),LT_upb,LT_ltv_stab)/SUMPRODUCT(LT_incl*(LT_state1=$V74)*ISNUMBER(LT_ltv_stab),LT_upb),0)</f>
        <v>0.646644232341451</v>
      </c>
      <c r="P74" s="25" t="n">
        <f aca="false">IFERROR(SUMPRODUCT(LT_incl*(LT_state1=$V74),LT_upb,LT_seas)/SUMPRODUCT(LT_incl*(LT_state1=$V74)*ISNUMBER(LT_seas),LT_upb),0)</f>
        <v>18.8449769362445</v>
      </c>
      <c r="Q74" s="25" t="n">
        <f aca="false">IFERROR(SUMPRODUCT(LT_incl*(LT_state1=$V74),LT_upb,LT_rti)/SUMPRODUCT(LT_incl*(LT_state1=$V74)*ISNUMBER(LT_rti),LT_upb),0)</f>
        <v>14.101822706741</v>
      </c>
      <c r="R74" s="25" t="n">
        <f aca="false">IFERROR(SUMPRODUCT(LT_incl*(LT_state1=$V74),LT_upb,LT_rte)/SUMPRODUCT(LT_incl*(LT_state1=$V74)*ISNUMBER(LT_rte),LT_upb),0)</f>
        <v>26.5755261715743</v>
      </c>
      <c r="S74" s="23" t="n">
        <f aca="false">IFERROR(SUMPRODUCT(LT_incl*(LT_state1=$V74),LT_backdebt)/G74,0)</f>
        <v>0.397065263756576</v>
      </c>
      <c r="T74" s="23" t="n">
        <f aca="false">IFERROR(SUMPRODUCT(LT_incl*(LT_state1=$V74),LT_equity,LT_roe)/SUMPRODUCT(LT_incl*(LT_state1=$V74)*ISNUMBER(LT_roe),LT_equity),0)</f>
        <v>0.0984394978143778</v>
      </c>
      <c r="V74" s="42" t="s">
        <v>96</v>
      </c>
    </row>
    <row r="75" customFormat="false" ht="15" hidden="false" customHeight="false" outlineLevel="0" collapsed="false">
      <c r="B75" s="43" t="str">
        <f aca="false">V75</f>
        <v>FL</v>
      </c>
      <c r="C75" s="44" t="n">
        <f aca="false">SUMPRODUCT(LT_incl*(LT_state1=$V75))</f>
        <v>5</v>
      </c>
      <c r="D75" s="32" t="n">
        <f aca="false">IFERROR(C75/StratLoans,0)</f>
        <v>0.0381679389312977</v>
      </c>
      <c r="E75" s="44" t="n">
        <f aca="false">SUMPRODUCT(LT_incl*(LT_state1=$V75),LT_units)</f>
        <v>300</v>
      </c>
      <c r="F75" s="44" t="n">
        <f aca="false">SUMPRODUCT(LT_incl*(LT_state1=$V75),LT_beds)</f>
        <v>832</v>
      </c>
      <c r="G75" s="31" t="n">
        <f aca="false">SUMPRODUCT(LT_incl*(LT_state1=$V75),LT_upb)</f>
        <v>111130712</v>
      </c>
      <c r="H75" s="32" t="n">
        <f aca="false">IFERROR(G75/StratUPB,0)</f>
        <v>0.0299044753363956</v>
      </c>
      <c r="I75" s="31" t="n">
        <f aca="false">IFERROR(G75/C75,0)</f>
        <v>22226142.4</v>
      </c>
      <c r="J75" s="31" t="n">
        <f aca="false">SUMPRODUCT(LT_incl*(LT_state1=$V75),LT_unfunded)</f>
        <v>13390000</v>
      </c>
      <c r="K75" s="31" t="n">
        <f aca="false">SUMPRODUCT(LT_incl*(LT_state1=$V75),LT_navres)</f>
        <v>0</v>
      </c>
      <c r="L75" s="33" t="n">
        <f aca="false">IFERROR(SUMPRODUCT(LT_incl*(LT_state1=$V75),LT_upb,LT_eff)/SUMPRODUCT(LT_incl*(LT_state1=$V75)*ISNUMBER(LT_eff),LT_upb),0)</f>
        <v>0.044808610170697</v>
      </c>
      <c r="M75" s="33" t="n">
        <f aca="false">IFERROR(SUMPRODUCT(LT_incl*(LT_state1=$V75),LT_upb,LT_coupon)/SUMPRODUCT(LT_incl*(LT_state1=$V75)*ISNUMBER(LT_coupon),LT_upb),0)</f>
        <v>0.081308610170697</v>
      </c>
      <c r="N75" s="32" t="n">
        <f aca="false">IFERROR(SUMPRODUCT(LT_incl*(LT_state1=$V75),LT_upb,LT_ltv_asis)/SUMPRODUCT(LT_incl*(LT_state1=$V75)*ISNUMBER(LT_ltv_asis),LT_upb),0)</f>
        <v>0.669370530481981</v>
      </c>
      <c r="O75" s="32" t="n">
        <f aca="false">IFERROR(SUMPRODUCT(LT_incl*(LT_state1=$V75),LT_upb,LT_ltv_stab)/SUMPRODUCT(LT_incl*(LT_state1=$V75)*ISNUMBER(LT_ltv_stab),LT_upb),0)</f>
        <v>0.713484701967733</v>
      </c>
      <c r="P75" s="34" t="n">
        <f aca="false">IFERROR(SUMPRODUCT(LT_incl*(LT_state1=$V75),LT_upb,LT_seas)/SUMPRODUCT(LT_incl*(LT_state1=$V75)*ISNUMBER(LT_seas),LT_upb),0)</f>
        <v>37.7143590969872</v>
      </c>
      <c r="Q75" s="34" t="n">
        <f aca="false">IFERROR(SUMPRODUCT(LT_incl*(LT_state1=$V75),LT_upb,LT_rti)/SUMPRODUCT(LT_incl*(LT_state1=$V75)*ISNUMBER(LT_rti),LT_upb),0)</f>
        <v>1.86835361260116</v>
      </c>
      <c r="R75" s="34" t="n">
        <f aca="false">IFERROR(SUMPRODUCT(LT_incl*(LT_state1=$V75),LT_upb,LT_rte)/SUMPRODUCT(LT_incl*(LT_state1=$V75)*ISNUMBER(LT_rte),LT_upb),0)</f>
        <v>8.88166388847988</v>
      </c>
      <c r="S75" s="32" t="n">
        <f aca="false">IFERROR(SUMPRODUCT(LT_incl*(LT_state1=$V75),LT_backdebt)/G75,0)</f>
        <v>0.383207391087083</v>
      </c>
      <c r="T75" s="32" t="n">
        <f aca="false">IFERROR(SUMPRODUCT(LT_incl*(LT_state1=$V75),LT_equity,LT_roe)/SUMPRODUCT(LT_incl*(LT_state1=$V75)*ISNUMBER(LT_roe),LT_equity),0)</f>
        <v>0.097431632389672</v>
      </c>
      <c r="V75" s="42" t="s">
        <v>97</v>
      </c>
    </row>
    <row r="76" customFormat="false" ht="15" hidden="false" customHeight="false" outlineLevel="0" collapsed="false">
      <c r="B76" s="41" t="str">
        <f aca="false">V76</f>
        <v>NC</v>
      </c>
      <c r="C76" s="26" t="n">
        <f aca="false">SUMPRODUCT(LT_incl*(LT_state1=$V76))</f>
        <v>6</v>
      </c>
      <c r="D76" s="23" t="n">
        <f aca="false">IFERROR(C76/StratLoans,0)</f>
        <v>0.0458015267175573</v>
      </c>
      <c r="E76" s="26" t="n">
        <f aca="false">SUMPRODUCT(LT_incl*(LT_state1=$V76),LT_units)</f>
        <v>1528</v>
      </c>
      <c r="F76" s="26" t="n">
        <f aca="false">SUMPRODUCT(LT_incl*(LT_state1=$V76),LT_beds)</f>
        <v>0</v>
      </c>
      <c r="G76" s="22" t="n">
        <f aca="false">SUMPRODUCT(LT_incl*(LT_state1=$V76),LT_upb)</f>
        <v>103735590.63</v>
      </c>
      <c r="H76" s="23" t="n">
        <f aca="false">IFERROR(G76/StratUPB,0)</f>
        <v>0.0279145013621551</v>
      </c>
      <c r="I76" s="22" t="n">
        <f aca="false">IFERROR(G76/C76,0)</f>
        <v>17289265.105</v>
      </c>
      <c r="J76" s="22" t="n">
        <f aca="false">SUMPRODUCT(LT_incl*(LT_state1=$V76),LT_unfunded)</f>
        <v>622480.72</v>
      </c>
      <c r="K76" s="22" t="n">
        <f aca="false">SUMPRODUCT(LT_incl*(LT_state1=$V76),LT_navres)</f>
        <v>0</v>
      </c>
      <c r="L76" s="24" t="n">
        <f aca="false">IFERROR(SUMPRODUCT(LT_incl*(LT_state1=$V76),LT_upb,LT_eff)/SUMPRODUCT(LT_incl*(LT_state1=$V76)*ISNUMBER(LT_eff),LT_upb),0)</f>
        <v>0.0319555669126478</v>
      </c>
      <c r="M76" s="24" t="n">
        <f aca="false">IFERROR(SUMPRODUCT(LT_incl*(LT_state1=$V76),LT_upb,LT_coupon)/SUMPRODUCT(LT_incl*(LT_state1=$V76)*ISNUMBER(LT_coupon),LT_upb),0)</f>
        <v>0.0684555669126477</v>
      </c>
      <c r="N76" s="23" t="n">
        <f aca="false">IFERROR(SUMPRODUCT(LT_incl*(LT_state1=$V76),LT_upb,LT_ltv_asis)/SUMPRODUCT(LT_incl*(LT_state1=$V76)*ISNUMBER(LT_ltv_asis),LT_upb),0)</f>
        <v>0.619409655501011</v>
      </c>
      <c r="O76" s="23" t="n">
        <f aca="false">IFERROR(SUMPRODUCT(LT_incl*(LT_state1=$V76),LT_upb,LT_ltv_stab)/SUMPRODUCT(LT_incl*(LT_state1=$V76)*ISNUMBER(LT_ltv_stab),LT_upb),0)</f>
        <v>0.682549595399227</v>
      </c>
      <c r="P76" s="25" t="n">
        <f aca="false">IFERROR(SUMPRODUCT(LT_incl*(LT_state1=$V76),LT_upb,LT_seas)/SUMPRODUCT(LT_incl*(LT_state1=$V76)*ISNUMBER(LT_seas),LT_upb),0)</f>
        <v>15.6907942969383</v>
      </c>
      <c r="Q76" s="25" t="n">
        <f aca="false">IFERROR(SUMPRODUCT(LT_incl*(LT_state1=$V76),LT_upb,LT_rti)/SUMPRODUCT(LT_incl*(LT_state1=$V76)*ISNUMBER(LT_rti),LT_upb),0)</f>
        <v>20.3375690186651</v>
      </c>
      <c r="R76" s="25" t="n">
        <f aca="false">IFERROR(SUMPRODUCT(LT_incl*(LT_state1=$V76),LT_upb,LT_rte)/SUMPRODUCT(LT_incl*(LT_state1=$V76)*ISNUMBER(LT_rte),LT_upb),0)</f>
        <v>35.7379395653482</v>
      </c>
      <c r="S76" s="23" t="n">
        <f aca="false">IFERROR(SUMPRODUCT(LT_incl*(LT_state1=$V76),LT_backdebt)/G76,0)</f>
        <v>0.776473280326353</v>
      </c>
      <c r="T76" s="23" t="n">
        <f aca="false">IFERROR(SUMPRODUCT(LT_incl*(LT_state1=$V76),LT_equity,LT_roe)/SUMPRODUCT(LT_incl*(LT_state1=$V76)*ISNUMBER(LT_roe),LT_equity),0)</f>
        <v>0.121435754266666</v>
      </c>
      <c r="V76" s="42" t="s">
        <v>98</v>
      </c>
    </row>
    <row r="77" customFormat="false" ht="15" hidden="false" customHeight="false" outlineLevel="0" collapsed="false">
      <c r="B77" s="43" t="str">
        <f aca="false">V77</f>
        <v>NJ</v>
      </c>
      <c r="C77" s="44" t="n">
        <f aca="false">SUMPRODUCT(LT_incl*(LT_state1=$V77))</f>
        <v>2</v>
      </c>
      <c r="D77" s="32" t="n">
        <f aca="false">IFERROR(C77/StratLoans,0)</f>
        <v>0.0152671755725191</v>
      </c>
      <c r="E77" s="44" t="n">
        <f aca="false">SUMPRODUCT(LT_incl*(LT_state1=$V77),LT_units)</f>
        <v>363</v>
      </c>
      <c r="F77" s="44" t="n">
        <f aca="false">SUMPRODUCT(LT_incl*(LT_state1=$V77),LT_beds)</f>
        <v>0</v>
      </c>
      <c r="G77" s="31" t="n">
        <f aca="false">SUMPRODUCT(LT_incl*(LT_state1=$V77),LT_upb)</f>
        <v>95500000</v>
      </c>
      <c r="H77" s="32" t="n">
        <f aca="false">IFERROR(G77/StratUPB,0)</f>
        <v>0.0256983631547846</v>
      </c>
      <c r="I77" s="31" t="n">
        <f aca="false">IFERROR(G77/C77,0)</f>
        <v>47750000</v>
      </c>
      <c r="J77" s="31" t="n">
        <f aca="false">SUMPRODUCT(LT_incl*(LT_state1=$V77),LT_unfunded)</f>
        <v>0</v>
      </c>
      <c r="K77" s="31" t="n">
        <f aca="false">SUMPRODUCT(LT_incl*(LT_state1=$V77),LT_navres)</f>
        <v>0</v>
      </c>
      <c r="L77" s="33" t="n">
        <f aca="false">IFERROR(SUMPRODUCT(LT_incl*(LT_state1=$V77),LT_upb,LT_eff)/SUMPRODUCT(LT_incl*(LT_state1=$V77)*ISNUMBER(LT_eff),LT_upb),0)</f>
        <v>0.0408900523560209</v>
      </c>
      <c r="M77" s="33" t="n">
        <f aca="false">IFERROR(SUMPRODUCT(LT_incl*(LT_state1=$V77),LT_upb,LT_coupon)/SUMPRODUCT(LT_incl*(LT_state1=$V77)*ISNUMBER(LT_coupon),LT_upb),0)</f>
        <v>0.0773900523560209</v>
      </c>
      <c r="N77" s="32" t="n">
        <f aca="false">IFERROR(SUMPRODUCT(LT_incl*(LT_state1=$V77),LT_upb,LT_ltv_asis)/SUMPRODUCT(LT_incl*(LT_state1=$V77)*ISNUMBER(LT_ltv_asis),LT_upb),0)</f>
        <v>0.688042703464465</v>
      </c>
      <c r="O77" s="32" t="n">
        <f aca="false">IFERROR(SUMPRODUCT(LT_incl*(LT_state1=$V77),LT_upb,LT_ltv_stab)/SUMPRODUCT(LT_incl*(LT_state1=$V77)*ISNUMBER(LT_ltv_stab),LT_upb),0)</f>
        <v>0.639270194664585</v>
      </c>
      <c r="P77" s="34" t="n">
        <f aca="false">IFERROR(SUMPRODUCT(LT_incl*(LT_state1=$V77),LT_upb,LT_seas)/SUMPRODUCT(LT_incl*(LT_state1=$V77)*ISNUMBER(LT_seas),LT_upb),0)</f>
        <v>12.4613780276724</v>
      </c>
      <c r="Q77" s="34" t="n">
        <f aca="false">IFERROR(SUMPRODUCT(LT_incl*(LT_state1=$V77),LT_upb,LT_rti)/SUMPRODUCT(LT_incl*(LT_state1=$V77)*ISNUMBER(LT_rti),LT_upb),0)</f>
        <v>14.0837911349538</v>
      </c>
      <c r="R77" s="34" t="n">
        <f aca="false">IFERROR(SUMPRODUCT(LT_incl*(LT_state1=$V77),LT_upb,LT_rte)/SUMPRODUCT(LT_incl*(LT_state1=$V77)*ISNUMBER(LT_rte),LT_upb),0)</f>
        <v>25.1326101680338</v>
      </c>
      <c r="S77" s="32" t="n">
        <f aca="false">IFERROR(SUMPRODUCT(LT_incl*(LT_state1=$V77),LT_backdebt)/G77,0)</f>
        <v>0.8</v>
      </c>
      <c r="T77" s="32" t="n">
        <f aca="false">IFERROR(SUMPRODUCT(LT_incl*(LT_state1=$V77),LT_equity,LT_roe)/SUMPRODUCT(LT_incl*(LT_state1=$V77)*ISNUMBER(LT_roe),LT_equity),0)</f>
        <v>0.174950261780105</v>
      </c>
      <c r="V77" s="42" t="s">
        <v>99</v>
      </c>
    </row>
    <row r="78" customFormat="false" ht="15" hidden="false" customHeight="false" outlineLevel="0" collapsed="false">
      <c r="B78" s="41" t="str">
        <f aca="false">V78</f>
        <v>CT</v>
      </c>
      <c r="C78" s="26" t="n">
        <f aca="false">SUMPRODUCT(LT_incl*(LT_state1=$V78))</f>
        <v>2</v>
      </c>
      <c r="D78" s="23" t="n">
        <f aca="false">IFERROR(C78/StratLoans,0)</f>
        <v>0.0152671755725191</v>
      </c>
      <c r="E78" s="26" t="n">
        <f aca="false">SUMPRODUCT(LT_incl*(LT_state1=$V78),LT_units)</f>
        <v>454</v>
      </c>
      <c r="F78" s="26" t="n">
        <f aca="false">SUMPRODUCT(LT_incl*(LT_state1=$V78),LT_beds)</f>
        <v>0</v>
      </c>
      <c r="G78" s="22" t="n">
        <f aca="false">SUMPRODUCT(LT_incl*(LT_state1=$V78),LT_upb)</f>
        <v>90000000</v>
      </c>
      <c r="H78" s="23" t="n">
        <f aca="false">IFERROR(G78/StratUPB,0)</f>
        <v>0.0242183527113153</v>
      </c>
      <c r="I78" s="22" t="n">
        <f aca="false">IFERROR(G78/C78,0)</f>
        <v>45000000</v>
      </c>
      <c r="J78" s="22" t="n">
        <f aca="false">SUMPRODUCT(LT_incl*(LT_state1=$V78),LT_unfunded)</f>
        <v>0</v>
      </c>
      <c r="K78" s="22" t="n">
        <f aca="false">SUMPRODUCT(LT_incl*(LT_state1=$V78),LT_navres)</f>
        <v>0</v>
      </c>
      <c r="L78" s="24" t="n">
        <f aca="false">IFERROR(SUMPRODUCT(LT_incl*(LT_state1=$V78),LT_upb,LT_eff)/SUMPRODUCT(LT_incl*(LT_state1=$V78)*ISNUMBER(LT_eff),LT_upb),0)</f>
        <v>0.0342777777777778</v>
      </c>
      <c r="M78" s="24" t="n">
        <f aca="false">IFERROR(SUMPRODUCT(LT_incl*(LT_state1=$V78),LT_upb,LT_coupon)/SUMPRODUCT(LT_incl*(LT_state1=$V78)*ISNUMBER(LT_coupon),LT_upb),0)</f>
        <v>0.0707777777777778</v>
      </c>
      <c r="N78" s="23" t="n">
        <f aca="false">IFERROR(SUMPRODUCT(LT_incl*(LT_state1=$V78),LT_upb,LT_ltv_asis)/SUMPRODUCT(LT_incl*(LT_state1=$V78)*ISNUMBER(LT_ltv_asis),LT_upb),0)</f>
        <v>0.78045523193096</v>
      </c>
      <c r="O78" s="23" t="n">
        <f aca="false">IFERROR(SUMPRODUCT(LT_incl*(LT_state1=$V78),LT_upb,LT_ltv_stab)/SUMPRODUCT(LT_incl*(LT_state1=$V78)*ISNUMBER(LT_ltv_stab),LT_upb),0)</f>
        <v>0.725127017814651</v>
      </c>
      <c r="P78" s="25" t="n">
        <f aca="false">IFERROR(SUMPRODUCT(LT_incl*(LT_state1=$V78),LT_upb,LT_seas)/SUMPRODUCT(LT_incl*(LT_state1=$V78)*ISNUMBER(LT_seas),LT_upb),0)</f>
        <v>60.7437827971709</v>
      </c>
      <c r="Q78" s="25" t="n">
        <f aca="false">IFERROR(SUMPRODUCT(LT_incl*(LT_state1=$V78),LT_upb,LT_rti)/SUMPRODUCT(LT_incl*(LT_state1=$V78)*ISNUMBER(LT_rti),LT_upb),0)</f>
        <v>0</v>
      </c>
      <c r="R78" s="25" t="n">
        <f aca="false">IFERROR(SUMPRODUCT(LT_incl*(LT_state1=$V78),LT_upb,LT_rte)/SUMPRODUCT(LT_incl*(LT_state1=$V78)*ISNUMBER(LT_rte),LT_upb),0)</f>
        <v>4.50102669404518</v>
      </c>
      <c r="S78" s="23" t="n">
        <f aca="false">IFERROR(SUMPRODUCT(LT_incl*(LT_state1=$V78),LT_backdebt)/G78,0)</f>
        <v>0.711111111111111</v>
      </c>
      <c r="T78" s="23" t="n">
        <f aca="false">IFERROR(SUMPRODUCT(LT_incl*(LT_state1=$V78),LT_equity,LT_roe)/SUMPRODUCT(LT_incl*(LT_state1=$V78)*ISNUMBER(LT_roe),LT_equity),0)</f>
        <v>0.114538461538462</v>
      </c>
      <c r="V78" s="42" t="s">
        <v>100</v>
      </c>
    </row>
    <row r="79" customFormat="false" ht="15" hidden="false" customHeight="false" outlineLevel="0" collapsed="false">
      <c r="B79" s="43" t="str">
        <f aca="false">V79</f>
        <v>MD</v>
      </c>
      <c r="C79" s="44" t="n">
        <f aca="false">SUMPRODUCT(LT_incl*(LT_state1=$V79))</f>
        <v>3</v>
      </c>
      <c r="D79" s="32" t="n">
        <f aca="false">IFERROR(C79/StratLoans,0)</f>
        <v>0.0229007633587786</v>
      </c>
      <c r="E79" s="44" t="n">
        <f aca="false">SUMPRODUCT(LT_incl*(LT_state1=$V79),LT_units)</f>
        <v>1203</v>
      </c>
      <c r="F79" s="44" t="n">
        <f aca="false">SUMPRODUCT(LT_incl*(LT_state1=$V79),LT_beds)</f>
        <v>0</v>
      </c>
      <c r="G79" s="31" t="n">
        <f aca="false">SUMPRODUCT(LT_incl*(LT_state1=$V79),LT_upb)</f>
        <v>88740000</v>
      </c>
      <c r="H79" s="32" t="n">
        <f aca="false">IFERROR(G79/StratUPB,0)</f>
        <v>0.0238792957733569</v>
      </c>
      <c r="I79" s="31" t="n">
        <f aca="false">IFERROR(G79/C79,0)</f>
        <v>29580000</v>
      </c>
      <c r="J79" s="31" t="n">
        <f aca="false">SUMPRODUCT(LT_incl*(LT_state1=$V79),LT_unfunded)</f>
        <v>500000</v>
      </c>
      <c r="K79" s="31" t="n">
        <f aca="false">SUMPRODUCT(LT_incl*(LT_state1=$V79),LT_navres)</f>
        <v>-357383.067330304</v>
      </c>
      <c r="L79" s="33" t="n">
        <f aca="false">IFERROR(SUMPRODUCT(LT_incl*(LT_state1=$V79),LT_upb,LT_eff)/SUMPRODUCT(LT_incl*(LT_state1=$V79)*ISNUMBER(LT_eff),LT_upb),0)</f>
        <v>0.0345063105702051</v>
      </c>
      <c r="M79" s="33" t="n">
        <f aca="false">IFERROR(SUMPRODUCT(LT_incl*(LT_state1=$V79),LT_upb,LT_coupon)/SUMPRODUCT(LT_incl*(LT_state1=$V79)*ISNUMBER(LT_coupon),LT_upb),0)</f>
        <v>0.0710063105702051</v>
      </c>
      <c r="N79" s="32" t="n">
        <f aca="false">IFERROR(SUMPRODUCT(LT_incl*(LT_state1=$V79),LT_upb,LT_ltv_asis)/SUMPRODUCT(LT_incl*(LT_state1=$V79)*ISNUMBER(LT_ltv_asis),LT_upb),0)</f>
        <v>0.788149945918191</v>
      </c>
      <c r="O79" s="32" t="n">
        <f aca="false">IFERROR(SUMPRODUCT(LT_incl*(LT_state1=$V79),LT_upb,LT_ltv_stab)/SUMPRODUCT(LT_incl*(LT_state1=$V79)*ISNUMBER(LT_ltv_stab),LT_upb),0)</f>
        <v>0.717415491854556</v>
      </c>
      <c r="P79" s="34" t="n">
        <f aca="false">IFERROR(SUMPRODUCT(LT_incl*(LT_state1=$V79),LT_upb,LT_seas)/SUMPRODUCT(LT_incl*(LT_state1=$V79)*ISNUMBER(LT_seas),LT_upb),0)</f>
        <v>34.9345836000146</v>
      </c>
      <c r="Q79" s="34" t="n">
        <f aca="false">IFERROR(SUMPRODUCT(LT_incl*(LT_state1=$V79),LT_upb,LT_rti)/SUMPRODUCT(LT_incl*(LT_state1=$V79)*ISNUMBER(LT_rti),LT_upb),0)</f>
        <v>1.88327851615522</v>
      </c>
      <c r="R79" s="34" t="n">
        <f aca="false">IFERROR(SUMPRODUCT(LT_incl*(LT_state1=$V79),LT_upb,LT_rte)/SUMPRODUCT(LT_incl*(LT_state1=$V79)*ISNUMBER(LT_rte),LT_upb),0)</f>
        <v>27.8138909367235</v>
      </c>
      <c r="S79" s="32" t="n">
        <f aca="false">IFERROR(SUMPRODUCT(LT_incl*(LT_state1=$V79),LT_backdebt)/G79,0)</f>
        <v>0.640818348568853</v>
      </c>
      <c r="T79" s="32" t="n">
        <f aca="false">IFERROR(SUMPRODUCT(LT_incl*(LT_state1=$V79),LT_equity,LT_roe)/SUMPRODUCT(LT_incl*(LT_state1=$V79)*ISNUMBER(LT_roe),LT_equity),0)</f>
        <v>0.0999200959337193</v>
      </c>
      <c r="V79" s="42" t="s">
        <v>101</v>
      </c>
    </row>
    <row r="80" customFormat="false" ht="15" hidden="false" customHeight="false" outlineLevel="0" collapsed="false">
      <c r="B80" s="41" t="str">
        <f aca="false">V80</f>
        <v>OH</v>
      </c>
      <c r="C80" s="26" t="n">
        <f aca="false">SUMPRODUCT(LT_incl*(LT_state1=$V80))</f>
        <v>3</v>
      </c>
      <c r="D80" s="23" t="n">
        <f aca="false">IFERROR(C80/StratLoans,0)</f>
        <v>0.0229007633587786</v>
      </c>
      <c r="E80" s="26" t="n">
        <f aca="false">SUMPRODUCT(LT_incl*(LT_state1=$V80),LT_units)</f>
        <v>153</v>
      </c>
      <c r="F80" s="26" t="n">
        <f aca="false">SUMPRODUCT(LT_incl*(LT_state1=$V80),LT_beds)</f>
        <v>689</v>
      </c>
      <c r="G80" s="22" t="n">
        <f aca="false">SUMPRODUCT(LT_incl*(LT_state1=$V80),LT_upb)</f>
        <v>84725000</v>
      </c>
      <c r="H80" s="23" t="n">
        <f aca="false">IFERROR(G80/StratUPB,0)</f>
        <v>0.0227988881496244</v>
      </c>
      <c r="I80" s="22" t="n">
        <f aca="false">IFERROR(G80/C80,0)</f>
        <v>28241666.6666667</v>
      </c>
      <c r="J80" s="22" t="n">
        <f aca="false">SUMPRODUCT(LT_incl*(LT_state1=$V80),LT_unfunded)</f>
        <v>0</v>
      </c>
      <c r="K80" s="22" t="n">
        <f aca="false">SUMPRODUCT(LT_incl*(LT_state1=$V80),LT_navres)</f>
        <v>0</v>
      </c>
      <c r="L80" s="24" t="n">
        <f aca="false">IFERROR(SUMPRODUCT(LT_incl*(LT_state1=$V80),LT_upb,LT_eff)/SUMPRODUCT(LT_incl*(LT_state1=$V80)*ISNUMBER(LT_eff),LT_upb),0)</f>
        <v>0.0419880495721452</v>
      </c>
      <c r="M80" s="24" t="n">
        <f aca="false">IFERROR(SUMPRODUCT(LT_incl*(LT_state1=$V80),LT_upb,LT_coupon)/SUMPRODUCT(LT_incl*(LT_state1=$V80)*ISNUMBER(LT_coupon),LT_upb),0)</f>
        <v>0.0784880495721452</v>
      </c>
      <c r="N80" s="23" t="n">
        <f aca="false">IFERROR(SUMPRODUCT(LT_incl*(LT_state1=$V80),LT_upb,LT_ltv_asis)/SUMPRODUCT(LT_incl*(LT_state1=$V80)*ISNUMBER(LT_ltv_asis),LT_upb),0)</f>
        <v>0.682722757952213</v>
      </c>
      <c r="O80" s="23" t="n">
        <f aca="false">IFERROR(SUMPRODUCT(LT_incl*(LT_state1=$V80),LT_upb,LT_ltv_stab)/SUMPRODUCT(LT_incl*(LT_state1=$V80)*ISNUMBER(LT_ltv_stab),LT_upb),0)</f>
        <v>0.606474191539927</v>
      </c>
      <c r="P80" s="25" t="n">
        <f aca="false">IFERROR(SUMPRODUCT(LT_incl*(LT_state1=$V80),LT_upb,LT_seas)/SUMPRODUCT(LT_incl*(LT_state1=$V80)*ISNUMBER(LT_seas),LT_upb),0)</f>
        <v>5.63802082228832</v>
      </c>
      <c r="Q80" s="25" t="n">
        <f aca="false">IFERROR(SUMPRODUCT(LT_incl*(LT_state1=$V80),LT_upb,LT_rti)/SUMPRODUCT(LT_incl*(LT_state1=$V80)*ISNUMBER(LT_rti),LT_upb),0)</f>
        <v>19.2373950509045</v>
      </c>
      <c r="R80" s="25" t="n">
        <f aca="false">IFERROR(SUMPRODUCT(LT_incl*(LT_state1=$V80),LT_upb,LT_rte)/SUMPRODUCT(LT_incl*(LT_state1=$V80)*ISNUMBER(LT_rte),LT_upb),0)</f>
        <v>31.2355506976006</v>
      </c>
      <c r="S80" s="23" t="n">
        <f aca="false">IFERROR(SUMPRODUCT(LT_incl*(LT_state1=$V80),LT_backdebt)/G80,0)</f>
        <v>0.648223306949014</v>
      </c>
      <c r="T80" s="23" t="n">
        <f aca="false">IFERROR(SUMPRODUCT(LT_incl*(LT_state1=$V80),LT_equity,LT_roe)/SUMPRODUCT(LT_incl*(LT_state1=$V80)*ISNUMBER(LT_roe),LT_equity),0)</f>
        <v>0.120519269087813</v>
      </c>
      <c r="V80" s="42" t="s">
        <v>102</v>
      </c>
    </row>
    <row r="81" customFormat="false" ht="15" hidden="false" customHeight="false" outlineLevel="0" collapsed="false">
      <c r="B81" s="43" t="str">
        <f aca="false">V81</f>
        <v>AL</v>
      </c>
      <c r="C81" s="44" t="n">
        <f aca="false">SUMPRODUCT(LT_incl*(LT_state1=$V81))</f>
        <v>4</v>
      </c>
      <c r="D81" s="32" t="n">
        <f aca="false">IFERROR(C81/StratLoans,0)</f>
        <v>0.0305343511450382</v>
      </c>
      <c r="E81" s="44" t="n">
        <f aca="false">SUMPRODUCT(LT_incl*(LT_state1=$V81),LT_units)</f>
        <v>846</v>
      </c>
      <c r="F81" s="44" t="n">
        <f aca="false">SUMPRODUCT(LT_incl*(LT_state1=$V81),LT_beds)</f>
        <v>316</v>
      </c>
      <c r="G81" s="31" t="n">
        <f aca="false">SUMPRODUCT(LT_incl*(LT_state1=$V81),LT_upb)</f>
        <v>83046121.22</v>
      </c>
      <c r="H81" s="32" t="n">
        <f aca="false">IFERROR(G81/StratUPB,0)</f>
        <v>0.0223471139445846</v>
      </c>
      <c r="I81" s="31" t="n">
        <f aca="false">IFERROR(G81/C81,0)</f>
        <v>20761530.305</v>
      </c>
      <c r="J81" s="31" t="n">
        <f aca="false">SUMPRODUCT(LT_incl*(LT_state1=$V81),LT_unfunded)</f>
        <v>4467065.63</v>
      </c>
      <c r="K81" s="31" t="n">
        <f aca="false">SUMPRODUCT(LT_incl*(LT_state1=$V81),LT_navres)</f>
        <v>-2160686.85</v>
      </c>
      <c r="L81" s="33" t="n">
        <f aca="false">IFERROR(SUMPRODUCT(LT_incl*(LT_state1=$V81),LT_upb,LT_eff)/SUMPRODUCT(LT_incl*(LT_state1=$V81)*ISNUMBER(LT_eff),LT_upb),0)</f>
        <v>0.044426819048732</v>
      </c>
      <c r="M81" s="33" t="n">
        <f aca="false">IFERROR(SUMPRODUCT(LT_incl*(LT_state1=$V81),LT_upb,LT_coupon)/SUMPRODUCT(LT_incl*(LT_state1=$V81)*ISNUMBER(LT_coupon),LT_upb),0)</f>
        <v>0.080926819048732</v>
      </c>
      <c r="N81" s="32" t="n">
        <f aca="false">IFERROR(SUMPRODUCT(LT_incl*(LT_state1=$V81),LT_upb,LT_ltv_asis)/SUMPRODUCT(LT_incl*(LT_state1=$V81)*ISNUMBER(LT_ltv_asis),LT_upb),0)</f>
        <v>0.550832133159766</v>
      </c>
      <c r="O81" s="32" t="n">
        <f aca="false">IFERROR(SUMPRODUCT(LT_incl*(LT_state1=$V81),LT_upb,LT_ltv_stab)/SUMPRODUCT(LT_incl*(LT_state1=$V81)*ISNUMBER(LT_ltv_stab),LT_upb),0)</f>
        <v>0.542271430306608</v>
      </c>
      <c r="P81" s="34" t="n">
        <f aca="false">IFERROR(SUMPRODUCT(LT_incl*(LT_state1=$V81),LT_upb,LT_seas)/SUMPRODUCT(LT_incl*(LT_state1=$V81)*ISNUMBER(LT_seas),LT_upb),0)</f>
        <v>26.3880892534195</v>
      </c>
      <c r="Q81" s="34" t="n">
        <f aca="false">IFERROR(SUMPRODUCT(LT_incl*(LT_state1=$V81),LT_upb,LT_rti)/SUMPRODUCT(LT_incl*(LT_state1=$V81)*ISNUMBER(LT_rti),LT_upb),0)</f>
        <v>2.03030415425142</v>
      </c>
      <c r="R81" s="34" t="n">
        <f aca="false">IFERROR(SUMPRODUCT(LT_incl*(LT_state1=$V81),LT_upb,LT_rte)/SUMPRODUCT(LT_incl*(LT_state1=$V81)*ISNUMBER(LT_rte),LT_upb),0)</f>
        <v>24.5908643481998</v>
      </c>
      <c r="S81" s="32" t="n">
        <f aca="false">IFERROR(SUMPRODUCT(LT_incl*(LT_state1=$V81),LT_backdebt)/G81,0)</f>
        <v>0.702271807513259</v>
      </c>
      <c r="T81" s="32" t="n">
        <f aca="false">IFERROR(SUMPRODUCT(LT_incl*(LT_state1=$V81),LT_equity,LT_roe)/SUMPRODUCT(LT_incl*(LT_state1=$V81)*ISNUMBER(LT_roe),LT_equity),0)</f>
        <v>0.14201660361079</v>
      </c>
      <c r="V81" s="42" t="s">
        <v>103</v>
      </c>
    </row>
    <row r="82" customFormat="false" ht="15" hidden="false" customHeight="false" outlineLevel="0" collapsed="false">
      <c r="B82" s="41" t="str">
        <f aca="false">V82</f>
        <v>OR</v>
      </c>
      <c r="C82" s="26" t="n">
        <f aca="false">SUMPRODUCT(LT_incl*(LT_state1=$V82))</f>
        <v>2</v>
      </c>
      <c r="D82" s="23" t="n">
        <f aca="false">IFERROR(C82/StratLoans,0)</f>
        <v>0.0152671755725191</v>
      </c>
      <c r="E82" s="26" t="n">
        <f aca="false">SUMPRODUCT(LT_incl*(LT_state1=$V82),LT_units)</f>
        <v>417</v>
      </c>
      <c r="F82" s="26" t="n">
        <f aca="false">SUMPRODUCT(LT_incl*(LT_state1=$V82),LT_beds)</f>
        <v>48</v>
      </c>
      <c r="G82" s="22" t="n">
        <f aca="false">SUMPRODUCT(LT_incl*(LT_state1=$V82),LT_upb)</f>
        <v>79700000</v>
      </c>
      <c r="H82" s="23" t="n">
        <f aca="false">IFERROR(G82/StratUPB,0)</f>
        <v>0.0214466967899093</v>
      </c>
      <c r="I82" s="22" t="n">
        <f aca="false">IFERROR(G82/C82,0)</f>
        <v>39850000</v>
      </c>
      <c r="J82" s="22" t="n">
        <f aca="false">SUMPRODUCT(LT_incl*(LT_state1=$V82),LT_unfunded)</f>
        <v>0</v>
      </c>
      <c r="K82" s="22" t="n">
        <f aca="false">SUMPRODUCT(LT_incl*(LT_state1=$V82),LT_navres)</f>
        <v>0</v>
      </c>
      <c r="L82" s="24" t="n">
        <f aca="false">IFERROR(SUMPRODUCT(LT_incl*(LT_state1=$V82),LT_upb,LT_eff)/SUMPRODUCT(LT_incl*(LT_state1=$V82)*ISNUMBER(LT_eff),LT_upb),0)</f>
        <v>0.041021329987453</v>
      </c>
      <c r="M82" s="24" t="n">
        <f aca="false">IFERROR(SUMPRODUCT(LT_incl*(LT_state1=$V82),LT_upb,LT_coupon)/SUMPRODUCT(LT_incl*(LT_state1=$V82)*ISNUMBER(LT_coupon),LT_upb),0)</f>
        <v>0.077521329987453</v>
      </c>
      <c r="N82" s="23" t="n">
        <f aca="false">IFERROR(SUMPRODUCT(LT_incl*(LT_state1=$V82),LT_upb,LT_ltv_asis)/SUMPRODUCT(LT_incl*(LT_state1=$V82)*ISNUMBER(LT_ltv_asis),LT_upb),0)</f>
        <v>0.602188297250277</v>
      </c>
      <c r="O82" s="23" t="n">
        <f aca="false">IFERROR(SUMPRODUCT(LT_incl*(LT_state1=$V82),LT_upb,LT_ltv_stab)/SUMPRODUCT(LT_incl*(LT_state1=$V82)*ISNUMBER(LT_ltv_stab),LT_upb),0)</f>
        <v>0.574889240358541</v>
      </c>
      <c r="P82" s="25" t="n">
        <f aca="false">IFERROR(SUMPRODUCT(LT_incl*(LT_state1=$V82),LT_upb,LT_seas)/SUMPRODUCT(LT_incl*(LT_state1=$V82)*ISNUMBER(LT_seas),LT_upb),0)</f>
        <v>30.9370818186268</v>
      </c>
      <c r="Q82" s="25" t="n">
        <f aca="false">IFERROR(SUMPRODUCT(LT_incl*(LT_state1=$V82),LT_upb,LT_rti)/SUMPRODUCT(LT_incl*(LT_state1=$V82)*ISNUMBER(LT_rti),LT_upb),0)</f>
        <v>1.46347571359745</v>
      </c>
      <c r="R82" s="25" t="n">
        <f aca="false">IFERROR(SUMPRODUCT(LT_incl*(LT_state1=$V82),LT_upb,LT_rte)/SUMPRODUCT(LT_incl*(LT_state1=$V82)*ISNUMBER(LT_rte),LT_upb),0)</f>
        <v>10.862252955771</v>
      </c>
      <c r="S82" s="23" t="n">
        <f aca="false">IFERROR(SUMPRODUCT(LT_incl*(LT_state1=$V82),LT_backdebt)/G82,0)</f>
        <v>0.817123718451613</v>
      </c>
      <c r="T82" s="23" t="n">
        <f aca="false">IFERROR(SUMPRODUCT(LT_incl*(LT_state1=$V82),LT_equity,LT_roe)/SUMPRODUCT(LT_incl*(LT_state1=$V82)*ISNUMBER(LT_roe),LT_equity),0)</f>
        <v>0.178103667384213</v>
      </c>
      <c r="V82" s="42" t="s">
        <v>104</v>
      </c>
    </row>
    <row r="83" customFormat="false" ht="15" hidden="false" customHeight="false" outlineLevel="0" collapsed="false">
      <c r="B83" s="43" t="str">
        <f aca="false">V83</f>
        <v>ID</v>
      </c>
      <c r="C83" s="44" t="n">
        <f aca="false">SUMPRODUCT(LT_incl*(LT_state1=$V83))</f>
        <v>1</v>
      </c>
      <c r="D83" s="32" t="n">
        <f aca="false">IFERROR(C83/StratLoans,0)</f>
        <v>0.00763358778625954</v>
      </c>
      <c r="E83" s="44" t="n">
        <f aca="false">SUMPRODUCT(LT_incl*(LT_state1=$V83),LT_units)</f>
        <v>234</v>
      </c>
      <c r="F83" s="44" t="n">
        <f aca="false">SUMPRODUCT(LT_incl*(LT_state1=$V83),LT_beds)</f>
        <v>0</v>
      </c>
      <c r="G83" s="31" t="n">
        <f aca="false">SUMPRODUCT(LT_incl*(LT_state1=$V83),LT_upb)</f>
        <v>65000000</v>
      </c>
      <c r="H83" s="32" t="n">
        <f aca="false">IFERROR(G83/StratUPB,0)</f>
        <v>0.0174910325137277</v>
      </c>
      <c r="I83" s="31" t="n">
        <f aca="false">IFERROR(G83/C83,0)</f>
        <v>65000000</v>
      </c>
      <c r="J83" s="31" t="n">
        <f aca="false">SUMPRODUCT(LT_incl*(LT_state1=$V83),LT_unfunded)</f>
        <v>0</v>
      </c>
      <c r="K83" s="31" t="n">
        <f aca="false">SUMPRODUCT(LT_incl*(LT_state1=$V83),LT_navres)</f>
        <v>0</v>
      </c>
      <c r="L83" s="33" t="n">
        <f aca="false">IFERROR(SUMPRODUCT(LT_incl*(LT_state1=$V83),LT_upb,LT_eff)/SUMPRODUCT(LT_incl*(LT_state1=$V83)*ISNUMBER(LT_eff),LT_upb),0)</f>
        <v>0.0385</v>
      </c>
      <c r="M83" s="33" t="n">
        <f aca="false">IFERROR(SUMPRODUCT(LT_incl*(LT_state1=$V83),LT_upb,LT_coupon)/SUMPRODUCT(LT_incl*(LT_state1=$V83)*ISNUMBER(LT_coupon),LT_upb),0)</f>
        <v>0.075</v>
      </c>
      <c r="N83" s="32" t="n">
        <f aca="false">IFERROR(SUMPRODUCT(LT_incl*(LT_state1=$V83),LT_upb,LT_ltv_asis)/SUMPRODUCT(LT_incl*(LT_state1=$V83)*ISNUMBER(LT_ltv_asis),LT_upb),0)</f>
        <v>0.545232698242319</v>
      </c>
      <c r="O83" s="32" t="n">
        <f aca="false">IFERROR(SUMPRODUCT(LT_incl*(LT_state1=$V83),LT_upb,LT_ltv_stab)/SUMPRODUCT(LT_incl*(LT_state1=$V83)*ISNUMBER(LT_ltv_stab),LT_upb),0)</f>
        <v>0.657295985438366</v>
      </c>
      <c r="P83" s="34" t="n">
        <f aca="false">IFERROR(SUMPRODUCT(LT_incl*(LT_state1=$V83),LT_upb,LT_seas)/SUMPRODUCT(LT_incl*(LT_state1=$V83)*ISNUMBER(LT_seas),LT_upb),0)</f>
        <v>33.0184804928131</v>
      </c>
      <c r="Q83" s="34" t="n">
        <f aca="false">IFERROR(SUMPRODUCT(LT_incl*(LT_state1=$V83),LT_upb,LT_rti)/SUMPRODUCT(LT_incl*(LT_state1=$V83)*ISNUMBER(LT_rti),LT_upb),0)</f>
        <v>0</v>
      </c>
      <c r="R83" s="34" t="n">
        <f aca="false">IFERROR(SUMPRODUCT(LT_incl*(LT_state1=$V83),LT_upb,LT_rte)/SUMPRODUCT(LT_incl*(LT_state1=$V83)*ISNUMBER(LT_rte),LT_upb),0)</f>
        <v>9.03490759753593</v>
      </c>
      <c r="S83" s="32" t="n">
        <f aca="false">IFERROR(SUMPRODUCT(LT_incl*(LT_state1=$V83),LT_backdebt)/G83,0)</f>
        <v>0.848749556</v>
      </c>
      <c r="T83" s="32" t="n">
        <f aca="false">IFERROR(SUMPRODUCT(LT_incl*(LT_state1=$V83),LT_equity,LT_roe)/SUMPRODUCT(LT_incl*(LT_state1=$V83)*ISNUMBER(LT_roe),LT_equity),0)</f>
        <v>0.188353326957506</v>
      </c>
      <c r="V83" s="42" t="s">
        <v>105</v>
      </c>
    </row>
    <row r="84" customFormat="false" ht="15" hidden="false" customHeight="false" outlineLevel="0" collapsed="false">
      <c r="B84" s="41" t="str">
        <f aca="false">V84</f>
        <v>IN</v>
      </c>
      <c r="C84" s="26" t="n">
        <f aca="false">SUMPRODUCT(LT_incl*(LT_state1=$V84))</f>
        <v>1</v>
      </c>
      <c r="D84" s="23" t="n">
        <f aca="false">IFERROR(C84/StratLoans,0)</f>
        <v>0.00763358778625954</v>
      </c>
      <c r="E84" s="26" t="n">
        <f aca="false">SUMPRODUCT(LT_incl*(LT_state1=$V84),LT_units)</f>
        <v>0</v>
      </c>
      <c r="F84" s="26" t="n">
        <f aca="false">SUMPRODUCT(LT_incl*(LT_state1=$V84),LT_beds)</f>
        <v>399</v>
      </c>
      <c r="G84" s="22" t="n">
        <f aca="false">SUMPRODUCT(LT_incl*(LT_state1=$V84),LT_upb)</f>
        <v>65000000</v>
      </c>
      <c r="H84" s="23" t="n">
        <f aca="false">IFERROR(G84/StratUPB,0)</f>
        <v>0.0174910325137277</v>
      </c>
      <c r="I84" s="22" t="n">
        <f aca="false">IFERROR(G84/C84,0)</f>
        <v>65000000</v>
      </c>
      <c r="J84" s="22" t="n">
        <f aca="false">SUMPRODUCT(LT_incl*(LT_state1=$V84),LT_unfunded)</f>
        <v>0</v>
      </c>
      <c r="K84" s="22" t="n">
        <f aca="false">SUMPRODUCT(LT_incl*(LT_state1=$V84),LT_navres)</f>
        <v>0</v>
      </c>
      <c r="L84" s="24" t="n">
        <f aca="false">IFERROR(SUMPRODUCT(LT_incl*(LT_state1=$V84),LT_upb,LT_eff)/SUMPRODUCT(LT_incl*(LT_state1=$V84)*ISNUMBER(LT_eff),LT_upb),0)</f>
        <v>0.063</v>
      </c>
      <c r="M84" s="24" t="n">
        <f aca="false">IFERROR(SUMPRODUCT(LT_incl*(LT_state1=$V84),LT_upb,LT_coupon)/SUMPRODUCT(LT_incl*(LT_state1=$V84)*ISNUMBER(LT_coupon),LT_upb),0)</f>
        <v>0.0995</v>
      </c>
      <c r="N84" s="23" t="n">
        <f aca="false">IFERROR(SUMPRODUCT(LT_incl*(LT_state1=$V84),LT_upb,LT_ltv_asis)/SUMPRODUCT(LT_incl*(LT_state1=$V84)*ISNUMBER(LT_ltv_asis),LT_upb),0)</f>
        <v>0.596026490066225</v>
      </c>
      <c r="O84" s="23" t="n">
        <f aca="false">IFERROR(SUMPRODUCT(LT_incl*(LT_state1=$V84),LT_upb,LT_ltv_stab)/SUMPRODUCT(LT_incl*(LT_state1=$V84)*ISNUMBER(LT_ltv_stab),LT_upb),0)</f>
        <v>0.628019323671498</v>
      </c>
      <c r="P84" s="25" t="n">
        <f aca="false">IFERROR(SUMPRODUCT(LT_incl*(LT_state1=$V84),LT_upb,LT_seas)/SUMPRODUCT(LT_incl*(LT_state1=$V84)*ISNUMBER(LT_seas),LT_upb),0)</f>
        <v>33.0513347022587</v>
      </c>
      <c r="Q84" s="25" t="n">
        <f aca="false">IFERROR(SUMPRODUCT(LT_incl*(LT_state1=$V84),LT_upb,LT_rti)/SUMPRODUCT(LT_incl*(LT_state1=$V84)*ISNUMBER(LT_rti),LT_upb),0)</f>
        <v>0</v>
      </c>
      <c r="R84" s="25" t="n">
        <f aca="false">IFERROR(SUMPRODUCT(LT_incl*(LT_state1=$V84),LT_upb,LT_rte)/SUMPRODUCT(LT_incl*(LT_state1=$V84)*ISNUMBER(LT_rte),LT_upb),0)</f>
        <v>3.05544147843943</v>
      </c>
      <c r="S84" s="23" t="n">
        <f aca="false">IFERROR(SUMPRODUCT(LT_incl*(LT_state1=$V84),LT_backdebt)/G84,0)</f>
        <v>0.6538510940947</v>
      </c>
      <c r="T84" s="23" t="n">
        <f aca="false">IFERROR(SUMPRODUCT(LT_incl*(LT_state1=$V84),LT_equity,LT_roe)/SUMPRODUCT(LT_incl*(LT_state1=$V84)*ISNUMBER(LT_roe),LT_equity),0)</f>
        <v>0.178121725774209</v>
      </c>
      <c r="V84" s="42" t="s">
        <v>106</v>
      </c>
    </row>
    <row r="85" customFormat="false" ht="15" hidden="false" customHeight="false" outlineLevel="0" collapsed="false">
      <c r="B85" s="27" t="s">
        <v>107</v>
      </c>
      <c r="C85" s="44" t="n">
        <f aca="false">SUMPRODUCT(LT_incl*(1-ISNUMBER(MATCH(LT_state1,$V$70:$V$84,0))))</f>
        <v>37</v>
      </c>
      <c r="D85" s="32" t="n">
        <f aca="false">IFERROR(C85/StratLoans,0)</f>
        <v>0.282442748091603</v>
      </c>
      <c r="E85" s="44" t="n">
        <f aca="false">SUMPRODUCT(LT_incl*(1-ISNUMBER(MATCH(LT_state1,$V$70:$V$84,0))),LT_units)</f>
        <v>5535</v>
      </c>
      <c r="F85" s="44" t="n">
        <f aca="false">SUMPRODUCT(LT_incl*(1-ISNUMBER(MATCH(LT_state1,$V$70:$V$84,0))),LT_beds)</f>
        <v>3790</v>
      </c>
      <c r="G85" s="31" t="n">
        <f aca="false">SUMPRODUCT(LT_incl*(1-ISNUMBER(MATCH(LT_state1,$V$70:$V$84,0))),LT_upb)</f>
        <v>781076625.87</v>
      </c>
      <c r="H85" s="32" t="n">
        <f aca="false">IFERROR(G85/StratUPB,0)</f>
        <v>0.210182102443153</v>
      </c>
      <c r="I85" s="31" t="n">
        <f aca="false">IFERROR(G85/C85,0)</f>
        <v>21110179.0775676</v>
      </c>
      <c r="J85" s="31" t="n">
        <f aca="false">SUMPRODUCT(LT_incl*(1-ISNUMBER(MATCH(LT_state1,$V$70:$V$84,0))),LT_unfunded)</f>
        <v>9343865.56</v>
      </c>
      <c r="K85" s="31" t="n">
        <f aca="false">SUMPRODUCT(LT_incl*(1-ISNUMBER(MATCH(LT_state1,$V$70:$V$84,0))),LT_navres)</f>
        <v>-1464974</v>
      </c>
      <c r="L85" s="33" t="n">
        <f aca="false">IFERROR(SUMPRODUCT(LT_incl*(1-ISNUMBER(MATCH(LT_state1,$V$70:$V$84,0))),LT_upb,LT_eff)/SUMPRODUCT(LT_incl*(1-ISNUMBER(MATCH(LT_state1,$V$70:$V$84,0)))*ISNUMBER(LT_eff),LT_upb),0)</f>
        <v>0.0422655833384003</v>
      </c>
      <c r="M85" s="33" t="n">
        <f aca="false">IFERROR(SUMPRODUCT(LT_incl*(1-ISNUMBER(MATCH(LT_state1,$V$70:$V$84,0))),LT_upb,LT_coupon)/SUMPRODUCT(LT_incl*(1-ISNUMBER(MATCH(LT_state1,$V$70:$V$84,0)))*ISNUMBER(LT_coupon),LT_upb),0)</f>
        <v>0.0787655833384003</v>
      </c>
      <c r="N85" s="32" t="n">
        <f aca="false">IFERROR(SUMPRODUCT(LT_incl*(1-ISNUMBER(MATCH(LT_state1,$V$70:$V$84,0))),LT_upb,LT_ltv_asis)/SUMPRODUCT(LT_incl*(1-ISNUMBER(MATCH(LT_state1,$V$70:$V$84,0)))*ISNUMBER(LT_ltv_asis),LT_upb),0)</f>
        <v>0.704718516786503</v>
      </c>
      <c r="O85" s="32" t="n">
        <f aca="false">IFERROR(SUMPRODUCT(LT_incl*(1-ISNUMBER(MATCH(LT_state1,$V$70:$V$84,0))),LT_upb,LT_ltv_stab)/SUMPRODUCT(LT_incl*(1-ISNUMBER(MATCH(LT_state1,$V$70:$V$84,0)))*ISNUMBER(LT_ltv_stab),LT_upb),0)</f>
        <v>0.660029002970387</v>
      </c>
      <c r="P85" s="34" t="n">
        <f aca="false">IFERROR(SUMPRODUCT(LT_incl*(1-ISNUMBER(MATCH(LT_state1,$V$70:$V$84,0))),LT_upb,LT_seas)/SUMPRODUCT(LT_incl*(1-ISNUMBER(MATCH(LT_state1,$V$70:$V$84,0)))*ISNUMBER(LT_seas),LT_upb),0)</f>
        <v>21.6860311800609</v>
      </c>
      <c r="Q85" s="34" t="n">
        <f aca="false">IFERROR(SUMPRODUCT(LT_incl*(1-ISNUMBER(MATCH(LT_state1,$V$70:$V$84,0))),LT_upb,LT_rti)/SUMPRODUCT(LT_incl*(1-ISNUMBER(MATCH(LT_state1,$V$70:$V$84,0)))*ISNUMBER(LT_rti),LT_upb),0)</f>
        <v>12.4458860505226</v>
      </c>
      <c r="R85" s="34" t="n">
        <f aca="false">IFERROR(SUMPRODUCT(LT_incl*(1-ISNUMBER(MATCH(LT_state1,$V$70:$V$84,0))),LT_upb,LT_rte)/SUMPRODUCT(LT_incl*(1-ISNUMBER(MATCH(LT_state1,$V$70:$V$84,0)))*ISNUMBER(LT_rte),LT_upb),0)</f>
        <v>23.2212764431512</v>
      </c>
      <c r="S85" s="32" t="n">
        <f aca="false">IFERROR(SUMPRODUCT(LT_incl*(1-ISNUMBER(MATCH(LT_state1,$V$70:$V$84,0))),LT_backdebt)/G85,0)</f>
        <v>0.689408829925948</v>
      </c>
      <c r="T85" s="32" t="n">
        <f aca="false">IFERROR(SUMPRODUCT(LT_incl*(1-ISNUMBER(MATCH(LT_state1,$V$70:$V$84,0))),LT_equity,LT_roe)/SUMPRODUCT(LT_incl*(1-ISNUMBER(MATCH(LT_state1,$V$70:$V$84,0)))*ISNUMBER(LT_roe),LT_equity),0)</f>
        <v>0.131313939355143</v>
      </c>
    </row>
    <row r="86" customFormat="false" ht="15" hidden="false" customHeight="false" outlineLevel="0" collapsed="false">
      <c r="B86" s="35" t="s">
        <v>76</v>
      </c>
      <c r="C86" s="45" t="n">
        <f aca="false">SUMPRODUCT(LT_incl*(1))</f>
        <v>131</v>
      </c>
      <c r="D86" s="38" t="n">
        <f aca="false">IFERROR(C86/StratLoans,0)</f>
        <v>1</v>
      </c>
      <c r="E86" s="45" t="n">
        <f aca="false">SUMPRODUCT(LT_incl*(1),LT_units)</f>
        <v>22360</v>
      </c>
      <c r="F86" s="45" t="n">
        <f aca="false">SUMPRODUCT(LT_incl*(1),LT_beds)</f>
        <v>8726</v>
      </c>
      <c r="G86" s="37" t="n">
        <f aca="false">SUMPRODUCT(LT_incl*(1),LT_upb)</f>
        <v>3716189993.3</v>
      </c>
      <c r="H86" s="38" t="n">
        <f aca="false">IFERROR(G86/StratUPB,0)</f>
        <v>1</v>
      </c>
      <c r="I86" s="37" t="n">
        <f aca="false">IFERROR(G86/C86,0)</f>
        <v>28367862.5442748</v>
      </c>
      <c r="J86" s="37" t="n">
        <f aca="false">SUMPRODUCT(LT_incl*(1),LT_unfunded)</f>
        <v>70425498.27</v>
      </c>
      <c r="K86" s="37" t="n">
        <f aca="false">SUMPRODUCT(LT_incl*(1),LT_navres)</f>
        <v>-35761255.0310469</v>
      </c>
      <c r="L86" s="39" t="n">
        <f aca="false">IFERROR(SUMPRODUCT(LT_incl*(1),LT_upb,LT_eff)/SUMPRODUCT(LT_incl*(1)*ISNUMBER(LT_eff),LT_upb),0)</f>
        <v>0.0384104790702225</v>
      </c>
      <c r="M86" s="39" t="n">
        <f aca="false">IFERROR(SUMPRODUCT(LT_incl*(1),LT_upb,LT_coupon)/SUMPRODUCT(LT_incl*(1)*ISNUMBER(LT_coupon),LT_upb),0)</f>
        <v>0.0749104790702225</v>
      </c>
      <c r="N86" s="38" t="n">
        <f aca="false">IFERROR(SUMPRODUCT(LT_incl*(1),LT_upb,LT_ltv_asis)/SUMPRODUCT(LT_incl*(1)*ISNUMBER(LT_ltv_asis),LT_upb),0)</f>
        <v>0.685976245136614</v>
      </c>
      <c r="O86" s="38" t="n">
        <f aca="false">IFERROR(SUMPRODUCT(LT_incl*(1),LT_upb,LT_ltv_stab)/SUMPRODUCT(LT_incl*(1)*ISNUMBER(LT_ltv_stab),LT_upb),0)</f>
        <v>0.658970555756018</v>
      </c>
      <c r="P86" s="40" t="n">
        <f aca="false">IFERROR(SUMPRODUCT(LT_incl*(1),LT_upb,LT_seas)/SUMPRODUCT(LT_incl*(1)*ISNUMBER(LT_seas),LT_upb),0)</f>
        <v>26.0197171750702</v>
      </c>
      <c r="Q86" s="40" t="n">
        <f aca="false">IFERROR(SUMPRODUCT(LT_incl*(1),LT_upb,LT_rti)/SUMPRODUCT(LT_incl*(1)*ISNUMBER(LT_rti),LT_upb),0)</f>
        <v>10.7164396387939</v>
      </c>
      <c r="R86" s="40" t="n">
        <f aca="false">IFERROR(SUMPRODUCT(LT_incl*(1),LT_upb,LT_rte)/SUMPRODUCT(LT_incl*(1)*ISNUMBER(LT_rte),LT_upb),0)</f>
        <v>23.051497716819</v>
      </c>
      <c r="S86" s="38" t="n">
        <f aca="false">IFERROR(SUMPRODUCT(LT_incl*(1),LT_backdebt)/G86,0)</f>
        <v>0.628005362553862</v>
      </c>
      <c r="T86" s="38" t="n">
        <f aca="false">IFERROR(SUMPRODUCT(LT_incl*(1),LT_equity,LT_roe)/SUMPRODUCT(LT_incl*(1)*ISNUMBER(LT_roe),LT_equity),0)</f>
        <v>0.107961987212177</v>
      </c>
    </row>
    <row r="88" customFormat="false" ht="15" hidden="false" customHeight="false" outlineLevel="0" collapsed="false">
      <c r="B88" s="3" t="s">
        <v>108</v>
      </c>
      <c r="C88" s="4"/>
      <c r="D88" s="4"/>
      <c r="E88" s="4"/>
      <c r="F88" s="4"/>
      <c r="G88" s="4"/>
      <c r="H88" s="4"/>
      <c r="I88" s="4"/>
      <c r="J88" s="4"/>
      <c r="K88" s="4"/>
      <c r="L88" s="4"/>
      <c r="M88" s="4"/>
      <c r="N88" s="4"/>
      <c r="O88" s="4"/>
      <c r="P88" s="4"/>
      <c r="Q88" s="4"/>
      <c r="R88" s="4"/>
      <c r="S88" s="4"/>
      <c r="T88" s="4"/>
    </row>
    <row r="89" customFormat="false" ht="39.75" hidden="false" customHeight="true" outlineLevel="0" collapsed="false">
      <c r="B89" s="16" t="s">
        <v>63</v>
      </c>
      <c r="C89" s="17" t="s">
        <v>13</v>
      </c>
      <c r="D89" s="17" t="s">
        <v>64</v>
      </c>
      <c r="E89" s="17" t="s">
        <v>65</v>
      </c>
      <c r="F89" s="17" t="s">
        <v>66</v>
      </c>
      <c r="G89" s="17" t="s">
        <v>16</v>
      </c>
      <c r="H89" s="17" t="s">
        <v>46</v>
      </c>
      <c r="I89" s="17" t="s">
        <v>19</v>
      </c>
      <c r="J89" s="17" t="s">
        <v>28</v>
      </c>
      <c r="K89" s="17" t="s">
        <v>31</v>
      </c>
      <c r="L89" s="17" t="s">
        <v>7</v>
      </c>
      <c r="M89" s="17" t="s">
        <v>11</v>
      </c>
      <c r="N89" s="17" t="s">
        <v>23</v>
      </c>
      <c r="O89" s="17" t="s">
        <v>67</v>
      </c>
      <c r="P89" s="17" t="s">
        <v>5</v>
      </c>
      <c r="Q89" s="17" t="s">
        <v>68</v>
      </c>
      <c r="R89" s="17" t="s">
        <v>69</v>
      </c>
      <c r="S89" s="17" t="s">
        <v>56</v>
      </c>
      <c r="T89" s="17" t="s">
        <v>70</v>
      </c>
      <c r="V89" s="17" t="s">
        <v>71</v>
      </c>
    </row>
    <row r="90" customFormat="false" ht="15" hidden="false" customHeight="false" outlineLevel="0" collapsed="false">
      <c r="B90" s="41" t="str">
        <f aca="false">V90</f>
        <v>Northeast</v>
      </c>
      <c r="C90" s="26" t="n">
        <f aca="false">SUMPRODUCT(LT_incl*(LT_region=$V90))</f>
        <v>28</v>
      </c>
      <c r="D90" s="23" t="n">
        <f aca="false">IFERROR(C90/StratLoans,0)</f>
        <v>0.213740458015267</v>
      </c>
      <c r="E90" s="26" t="n">
        <f aca="false">SUMPRODUCT(LT_incl*(LT_region=$V90),LT_units)</f>
        <v>3124</v>
      </c>
      <c r="F90" s="26" t="n">
        <f aca="false">SUMPRODUCT(LT_incl*(LT_region=$V90),LT_beds)</f>
        <v>2387</v>
      </c>
      <c r="G90" s="22" t="n">
        <f aca="false">SUMPRODUCT(LT_incl*(LT_region=$V90),LT_upb)</f>
        <v>892158756.12</v>
      </c>
      <c r="H90" s="23" t="n">
        <f aca="false">IFERROR(G90/StratUPB,0)</f>
        <v>0.240073504780028</v>
      </c>
      <c r="I90" s="22" t="n">
        <f aca="false">IFERROR(G90/C90,0)</f>
        <v>31862812.7185714</v>
      </c>
      <c r="J90" s="22" t="n">
        <f aca="false">SUMPRODUCT(LT_incl*(LT_region=$V90),LT_unfunded)</f>
        <v>10697826.75</v>
      </c>
      <c r="K90" s="22" t="n">
        <f aca="false">SUMPRODUCT(LT_incl*(LT_region=$V90),LT_navres)</f>
        <v>-12199781</v>
      </c>
      <c r="L90" s="24" t="n">
        <f aca="false">IFERROR(SUMPRODUCT(LT_incl*(LT_region=$V90),LT_upb,LT_eff)/SUMPRODUCT(LT_incl*(LT_region=$V90)*ISNUMBER(LT_eff),LT_upb),0)</f>
        <v>0.04003176943516</v>
      </c>
      <c r="M90" s="24" t="n">
        <f aca="false">IFERROR(SUMPRODUCT(LT_incl*(LT_region=$V90),LT_upb,LT_coupon)/SUMPRODUCT(LT_incl*(LT_region=$V90)*ISNUMBER(LT_coupon),LT_upb),0)</f>
        <v>0.07653176943516</v>
      </c>
      <c r="N90" s="23" t="n">
        <f aca="false">IFERROR(SUMPRODUCT(LT_incl*(LT_region=$V90),LT_upb,LT_ltv_asis)/SUMPRODUCT(LT_incl*(LT_region=$V90)*ISNUMBER(LT_ltv_asis),LT_upb),0)</f>
        <v>0.65600517509703</v>
      </c>
      <c r="O90" s="23" t="n">
        <f aca="false">IFERROR(SUMPRODUCT(LT_incl*(LT_region=$V90),LT_upb,LT_ltv_stab)/SUMPRODUCT(LT_incl*(LT_region=$V90)*ISNUMBER(LT_ltv_stab),LT_upb),0)</f>
        <v>0.65003187195778</v>
      </c>
      <c r="P90" s="25" t="n">
        <f aca="false">IFERROR(SUMPRODUCT(LT_incl*(LT_region=$V90),LT_upb,LT_seas)/SUMPRODUCT(LT_incl*(LT_region=$V90)*ISNUMBER(LT_seas),LT_upb),0)</f>
        <v>22.9284195185436</v>
      </c>
      <c r="Q90" s="25" t="n">
        <f aca="false">IFERROR(SUMPRODUCT(LT_incl*(LT_region=$V90),LT_upb,LT_rti)/SUMPRODUCT(LT_incl*(LT_region=$V90)*ISNUMBER(LT_rti),LT_upb),0)</f>
        <v>13.6952950812412</v>
      </c>
      <c r="R90" s="25" t="n">
        <f aca="false">IFERROR(SUMPRODUCT(LT_incl*(LT_region=$V90),LT_upb,LT_rte)/SUMPRODUCT(LT_incl*(LT_region=$V90)*ISNUMBER(LT_rte),LT_upb),0)</f>
        <v>26.4068914492806</v>
      </c>
      <c r="S90" s="23" t="n">
        <f aca="false">IFERROR(SUMPRODUCT(LT_incl*(LT_region=$V90),LT_backdebt)/G90,0)</f>
        <v>0.631779051703811</v>
      </c>
      <c r="T90" s="23" t="n">
        <f aca="false">IFERROR(SUMPRODUCT(LT_incl*(LT_region=$V90),LT_equity,LT_roe)/SUMPRODUCT(LT_incl*(LT_region=$V90)*ISNUMBER(LT_roe),LT_equity),0)</f>
        <v>0.111872857537132</v>
      </c>
      <c r="V90" s="42" t="s">
        <v>109</v>
      </c>
    </row>
    <row r="91" customFormat="false" ht="15" hidden="false" customHeight="false" outlineLevel="0" collapsed="false">
      <c r="B91" s="43" t="str">
        <f aca="false">V91</f>
        <v>Southwest</v>
      </c>
      <c r="C91" s="44" t="n">
        <f aca="false">SUMPRODUCT(LT_incl*(LT_region=$V91))</f>
        <v>30</v>
      </c>
      <c r="D91" s="32" t="n">
        <f aca="false">IFERROR(C91/StratLoans,0)</f>
        <v>0.229007633587786</v>
      </c>
      <c r="E91" s="44" t="n">
        <f aca="false">SUMPRODUCT(LT_incl*(LT_region=$V91),LT_units)</f>
        <v>6501</v>
      </c>
      <c r="F91" s="44" t="n">
        <f aca="false">SUMPRODUCT(LT_incl*(LT_region=$V91),LT_beds)</f>
        <v>1518</v>
      </c>
      <c r="G91" s="31" t="n">
        <f aca="false">SUMPRODUCT(LT_incl*(LT_region=$V91),LT_upb)</f>
        <v>854461178.89</v>
      </c>
      <c r="H91" s="32" t="n">
        <f aca="false">IFERROR(G91/StratUPB,0)</f>
        <v>0.229929357872048</v>
      </c>
      <c r="I91" s="31" t="n">
        <f aca="false">IFERROR(G91/C91,0)</f>
        <v>28482039.2963333</v>
      </c>
      <c r="J91" s="31" t="n">
        <f aca="false">SUMPRODUCT(LT_incl*(LT_region=$V91),LT_unfunded)</f>
        <v>20914259.61</v>
      </c>
      <c r="K91" s="31" t="n">
        <f aca="false">SUMPRODUCT(LT_incl*(LT_region=$V91),LT_navres)</f>
        <v>-19167882.6592889</v>
      </c>
      <c r="L91" s="33" t="n">
        <f aca="false">IFERROR(SUMPRODUCT(LT_incl*(LT_region=$V91),LT_upb,LT_eff)/SUMPRODUCT(LT_incl*(LT_region=$V91)*ISNUMBER(LT_eff),LT_upb),0)</f>
        <v>0.034732373623127</v>
      </c>
      <c r="M91" s="33" t="n">
        <f aca="false">IFERROR(SUMPRODUCT(LT_incl*(LT_region=$V91),LT_upb,LT_coupon)/SUMPRODUCT(LT_incl*(LT_region=$V91)*ISNUMBER(LT_coupon),LT_upb),0)</f>
        <v>0.071232373623127</v>
      </c>
      <c r="N91" s="32" t="n">
        <f aca="false">IFERROR(SUMPRODUCT(LT_incl*(LT_region=$V91),LT_upb,LT_ltv_asis)/SUMPRODUCT(LT_incl*(LT_region=$V91)*ISNUMBER(LT_ltv_asis),LT_upb),0)</f>
        <v>0.719374203481682</v>
      </c>
      <c r="O91" s="32" t="n">
        <f aca="false">IFERROR(SUMPRODUCT(LT_incl*(LT_region=$V91),LT_upb,LT_ltv_stab)/SUMPRODUCT(LT_incl*(LT_region=$V91)*ISNUMBER(LT_ltv_stab),LT_upb),0)</f>
        <v>0.683034828152731</v>
      </c>
      <c r="P91" s="34" t="n">
        <f aca="false">IFERROR(SUMPRODUCT(LT_incl*(LT_region=$V91),LT_upb,LT_seas)/SUMPRODUCT(LT_incl*(LT_region=$V91)*ISNUMBER(LT_seas),LT_upb),0)</f>
        <v>34.230856605197</v>
      </c>
      <c r="Q91" s="34" t="n">
        <f aca="false">IFERROR(SUMPRODUCT(LT_incl*(LT_region=$V91),LT_upb,LT_rti)/SUMPRODUCT(LT_incl*(LT_region=$V91)*ISNUMBER(LT_rti),LT_upb),0)</f>
        <v>7.62745829113411</v>
      </c>
      <c r="R91" s="34" t="n">
        <f aca="false">IFERROR(SUMPRODUCT(LT_incl*(LT_region=$V91),LT_upb,LT_rte)/SUMPRODUCT(LT_incl*(LT_region=$V91)*ISNUMBER(LT_rte),LT_upb),0)</f>
        <v>17.4429853304948</v>
      </c>
      <c r="S91" s="32" t="n">
        <f aca="false">IFERROR(SUMPRODUCT(LT_incl*(LT_region=$V91),LT_backdebt)/G91,0)</f>
        <v>0.496262893174148</v>
      </c>
      <c r="T91" s="32" t="n">
        <f aca="false">IFERROR(SUMPRODUCT(LT_incl*(LT_region=$V91),LT_equity,LT_roe)/SUMPRODUCT(LT_incl*(LT_region=$V91)*ISNUMBER(LT_roe),LT_equity),0)</f>
        <v>0.0871916420634371</v>
      </c>
      <c r="V91" s="42" t="s">
        <v>110</v>
      </c>
    </row>
    <row r="92" customFormat="false" ht="15" hidden="false" customHeight="false" outlineLevel="0" collapsed="false">
      <c r="B92" s="41" t="str">
        <f aca="false">V92</f>
        <v>Southeast</v>
      </c>
      <c r="C92" s="26" t="n">
        <f aca="false">SUMPRODUCT(LT_incl*(LT_region=$V92))</f>
        <v>23</v>
      </c>
      <c r="D92" s="23" t="n">
        <f aca="false">IFERROR(C92/StratLoans,0)</f>
        <v>0.175572519083969</v>
      </c>
      <c r="E92" s="26" t="n">
        <f aca="false">SUMPRODUCT(LT_incl*(LT_region=$V92),LT_units)</f>
        <v>4626</v>
      </c>
      <c r="F92" s="26" t="n">
        <f aca="false">SUMPRODUCT(LT_incl*(LT_region=$V92),LT_beds)</f>
        <v>1386</v>
      </c>
      <c r="G92" s="22" t="n">
        <f aca="false">SUMPRODUCT(LT_incl*(LT_region=$V92),LT_upb)</f>
        <v>612552423.85</v>
      </c>
      <c r="H92" s="23" t="n">
        <f aca="false">IFERROR(G92/StratUPB,0)</f>
        <v>0.164833451721894</v>
      </c>
      <c r="I92" s="22" t="n">
        <f aca="false">IFERROR(G92/C92,0)</f>
        <v>26632714.0804348</v>
      </c>
      <c r="J92" s="22" t="n">
        <f aca="false">SUMPRODUCT(LT_incl*(LT_region=$V92),LT_unfunded)</f>
        <v>21829546.35</v>
      </c>
      <c r="K92" s="22" t="n">
        <f aca="false">SUMPRODUCT(LT_incl*(LT_region=$V92),LT_navres)</f>
        <v>-4025660.85</v>
      </c>
      <c r="L92" s="24" t="n">
        <f aca="false">IFERROR(SUMPRODUCT(LT_incl*(LT_region=$V92),LT_upb,LT_eff)/SUMPRODUCT(LT_incl*(LT_region=$V92)*ISNUMBER(LT_eff),LT_upb),0)</f>
        <v>0.0363843264543145</v>
      </c>
      <c r="M92" s="24" t="n">
        <f aca="false">IFERROR(SUMPRODUCT(LT_incl*(LT_region=$V92),LT_upb,LT_coupon)/SUMPRODUCT(LT_incl*(LT_region=$V92)*ISNUMBER(LT_coupon),LT_upb),0)</f>
        <v>0.0728843264543145</v>
      </c>
      <c r="N92" s="23" t="n">
        <f aca="false">IFERROR(SUMPRODUCT(LT_incl*(LT_region=$V92),LT_upb,LT_ltv_asis)/SUMPRODUCT(LT_incl*(LT_region=$V92)*ISNUMBER(LT_ltv_asis),LT_upb),0)</f>
        <v>0.642676008881391</v>
      </c>
      <c r="O92" s="23" t="n">
        <f aca="false">IFERROR(SUMPRODUCT(LT_incl*(LT_region=$V92),LT_upb,LT_ltv_stab)/SUMPRODUCT(LT_incl*(LT_region=$V92)*ISNUMBER(LT_ltv_stab),LT_upb),0)</f>
        <v>0.631372317125932</v>
      </c>
      <c r="P92" s="25" t="n">
        <f aca="false">IFERROR(SUMPRODUCT(LT_incl*(LT_region=$V92),LT_upb,LT_seas)/SUMPRODUCT(LT_incl*(LT_region=$V92)*ISNUMBER(LT_seas),LT_upb),0)</f>
        <v>23.8204268179407</v>
      </c>
      <c r="Q92" s="25" t="n">
        <f aca="false">IFERROR(SUMPRODUCT(LT_incl*(LT_region=$V92),LT_upb,LT_rti)/SUMPRODUCT(LT_incl*(LT_region=$V92)*ISNUMBER(LT_rti),LT_upb),0)</f>
        <v>10.2887238540862</v>
      </c>
      <c r="R92" s="25" t="n">
        <f aca="false">IFERROR(SUMPRODUCT(LT_incl*(LT_region=$V92),LT_upb,LT_rte)/SUMPRODUCT(LT_incl*(LT_region=$V92)*ISNUMBER(LT_rte),LT_upb),0)</f>
        <v>25.7686364516348</v>
      </c>
      <c r="S92" s="23" t="n">
        <f aca="false">IFERROR(SUMPRODUCT(LT_incl*(LT_region=$V92),LT_backdebt)/G92,0)</f>
        <v>0.673018437139075</v>
      </c>
      <c r="T92" s="23" t="n">
        <f aca="false">IFERROR(SUMPRODUCT(LT_incl*(LT_region=$V92),LT_equity,LT_roe)/SUMPRODUCT(LT_incl*(LT_region=$V92)*ISNUMBER(LT_roe),LT_equity),0)</f>
        <v>0.111602008671359</v>
      </c>
      <c r="V92" s="42" t="s">
        <v>111</v>
      </c>
    </row>
    <row r="93" customFormat="false" ht="15" hidden="false" customHeight="false" outlineLevel="0" collapsed="false">
      <c r="B93" s="43" t="str">
        <f aca="false">V93</f>
        <v>Midwest</v>
      </c>
      <c r="C93" s="44" t="n">
        <f aca="false">SUMPRODUCT(LT_incl*(LT_region=$V93))</f>
        <v>19</v>
      </c>
      <c r="D93" s="32" t="n">
        <f aca="false">IFERROR(C93/StratLoans,0)</f>
        <v>0.145038167938931</v>
      </c>
      <c r="E93" s="44" t="n">
        <f aca="false">SUMPRODUCT(LT_incl*(LT_region=$V93),LT_units)</f>
        <v>3110</v>
      </c>
      <c r="F93" s="44" t="n">
        <f aca="false">SUMPRODUCT(LT_incl*(LT_region=$V93),LT_beds)</f>
        <v>2716</v>
      </c>
      <c r="G93" s="31" t="n">
        <f aca="false">SUMPRODUCT(LT_incl*(LT_region=$V93),LT_upb)</f>
        <v>468814500</v>
      </c>
      <c r="H93" s="32" t="n">
        <f aca="false">IFERROR(G93/StratUPB,0)</f>
        <v>0.126154610190877</v>
      </c>
      <c r="I93" s="31" t="n">
        <f aca="false">IFERROR(G93/C93,0)</f>
        <v>24674447.3684211</v>
      </c>
      <c r="J93" s="31" t="n">
        <f aca="false">SUMPRODUCT(LT_incl*(LT_region=$V93),LT_unfunded)</f>
        <v>3000000</v>
      </c>
      <c r="K93" s="31" t="n">
        <f aca="false">SUMPRODUCT(LT_incl*(LT_region=$V93),LT_navres)</f>
        <v>0</v>
      </c>
      <c r="L93" s="33" t="n">
        <f aca="false">IFERROR(SUMPRODUCT(LT_incl*(LT_region=$V93),LT_upb,LT_eff)/SUMPRODUCT(LT_incl*(LT_region=$V93)*ISNUMBER(LT_eff),LT_upb),0)</f>
        <v>0.0481074156196107</v>
      </c>
      <c r="M93" s="33" t="n">
        <f aca="false">IFERROR(SUMPRODUCT(LT_incl*(LT_region=$V93),LT_upb,LT_coupon)/SUMPRODUCT(LT_incl*(LT_region=$V93)*ISNUMBER(LT_coupon),LT_upb),0)</f>
        <v>0.0846074156196107</v>
      </c>
      <c r="N93" s="32" t="n">
        <f aca="false">IFERROR(SUMPRODUCT(LT_incl*(LT_region=$V93),LT_upb,LT_ltv_asis)/SUMPRODUCT(LT_incl*(LT_region=$V93)*ISNUMBER(LT_ltv_asis),LT_upb),0)</f>
        <v>0.687287161413742</v>
      </c>
      <c r="O93" s="32" t="n">
        <f aca="false">IFERROR(SUMPRODUCT(LT_incl*(LT_region=$V93),LT_upb,LT_ltv_stab)/SUMPRODUCT(LT_incl*(LT_region=$V93)*ISNUMBER(LT_ltv_stab),LT_upb),0)</f>
        <v>0.660434139962705</v>
      </c>
      <c r="P93" s="34" t="n">
        <f aca="false">IFERROR(SUMPRODUCT(LT_incl*(LT_region=$V93),LT_upb,LT_seas)/SUMPRODUCT(LT_incl*(LT_region=$V93)*ISNUMBER(LT_seas),LT_upb),0)</f>
        <v>16.7831368388652</v>
      </c>
      <c r="Q93" s="34" t="n">
        <f aca="false">IFERROR(SUMPRODUCT(LT_incl*(LT_region=$V93),LT_upb,LT_rti)/SUMPRODUCT(LT_incl*(LT_region=$V93)*ISNUMBER(LT_rti),LT_upb),0)</f>
        <v>16.149730741061</v>
      </c>
      <c r="R93" s="34" t="n">
        <f aca="false">IFERROR(SUMPRODUCT(LT_incl*(LT_region=$V93),LT_upb,LT_rte)/SUMPRODUCT(LT_incl*(LT_region=$V93)*ISNUMBER(LT_rte),LT_upb),0)</f>
        <v>25.063027667434</v>
      </c>
      <c r="S93" s="32" t="n">
        <f aca="false">IFERROR(SUMPRODUCT(LT_incl*(LT_region=$V93),LT_backdebt)/G93,0)</f>
        <v>0.574511675370037</v>
      </c>
      <c r="T93" s="32" t="n">
        <f aca="false">IFERROR(SUMPRODUCT(LT_incl*(LT_region=$V93),LT_equity,LT_roe)/SUMPRODUCT(LT_incl*(LT_region=$V93)*ISNUMBER(LT_roe),LT_equity),0)</f>
        <v>0.120924978659292</v>
      </c>
      <c r="V93" s="42" t="s">
        <v>112</v>
      </c>
    </row>
    <row r="94" customFormat="false" ht="15" hidden="false" customHeight="false" outlineLevel="0" collapsed="false">
      <c r="B94" s="41" t="str">
        <f aca="false">V94</f>
        <v>Pacific</v>
      </c>
      <c r="C94" s="26" t="n">
        <f aca="false">SUMPRODUCT(LT_incl*(LT_region=$V94))</f>
        <v>16</v>
      </c>
      <c r="D94" s="23" t="n">
        <f aca="false">IFERROR(C94/StratLoans,0)</f>
        <v>0.122137404580153</v>
      </c>
      <c r="E94" s="26" t="n">
        <f aca="false">SUMPRODUCT(LT_incl*(LT_region=$V94),LT_units)</f>
        <v>1598</v>
      </c>
      <c r="F94" s="26" t="n">
        <f aca="false">SUMPRODUCT(LT_incl*(LT_region=$V94),LT_beds)</f>
        <v>634</v>
      </c>
      <c r="G94" s="22" t="n">
        <f aca="false">SUMPRODUCT(LT_incl*(LT_region=$V94),LT_upb)</f>
        <v>448332000</v>
      </c>
      <c r="H94" s="23" t="n">
        <f aca="false">IFERROR(G94/StratUPB,0)</f>
        <v>0.120642916752994</v>
      </c>
      <c r="I94" s="22" t="n">
        <f aca="false">IFERROR(G94/C94,0)</f>
        <v>28020750</v>
      </c>
      <c r="J94" s="22" t="n">
        <f aca="false">SUMPRODUCT(LT_incl*(LT_region=$V94),LT_unfunded)</f>
        <v>10490000</v>
      </c>
      <c r="K94" s="22" t="n">
        <f aca="false">SUMPRODUCT(LT_incl*(LT_region=$V94),LT_navres)</f>
        <v>-10547.4544277098</v>
      </c>
      <c r="L94" s="24" t="n">
        <f aca="false">IFERROR(SUMPRODUCT(LT_incl*(LT_region=$V94),LT_upb,LT_eff)/SUMPRODUCT(LT_incl*(LT_region=$V94)*ISNUMBER(LT_eff),LT_upb),0)</f>
        <v>0.038533927981942</v>
      </c>
      <c r="M94" s="24" t="n">
        <f aca="false">IFERROR(SUMPRODUCT(LT_incl*(LT_region=$V94),LT_upb,LT_coupon)/SUMPRODUCT(LT_incl*(LT_region=$V94)*ISNUMBER(LT_coupon),LT_upb),0)</f>
        <v>0.075033927981942</v>
      </c>
      <c r="N94" s="23" t="n">
        <f aca="false">IFERROR(SUMPRODUCT(LT_incl*(LT_region=$V94),LT_upb,LT_ltv_asis)/SUMPRODUCT(LT_incl*(LT_region=$V94)*ISNUMBER(LT_ltv_asis),LT_upb),0)</f>
        <v>0.732630923794798</v>
      </c>
      <c r="O94" s="23" t="n">
        <f aca="false">IFERROR(SUMPRODUCT(LT_incl*(LT_region=$V94),LT_upb,LT_ltv_stab)/SUMPRODUCT(LT_incl*(LT_region=$V94)*ISNUMBER(LT_ltv_stab),LT_upb),0)</f>
        <v>0.669126434394982</v>
      </c>
      <c r="P94" s="25" t="n">
        <f aca="false">IFERROR(SUMPRODUCT(LT_incl*(LT_region=$V94),LT_upb,LT_seas)/SUMPRODUCT(LT_incl*(LT_region=$V94)*ISNUMBER(LT_seas),LT_upb),0)</f>
        <v>27.2130545087215</v>
      </c>
      <c r="Q94" s="25" t="n">
        <f aca="false">IFERROR(SUMPRODUCT(LT_incl*(LT_region=$V94),LT_upb,LT_rti)/SUMPRODUCT(LT_incl*(LT_region=$V94)*ISNUMBER(LT_rti),LT_upb),0)</f>
        <v>9.5094605840007</v>
      </c>
      <c r="R94" s="25" t="n">
        <f aca="false">IFERROR(SUMPRODUCT(LT_incl*(LT_region=$V94),LT_upb,LT_rte)/SUMPRODUCT(LT_incl*(LT_region=$V94)*ISNUMBER(LT_rte),LT_upb),0)</f>
        <v>21.16394302323</v>
      </c>
      <c r="S94" s="23" t="n">
        <f aca="false">IFERROR(SUMPRODUCT(LT_incl*(LT_region=$V94),LT_backdebt)/G94,0)</f>
        <v>0.726524585204642</v>
      </c>
      <c r="T94" s="23" t="n">
        <f aca="false">IFERROR(SUMPRODUCT(LT_incl*(LT_region=$V94),LT_equity,LT_roe)/SUMPRODUCT(LT_incl*(LT_region=$V94)*ISNUMBER(LT_roe),LT_equity),0)</f>
        <v>0.127347882777124</v>
      </c>
      <c r="V94" s="42" t="s">
        <v>113</v>
      </c>
    </row>
    <row r="95" customFormat="false" ht="15" hidden="false" customHeight="false" outlineLevel="0" collapsed="false">
      <c r="B95" s="43" t="str">
        <f aca="false">V95</f>
        <v>Mountain</v>
      </c>
      <c r="C95" s="44" t="n">
        <f aca="false">SUMPRODUCT(LT_incl*(LT_region=$V95))</f>
        <v>8</v>
      </c>
      <c r="D95" s="32" t="n">
        <f aca="false">IFERROR(C95/StratLoans,0)</f>
        <v>0.0610687022900763</v>
      </c>
      <c r="E95" s="44" t="n">
        <f aca="false">SUMPRODUCT(LT_incl*(LT_region=$V95),LT_units)</f>
        <v>1172</v>
      </c>
      <c r="F95" s="44" t="n">
        <f aca="false">SUMPRODUCT(LT_incl*(LT_region=$V95),LT_beds)</f>
        <v>85</v>
      </c>
      <c r="G95" s="31" t="n">
        <f aca="false">SUMPRODUCT(LT_incl*(LT_region=$V95),LT_upb)</f>
        <v>234730000</v>
      </c>
      <c r="H95" s="32" t="n">
        <f aca="false">IFERROR(G95/StratUPB,0)</f>
        <v>0.0631641547991895</v>
      </c>
      <c r="I95" s="31" t="n">
        <f aca="false">IFERROR(G95/C95,0)</f>
        <v>29341250</v>
      </c>
      <c r="J95" s="31" t="n">
        <f aca="false">SUMPRODUCT(LT_incl*(LT_region=$V95),LT_unfunded)</f>
        <v>0</v>
      </c>
      <c r="K95" s="31" t="n">
        <f aca="false">SUMPRODUCT(LT_incl*(LT_region=$V95),LT_navres)</f>
        <v>0</v>
      </c>
      <c r="L95" s="33" t="n">
        <f aca="false">IFERROR(SUMPRODUCT(LT_incl*(LT_region=$V95),LT_upb,LT_eff)/SUMPRODUCT(LT_incl*(LT_region=$V95)*ISNUMBER(LT_eff),LT_upb),0)</f>
        <v>0.0370916798023261</v>
      </c>
      <c r="M95" s="33" t="n">
        <f aca="false">IFERROR(SUMPRODUCT(LT_incl*(LT_region=$V95),LT_upb,LT_coupon)/SUMPRODUCT(LT_incl*(LT_region=$V95)*ISNUMBER(LT_coupon),LT_upb),0)</f>
        <v>0.0735916798023261</v>
      </c>
      <c r="N95" s="32" t="n">
        <f aca="false">IFERROR(SUMPRODUCT(LT_incl*(LT_region=$V95),LT_upb,LT_ltv_asis)/SUMPRODUCT(LT_incl*(LT_region=$V95)*ISNUMBER(LT_ltv_asis),LT_upb),0)</f>
        <v>0.628198338520885</v>
      </c>
      <c r="O95" s="32" t="n">
        <f aca="false">IFERROR(SUMPRODUCT(LT_incl*(LT_region=$V95),LT_upb,LT_ltv_stab)/SUMPRODUCT(LT_incl*(LT_region=$V95)*ISNUMBER(LT_ltv_stab),LT_upb),0)</f>
        <v>0.637470663251318</v>
      </c>
      <c r="P95" s="34" t="n">
        <f aca="false">IFERROR(SUMPRODUCT(LT_incl*(LT_region=$V95),LT_upb,LT_seas)/SUMPRODUCT(LT_incl*(LT_region=$V95)*ISNUMBER(LT_seas),LT_upb),0)</f>
        <v>23.9574510484369</v>
      </c>
      <c r="Q95" s="34" t="n">
        <f aca="false">IFERROR(SUMPRODUCT(LT_incl*(LT_region=$V95),LT_upb,LT_rti)/SUMPRODUCT(LT_incl*(LT_region=$V95)*ISNUMBER(LT_rti),LT_upb),0)</f>
        <v>4.89962874904287</v>
      </c>
      <c r="R95" s="34" t="n">
        <f aca="false">IFERROR(SUMPRODUCT(LT_incl*(LT_region=$V95),LT_upb,LT_rte)/SUMPRODUCT(LT_incl*(LT_region=$V95)*ISNUMBER(LT_rte),LT_upb),0)</f>
        <v>19.1727455486233</v>
      </c>
      <c r="S95" s="32" t="n">
        <f aca="false">IFERROR(SUMPRODUCT(LT_incl*(LT_region=$V95),LT_backdebt)/G95,0)</f>
        <v>0.805072271306165</v>
      </c>
      <c r="T95" s="32" t="n">
        <f aca="false">IFERROR(SUMPRODUCT(LT_incl*(LT_region=$V95),LT_equity,LT_roe)/SUMPRODUCT(LT_incl*(LT_region=$V95)*ISNUMBER(LT_roe),LT_equity),0)</f>
        <v>0.153049652898555</v>
      </c>
      <c r="V95" s="42" t="s">
        <v>114</v>
      </c>
    </row>
    <row r="96" customFormat="false" ht="15" hidden="false" customHeight="false" outlineLevel="0" collapsed="false">
      <c r="B96" s="41" t="str">
        <f aca="false">V96</f>
        <v>Mid-Atlantic</v>
      </c>
      <c r="C96" s="26" t="n">
        <f aca="false">SUMPRODUCT(LT_incl*(LT_region=$V96))</f>
        <v>7</v>
      </c>
      <c r="D96" s="23" t="n">
        <f aca="false">IFERROR(C96/StratLoans,0)</f>
        <v>0.0534351145038168</v>
      </c>
      <c r="E96" s="26" t="n">
        <f aca="false">SUMPRODUCT(LT_incl*(LT_region=$V96),LT_units)</f>
        <v>2229</v>
      </c>
      <c r="F96" s="26" t="n">
        <f aca="false">SUMPRODUCT(LT_incl*(LT_region=$V96),LT_beds)</f>
        <v>0</v>
      </c>
      <c r="G96" s="22" t="n">
        <f aca="false">SUMPRODUCT(LT_incl*(LT_region=$V96),LT_upb)</f>
        <v>205141134.44</v>
      </c>
      <c r="H96" s="23" t="n">
        <f aca="false">IFERROR(G96/StratUPB,0)</f>
        <v>0.0552020038829698</v>
      </c>
      <c r="I96" s="22" t="n">
        <f aca="false">IFERROR(G96/C96,0)</f>
        <v>29305876.3485714</v>
      </c>
      <c r="J96" s="22" t="n">
        <f aca="false">SUMPRODUCT(LT_incl*(LT_region=$V96),LT_unfunded)</f>
        <v>3493865.56</v>
      </c>
      <c r="K96" s="22" t="n">
        <f aca="false">SUMPRODUCT(LT_incl*(LT_region=$V96),LT_navres)</f>
        <v>-357383.067330304</v>
      </c>
      <c r="L96" s="24" t="n">
        <f aca="false">IFERROR(SUMPRODUCT(LT_incl*(LT_region=$V96),LT_upb,LT_eff)/SUMPRODUCT(LT_incl*(LT_region=$V96)*ISNUMBER(LT_eff),LT_upb),0)</f>
        <v>0.0318083210394281</v>
      </c>
      <c r="M96" s="24" t="n">
        <f aca="false">IFERROR(SUMPRODUCT(LT_incl*(LT_region=$V96),LT_upb,LT_coupon)/SUMPRODUCT(LT_incl*(LT_region=$V96)*ISNUMBER(LT_coupon),LT_upb),0)</f>
        <v>0.0683083210394281</v>
      </c>
      <c r="N96" s="23" t="n">
        <f aca="false">IFERROR(SUMPRODUCT(LT_incl*(LT_region=$V96),LT_upb,LT_ltv_asis)/SUMPRODUCT(LT_incl*(LT_region=$V96)*ISNUMBER(LT_ltv_asis),LT_upb),0)</f>
        <v>0.766561845221295</v>
      </c>
      <c r="O96" s="23" t="n">
        <f aca="false">IFERROR(SUMPRODUCT(LT_incl*(LT_region=$V96),LT_upb,LT_ltv_stab)/SUMPRODUCT(LT_incl*(LT_region=$V96)*ISNUMBER(LT_ltv_stab),LT_upb),0)</f>
        <v>0.678753917072618</v>
      </c>
      <c r="P96" s="25" t="n">
        <f aca="false">IFERROR(SUMPRODUCT(LT_incl*(LT_region=$V96),LT_upb,LT_seas)/SUMPRODUCT(LT_incl*(LT_region=$V96)*ISNUMBER(LT_seas),LT_upb),0)</f>
        <v>32.689838424784</v>
      </c>
      <c r="Q96" s="25" t="n">
        <f aca="false">IFERROR(SUMPRODUCT(LT_incl*(LT_region=$V96),LT_upb,LT_rti)/SUMPRODUCT(LT_incl*(LT_region=$V96)*ISNUMBER(LT_rti),LT_upb),0)</f>
        <v>8.78168735000795</v>
      </c>
      <c r="R96" s="25" t="n">
        <f aca="false">IFERROR(SUMPRODUCT(LT_incl*(LT_region=$V96),LT_upb,LT_rte)/SUMPRODUCT(LT_incl*(LT_region=$V96)*ISNUMBER(LT_rte),LT_upb),0)</f>
        <v>27.672699362826</v>
      </c>
      <c r="S96" s="23" t="n">
        <f aca="false">IFERROR(SUMPRODUCT(LT_incl*(LT_region=$V96),LT_backdebt)/G96,0)</f>
        <v>0.730255009279065</v>
      </c>
      <c r="T96" s="23" t="n">
        <f aca="false">IFERROR(SUMPRODUCT(LT_incl*(LT_region=$V96),LT_equity,LT_roe)/SUMPRODUCT(LT_incl*(LT_region=$V96)*ISNUMBER(LT_roe),LT_equity),0)</f>
        <v>0.106164844517736</v>
      </c>
      <c r="V96" s="42" t="s">
        <v>115</v>
      </c>
    </row>
    <row r="97" customFormat="false" ht="15" hidden="false" customHeight="false" outlineLevel="0" collapsed="false">
      <c r="B97" s="27" t="s">
        <v>75</v>
      </c>
      <c r="C97" s="44" t="n">
        <f aca="false">SUMPRODUCT(LT_incl*(1-ISNUMBER(MATCH(LT_region,$V$90:$V$96,0))))</f>
        <v>0</v>
      </c>
      <c r="D97" s="32" t="n">
        <f aca="false">IFERROR(C97/StratLoans,0)</f>
        <v>0</v>
      </c>
      <c r="E97" s="44" t="n">
        <f aca="false">SUMPRODUCT(LT_incl*(1-ISNUMBER(MATCH(LT_region,$V$90:$V$96,0))),LT_units)</f>
        <v>0</v>
      </c>
      <c r="F97" s="44" t="n">
        <f aca="false">SUMPRODUCT(LT_incl*(1-ISNUMBER(MATCH(LT_region,$V$90:$V$96,0))),LT_beds)</f>
        <v>0</v>
      </c>
      <c r="G97" s="31" t="n">
        <f aca="false">SUMPRODUCT(LT_incl*(1-ISNUMBER(MATCH(LT_region,$V$90:$V$96,0))),LT_upb)</f>
        <v>0</v>
      </c>
      <c r="H97" s="32" t="n">
        <f aca="false">IFERROR(G97/StratUPB,0)</f>
        <v>0</v>
      </c>
      <c r="I97" s="31" t="n">
        <f aca="false">IFERROR(G97/C97,0)</f>
        <v>0</v>
      </c>
      <c r="J97" s="31" t="n">
        <f aca="false">SUMPRODUCT(LT_incl*(1-ISNUMBER(MATCH(LT_region,$V$90:$V$96,0))),LT_unfunded)</f>
        <v>0</v>
      </c>
      <c r="K97" s="31" t="n">
        <f aca="false">SUMPRODUCT(LT_incl*(1-ISNUMBER(MATCH(LT_region,$V$90:$V$96,0))),LT_navres)</f>
        <v>0</v>
      </c>
      <c r="L97" s="33" t="n">
        <f aca="false">IFERROR(SUMPRODUCT(LT_incl*(1-ISNUMBER(MATCH(LT_region,$V$90:$V$96,0))),LT_upb,LT_eff)/SUMPRODUCT(LT_incl*(1-ISNUMBER(MATCH(LT_region,$V$90:$V$96,0)))*ISNUMBER(LT_eff),LT_upb),0)</f>
        <v>0</v>
      </c>
      <c r="M97" s="33" t="n">
        <f aca="false">IFERROR(SUMPRODUCT(LT_incl*(1-ISNUMBER(MATCH(LT_region,$V$90:$V$96,0))),LT_upb,LT_coupon)/SUMPRODUCT(LT_incl*(1-ISNUMBER(MATCH(LT_region,$V$90:$V$96,0)))*ISNUMBER(LT_coupon),LT_upb),0)</f>
        <v>0</v>
      </c>
      <c r="N97" s="32" t="n">
        <f aca="false">IFERROR(SUMPRODUCT(LT_incl*(1-ISNUMBER(MATCH(LT_region,$V$90:$V$96,0))),LT_upb,LT_ltv_asis)/SUMPRODUCT(LT_incl*(1-ISNUMBER(MATCH(LT_region,$V$90:$V$96,0)))*ISNUMBER(LT_ltv_asis),LT_upb),0)</f>
        <v>0</v>
      </c>
      <c r="O97" s="32" t="n">
        <f aca="false">IFERROR(SUMPRODUCT(LT_incl*(1-ISNUMBER(MATCH(LT_region,$V$90:$V$96,0))),LT_upb,LT_ltv_stab)/SUMPRODUCT(LT_incl*(1-ISNUMBER(MATCH(LT_region,$V$90:$V$96,0)))*ISNUMBER(LT_ltv_stab),LT_upb),0)</f>
        <v>0</v>
      </c>
      <c r="P97" s="34" t="n">
        <f aca="false">IFERROR(SUMPRODUCT(LT_incl*(1-ISNUMBER(MATCH(LT_region,$V$90:$V$96,0))),LT_upb,LT_seas)/SUMPRODUCT(LT_incl*(1-ISNUMBER(MATCH(LT_region,$V$90:$V$96,0)))*ISNUMBER(LT_seas),LT_upb),0)</f>
        <v>0</v>
      </c>
      <c r="Q97" s="34" t="n">
        <f aca="false">IFERROR(SUMPRODUCT(LT_incl*(1-ISNUMBER(MATCH(LT_region,$V$90:$V$96,0))),LT_upb,LT_rti)/SUMPRODUCT(LT_incl*(1-ISNUMBER(MATCH(LT_region,$V$90:$V$96,0)))*ISNUMBER(LT_rti),LT_upb),0)</f>
        <v>0</v>
      </c>
      <c r="R97" s="34" t="n">
        <f aca="false">IFERROR(SUMPRODUCT(LT_incl*(1-ISNUMBER(MATCH(LT_region,$V$90:$V$96,0))),LT_upb,LT_rte)/SUMPRODUCT(LT_incl*(1-ISNUMBER(MATCH(LT_region,$V$90:$V$96,0)))*ISNUMBER(LT_rte),LT_upb),0)</f>
        <v>0</v>
      </c>
      <c r="S97" s="32" t="n">
        <f aca="false">IFERROR(SUMPRODUCT(LT_incl*(1-ISNUMBER(MATCH(LT_region,$V$90:$V$96,0))),LT_backdebt)/G97,0)</f>
        <v>0</v>
      </c>
      <c r="T97" s="32" t="n">
        <f aca="false">IFERROR(SUMPRODUCT(LT_incl*(1-ISNUMBER(MATCH(LT_region,$V$90:$V$96,0))),LT_equity,LT_roe)/SUMPRODUCT(LT_incl*(1-ISNUMBER(MATCH(LT_region,$V$90:$V$96,0)))*ISNUMBER(LT_roe),LT_equity),0)</f>
        <v>0</v>
      </c>
    </row>
    <row r="98" customFormat="false" ht="15" hidden="false" customHeight="false" outlineLevel="0" collapsed="false">
      <c r="B98" s="35" t="s">
        <v>76</v>
      </c>
      <c r="C98" s="45" t="n">
        <f aca="false">SUMPRODUCT(LT_incl*(1))</f>
        <v>131</v>
      </c>
      <c r="D98" s="38" t="n">
        <f aca="false">IFERROR(C98/StratLoans,0)</f>
        <v>1</v>
      </c>
      <c r="E98" s="45" t="n">
        <f aca="false">SUMPRODUCT(LT_incl*(1),LT_units)</f>
        <v>22360</v>
      </c>
      <c r="F98" s="45" t="n">
        <f aca="false">SUMPRODUCT(LT_incl*(1),LT_beds)</f>
        <v>8726</v>
      </c>
      <c r="G98" s="37" t="n">
        <f aca="false">SUMPRODUCT(LT_incl*(1),LT_upb)</f>
        <v>3716189993.3</v>
      </c>
      <c r="H98" s="38" t="n">
        <f aca="false">IFERROR(G98/StratUPB,0)</f>
        <v>1</v>
      </c>
      <c r="I98" s="37" t="n">
        <f aca="false">IFERROR(G98/C98,0)</f>
        <v>28367862.5442748</v>
      </c>
      <c r="J98" s="37" t="n">
        <f aca="false">SUMPRODUCT(LT_incl*(1),LT_unfunded)</f>
        <v>70425498.27</v>
      </c>
      <c r="K98" s="37" t="n">
        <f aca="false">SUMPRODUCT(LT_incl*(1),LT_navres)</f>
        <v>-35761255.0310469</v>
      </c>
      <c r="L98" s="39" t="n">
        <f aca="false">IFERROR(SUMPRODUCT(LT_incl*(1),LT_upb,LT_eff)/SUMPRODUCT(LT_incl*(1)*ISNUMBER(LT_eff),LT_upb),0)</f>
        <v>0.0384104790702225</v>
      </c>
      <c r="M98" s="39" t="n">
        <f aca="false">IFERROR(SUMPRODUCT(LT_incl*(1),LT_upb,LT_coupon)/SUMPRODUCT(LT_incl*(1)*ISNUMBER(LT_coupon),LT_upb),0)</f>
        <v>0.0749104790702225</v>
      </c>
      <c r="N98" s="38" t="n">
        <f aca="false">IFERROR(SUMPRODUCT(LT_incl*(1),LT_upb,LT_ltv_asis)/SUMPRODUCT(LT_incl*(1)*ISNUMBER(LT_ltv_asis),LT_upb),0)</f>
        <v>0.685976245136614</v>
      </c>
      <c r="O98" s="38" t="n">
        <f aca="false">IFERROR(SUMPRODUCT(LT_incl*(1),LT_upb,LT_ltv_stab)/SUMPRODUCT(LT_incl*(1)*ISNUMBER(LT_ltv_stab),LT_upb),0)</f>
        <v>0.658970555756018</v>
      </c>
      <c r="P98" s="40" t="n">
        <f aca="false">IFERROR(SUMPRODUCT(LT_incl*(1),LT_upb,LT_seas)/SUMPRODUCT(LT_incl*(1)*ISNUMBER(LT_seas),LT_upb),0)</f>
        <v>26.0197171750702</v>
      </c>
      <c r="Q98" s="40" t="n">
        <f aca="false">IFERROR(SUMPRODUCT(LT_incl*(1),LT_upb,LT_rti)/SUMPRODUCT(LT_incl*(1)*ISNUMBER(LT_rti),LT_upb),0)</f>
        <v>10.7164396387939</v>
      </c>
      <c r="R98" s="40" t="n">
        <f aca="false">IFERROR(SUMPRODUCT(LT_incl*(1),LT_upb,LT_rte)/SUMPRODUCT(LT_incl*(1)*ISNUMBER(LT_rte),LT_upb),0)</f>
        <v>23.051497716819</v>
      </c>
      <c r="S98" s="38" t="n">
        <f aca="false">IFERROR(SUMPRODUCT(LT_incl*(1),LT_backdebt)/G98,0)</f>
        <v>0.628005362553862</v>
      </c>
      <c r="T98" s="38" t="n">
        <f aca="false">IFERROR(SUMPRODUCT(LT_incl*(1),LT_equity,LT_roe)/SUMPRODUCT(LT_incl*(1)*ISNUMBER(LT_roe),LT_equity),0)</f>
        <v>0.107961987212177</v>
      </c>
    </row>
    <row r="100" customFormat="false" ht="15" hidden="false" customHeight="false" outlineLevel="0" collapsed="false">
      <c r="B100" s="3" t="s">
        <v>116</v>
      </c>
      <c r="C100" s="4"/>
      <c r="D100" s="4"/>
      <c r="E100" s="4"/>
      <c r="F100" s="4"/>
      <c r="G100" s="4"/>
      <c r="H100" s="4"/>
      <c r="I100" s="4"/>
      <c r="J100" s="4"/>
      <c r="K100" s="4"/>
      <c r="L100" s="4"/>
      <c r="M100" s="4"/>
      <c r="N100" s="4"/>
      <c r="O100" s="4"/>
      <c r="P100" s="4"/>
      <c r="Q100" s="4"/>
      <c r="R100" s="4"/>
      <c r="S100" s="4"/>
      <c r="T100" s="4"/>
    </row>
    <row r="101" customFormat="false" ht="39.75" hidden="false" customHeight="true" outlineLevel="0" collapsed="false">
      <c r="B101" s="16" t="s">
        <v>63</v>
      </c>
      <c r="C101" s="17" t="s">
        <v>13</v>
      </c>
      <c r="D101" s="17" t="s">
        <v>64</v>
      </c>
      <c r="E101" s="17" t="s">
        <v>65</v>
      </c>
      <c r="F101" s="17" t="s">
        <v>66</v>
      </c>
      <c r="G101" s="17" t="s">
        <v>16</v>
      </c>
      <c r="H101" s="17" t="s">
        <v>46</v>
      </c>
      <c r="I101" s="17" t="s">
        <v>19</v>
      </c>
      <c r="J101" s="17" t="s">
        <v>28</v>
      </c>
      <c r="K101" s="17" t="s">
        <v>31</v>
      </c>
      <c r="L101" s="17" t="s">
        <v>7</v>
      </c>
      <c r="M101" s="17" t="s">
        <v>11</v>
      </c>
      <c r="N101" s="17" t="s">
        <v>23</v>
      </c>
      <c r="O101" s="17" t="s">
        <v>67</v>
      </c>
      <c r="P101" s="17" t="s">
        <v>5</v>
      </c>
      <c r="Q101" s="17" t="s">
        <v>68</v>
      </c>
      <c r="R101" s="17" t="s">
        <v>69</v>
      </c>
      <c r="S101" s="17" t="s">
        <v>56</v>
      </c>
      <c r="T101" s="17" t="s">
        <v>70</v>
      </c>
      <c r="V101" s="17" t="s">
        <v>71</v>
      </c>
    </row>
    <row r="102" customFormat="false" ht="15" hidden="false" customHeight="false" outlineLevel="0" collapsed="false">
      <c r="B102" s="41" t="str">
        <f aca="false">V102</f>
        <v>GS CRE Notes 2025-FL4</v>
      </c>
      <c r="C102" s="26" t="n">
        <f aca="false">SUMPRODUCT(LT_incl*(LT_lender=$V102))</f>
        <v>24</v>
      </c>
      <c r="D102" s="23" t="n">
        <f aca="false">IFERROR(C102/StratLoans,0)</f>
        <v>0.183206106870229</v>
      </c>
      <c r="E102" s="26" t="n">
        <f aca="false">SUMPRODUCT(LT_incl*(LT_lender=$V102),LT_units)</f>
        <v>4629</v>
      </c>
      <c r="F102" s="26" t="n">
        <f aca="false">SUMPRODUCT(LT_incl*(LT_lender=$V102),LT_beds)</f>
        <v>368</v>
      </c>
      <c r="G102" s="22" t="n">
        <f aca="false">SUMPRODUCT(LT_incl*(LT_lender=$V102),LT_upb)</f>
        <v>769487933.65</v>
      </c>
      <c r="H102" s="23" t="n">
        <f aca="false">IFERROR(G102/StratUPB,0)</f>
        <v>0.207063668713744</v>
      </c>
      <c r="I102" s="22" t="n">
        <f aca="false">IFERROR(G102/C102,0)</f>
        <v>32061997.2354167</v>
      </c>
      <c r="J102" s="22" t="n">
        <f aca="false">SUMPRODUCT(LT_incl*(LT_lender=$V102),LT_unfunded)</f>
        <v>14186104.81</v>
      </c>
      <c r="K102" s="22" t="n">
        <f aca="false">SUMPRODUCT(LT_incl*(LT_lender=$V102),LT_navres)</f>
        <v>0</v>
      </c>
      <c r="L102" s="24" t="n">
        <f aca="false">IFERROR(SUMPRODUCT(LT_incl*(LT_lender=$V102),LT_upb,LT_eff)/SUMPRODUCT(LT_incl*(LT_lender=$V102)*ISNUMBER(LT_eff),LT_upb),0)</f>
        <v>0.0357997744750406</v>
      </c>
      <c r="M102" s="24" t="n">
        <f aca="false">IFERROR(SUMPRODUCT(LT_incl*(LT_lender=$V102),LT_upb,LT_coupon)/SUMPRODUCT(LT_incl*(LT_lender=$V102)*ISNUMBER(LT_coupon),LT_upb),0)</f>
        <v>0.0722997744750406</v>
      </c>
      <c r="N102" s="23" t="n">
        <f aca="false">IFERROR(SUMPRODUCT(LT_incl*(LT_lender=$V102),LT_upb,LT_ltv_asis)/SUMPRODUCT(LT_incl*(LT_lender=$V102)*ISNUMBER(LT_ltv_asis),LT_upb),0)</f>
        <v>0.637541623996399</v>
      </c>
      <c r="O102" s="23" t="n">
        <f aca="false">IFERROR(SUMPRODUCT(LT_incl*(LT_lender=$V102),LT_upb,LT_ltv_stab)/SUMPRODUCT(LT_incl*(LT_lender=$V102)*ISNUMBER(LT_ltv_stab),LT_upb),0)</f>
        <v>0.636446359456672</v>
      </c>
      <c r="P102" s="25" t="n">
        <f aca="false">IFERROR(SUMPRODUCT(LT_incl*(LT_lender=$V102),LT_upb,LT_seas)/SUMPRODUCT(LT_incl*(LT_lender=$V102)*ISNUMBER(LT_seas),LT_upb),0)</f>
        <v>23.2719562176615</v>
      </c>
      <c r="Q102" s="25" t="n">
        <f aca="false">IFERROR(SUMPRODUCT(LT_incl*(LT_lender=$V102),LT_upb,LT_rti)/SUMPRODUCT(LT_incl*(LT_lender=$V102)*ISNUMBER(LT_rti),LT_upb),0)</f>
        <v>5.41532301136889</v>
      </c>
      <c r="R102" s="25" t="n">
        <f aca="false">IFERROR(SUMPRODUCT(LT_incl*(LT_lender=$V102),LT_upb,LT_rte)/SUMPRODUCT(LT_incl*(LT_lender=$V102)*ISNUMBER(LT_rte),LT_upb),0)</f>
        <v>25.3397922113159</v>
      </c>
      <c r="S102" s="23" t="n">
        <f aca="false">IFERROR(SUMPRODUCT(LT_incl*(LT_lender=$V102),LT_backdebt)/G102,0)</f>
        <v>0.842480033065425</v>
      </c>
      <c r="T102" s="23" t="n">
        <f aca="false">IFERROR(SUMPRODUCT(LT_incl*(LT_lender=$V102),LT_equity,LT_roe)/SUMPRODUCT(LT_incl*(LT_lender=$V102)*ISNUMBER(LT_roe),LT_equity),0)</f>
        <v>0.165823653884014</v>
      </c>
      <c r="V102" s="42" t="s">
        <v>117</v>
      </c>
    </row>
    <row r="103" customFormat="false" ht="15" hidden="false" customHeight="false" outlineLevel="0" collapsed="false">
      <c r="B103" s="43" t="str">
        <f aca="false">V103</f>
        <v>Unlevered</v>
      </c>
      <c r="C103" s="44" t="n">
        <f aca="false">SUMPRODUCT(LT_incl*(LT_lender=$V103))</f>
        <v>36</v>
      </c>
      <c r="D103" s="32" t="n">
        <f aca="false">IFERROR(C103/StratLoans,0)</f>
        <v>0.274809160305344</v>
      </c>
      <c r="E103" s="44" t="n">
        <f aca="false">SUMPRODUCT(LT_incl*(LT_lender=$V103),LT_units)</f>
        <v>6978</v>
      </c>
      <c r="F103" s="44" t="n">
        <f aca="false">SUMPRODUCT(LT_incl*(LT_lender=$V103),LT_beds)</f>
        <v>2083</v>
      </c>
      <c r="G103" s="31" t="n">
        <f aca="false">SUMPRODUCT(LT_incl*(LT_lender=$V103),LT_upb)</f>
        <v>625456847.6</v>
      </c>
      <c r="H103" s="32" t="n">
        <f aca="false">IFERROR(G103/StratUPB,0)</f>
        <v>0.168305939343158</v>
      </c>
      <c r="I103" s="31" t="n">
        <f aca="false">IFERROR(G103/C103,0)</f>
        <v>17373801.3222222</v>
      </c>
      <c r="J103" s="31" t="n">
        <f aca="false">SUMPRODUCT(LT_incl*(LT_lender=$V103),LT_unfunded)</f>
        <v>16017184.96</v>
      </c>
      <c r="K103" s="31" t="n">
        <f aca="false">SUMPRODUCT(LT_incl*(LT_lender=$V103),LT_navres)</f>
        <v>-33552145.8767694</v>
      </c>
      <c r="L103" s="33" t="n">
        <f aca="false">IFERROR(SUMPRODUCT(LT_incl*(LT_lender=$V103),LT_upb,LT_eff)/SUMPRODUCT(LT_incl*(LT_lender=$V103)*ISNUMBER(LT_eff),LT_upb),0)</f>
        <v>0.0431329377049896</v>
      </c>
      <c r="M103" s="33" t="n">
        <f aca="false">IFERROR(SUMPRODUCT(LT_incl*(LT_lender=$V103),LT_upb,LT_coupon)/SUMPRODUCT(LT_incl*(LT_lender=$V103)*ISNUMBER(LT_coupon),LT_upb),0)</f>
        <v>0.0796329377049896</v>
      </c>
      <c r="N103" s="32" t="n">
        <f aca="false">IFERROR(SUMPRODUCT(LT_incl*(LT_lender=$V103),LT_upb,LT_ltv_asis)/SUMPRODUCT(LT_incl*(LT_lender=$V103)*ISNUMBER(LT_ltv_asis),LT_upb),0)</f>
        <v>0.730231822163949</v>
      </c>
      <c r="O103" s="32" t="n">
        <f aca="false">IFERROR(SUMPRODUCT(LT_incl*(LT_lender=$V103),LT_upb,LT_ltv_stab)/SUMPRODUCT(LT_incl*(LT_lender=$V103)*ISNUMBER(LT_ltv_stab),LT_upb),0)</f>
        <v>0.701400383141476</v>
      </c>
      <c r="P103" s="34" t="n">
        <f aca="false">IFERROR(SUMPRODUCT(LT_incl*(LT_lender=$V103),LT_upb,LT_seas)/SUMPRODUCT(LT_incl*(LT_lender=$V103)*ISNUMBER(LT_seas),LT_upb),0)</f>
        <v>40.7064431740505</v>
      </c>
      <c r="Q103" s="34" t="n">
        <f aca="false">IFERROR(SUMPRODUCT(LT_incl*(LT_lender=$V103),LT_upb,LT_rti)/SUMPRODUCT(LT_incl*(LT_lender=$V103)*ISNUMBER(LT_rti),LT_upb),0)</f>
        <v>9.65850979799548</v>
      </c>
      <c r="R103" s="34" t="n">
        <f aca="false">IFERROR(SUMPRODUCT(LT_incl*(LT_lender=$V103),LT_upb,LT_rte)/SUMPRODUCT(LT_incl*(LT_lender=$V103)*ISNUMBER(LT_rte),LT_upb),0)</f>
        <v>16.8771385949399</v>
      </c>
      <c r="S103" s="32" t="n">
        <f aca="false">IFERROR(SUMPRODUCT(LT_incl*(LT_lender=$V103),LT_backdebt)/G103,0)</f>
        <v>0</v>
      </c>
      <c r="T103" s="32" t="n">
        <f aca="false">IFERROR(SUMPRODUCT(LT_incl*(LT_lender=$V103),LT_equity,LT_roe)/SUMPRODUCT(LT_incl*(LT_lender=$V103)*ISNUMBER(LT_roe),LT_equity),0)</f>
        <v>0.0796329377049896</v>
      </c>
      <c r="V103" s="42" t="s">
        <v>118</v>
      </c>
    </row>
    <row r="104" customFormat="false" ht="15" hidden="false" customHeight="false" outlineLevel="0" collapsed="false">
      <c r="B104" s="41" t="str">
        <f aca="false">V104</f>
        <v>Goldman Sachs</v>
      </c>
      <c r="C104" s="26" t="n">
        <f aca="false">SUMPRODUCT(LT_incl*(LT_lender=$V104))</f>
        <v>16</v>
      </c>
      <c r="D104" s="23" t="n">
        <f aca="false">IFERROR(C104/StratLoans,0)</f>
        <v>0.122137404580153</v>
      </c>
      <c r="E104" s="26" t="n">
        <f aca="false">SUMPRODUCT(LT_incl*(LT_lender=$V104),LT_units)</f>
        <v>3462</v>
      </c>
      <c r="F104" s="26" t="n">
        <f aca="false">SUMPRODUCT(LT_incl*(LT_lender=$V104),LT_beds)</f>
        <v>0</v>
      </c>
      <c r="G104" s="22" t="n">
        <f aca="false">SUMPRODUCT(LT_incl*(LT_lender=$V104),LT_upb)</f>
        <v>547895000</v>
      </c>
      <c r="H104" s="23" t="n">
        <f aca="false">IFERROR(G104/StratUPB,0)</f>
        <v>0.14743460398629</v>
      </c>
      <c r="I104" s="22" t="n">
        <f aca="false">IFERROR(G104/C104,0)</f>
        <v>34243437.5</v>
      </c>
      <c r="J104" s="22" t="n">
        <f aca="false">SUMPRODUCT(LT_incl*(LT_lender=$V104),LT_unfunded)</f>
        <v>3350000</v>
      </c>
      <c r="K104" s="22" t="n">
        <f aca="false">SUMPRODUCT(LT_incl*(LT_lender=$V104),LT_navres)</f>
        <v>-2177060.14197389</v>
      </c>
      <c r="L104" s="24" t="n">
        <f aca="false">IFERROR(SUMPRODUCT(LT_incl*(LT_lender=$V104),LT_upb,LT_eff)/SUMPRODUCT(LT_incl*(LT_lender=$V104)*ISNUMBER(LT_eff),LT_upb),0)</f>
        <v>0.0317546473320618</v>
      </c>
      <c r="M104" s="24" t="n">
        <f aca="false">IFERROR(SUMPRODUCT(LT_incl*(LT_lender=$V104),LT_upb,LT_coupon)/SUMPRODUCT(LT_incl*(LT_lender=$V104)*ISNUMBER(LT_coupon),LT_upb),0)</f>
        <v>0.0682546473320618</v>
      </c>
      <c r="N104" s="23" t="n">
        <f aca="false">IFERROR(SUMPRODUCT(LT_incl*(LT_lender=$V104),LT_upb,LT_ltv_asis)/SUMPRODUCT(LT_incl*(LT_lender=$V104)*ISNUMBER(LT_ltv_asis),LT_upb),0)</f>
        <v>0.695343976646027</v>
      </c>
      <c r="O104" s="23" t="n">
        <f aca="false">IFERROR(SUMPRODUCT(LT_incl*(LT_lender=$V104),LT_upb,LT_ltv_stab)/SUMPRODUCT(LT_incl*(LT_lender=$V104)*ISNUMBER(LT_ltv_stab),LT_upb),0)</f>
        <v>0.662344016949091</v>
      </c>
      <c r="P104" s="25" t="n">
        <f aca="false">IFERROR(SUMPRODUCT(LT_incl*(LT_lender=$V104),LT_upb,LT_seas)/SUMPRODUCT(LT_incl*(LT_lender=$V104)*ISNUMBER(LT_seas),LT_upb),0)</f>
        <v>36.7343566724938</v>
      </c>
      <c r="Q104" s="25" t="n">
        <f aca="false">IFERROR(SUMPRODUCT(LT_incl*(LT_lender=$V104),LT_upb,LT_rti)/SUMPRODUCT(LT_incl*(LT_lender=$V104)*ISNUMBER(LT_rti),LT_upb),0)</f>
        <v>11.1565629387651</v>
      </c>
      <c r="R104" s="25" t="n">
        <f aca="false">IFERROR(SUMPRODUCT(LT_incl*(LT_lender=$V104),LT_upb,LT_rte)/SUMPRODUCT(LT_incl*(LT_lender=$V104)*ISNUMBER(LT_rte),LT_upb),0)</f>
        <v>19.4409344871214</v>
      </c>
      <c r="S104" s="23" t="n">
        <f aca="false">IFERROR(SUMPRODUCT(LT_incl*(LT_lender=$V104),LT_backdebt)/G104,0)</f>
        <v>0.758760916982269</v>
      </c>
      <c r="T104" s="23" t="n">
        <f aca="false">IFERROR(SUMPRODUCT(LT_incl*(LT_lender=$V104),LT_equity,LT_roe)/SUMPRODUCT(LT_incl*(LT_lender=$V104)*ISNUMBER(LT_roe),LT_equity),0)</f>
        <v>0.114672080826102</v>
      </c>
      <c r="V104" s="42" t="s">
        <v>119</v>
      </c>
    </row>
    <row r="105" customFormat="false" ht="15" hidden="false" customHeight="false" outlineLevel="0" collapsed="false">
      <c r="B105" s="43" t="str">
        <f aca="false">V105</f>
        <v>GS CRE Notes 2025-HC4</v>
      </c>
      <c r="C105" s="44" t="n">
        <f aca="false">SUMPRODUCT(LT_incl*(LT_lender=$V105))</f>
        <v>18</v>
      </c>
      <c r="D105" s="32" t="n">
        <f aca="false">IFERROR(C105/StratLoans,0)</f>
        <v>0.137404580152672</v>
      </c>
      <c r="E105" s="44" t="n">
        <f aca="false">SUMPRODUCT(LT_incl*(LT_lender=$V105),LT_units)</f>
        <v>0</v>
      </c>
      <c r="F105" s="44" t="n">
        <f aca="false">SUMPRODUCT(LT_incl*(LT_lender=$V105),LT_beds)</f>
        <v>4578</v>
      </c>
      <c r="G105" s="31" t="n">
        <f aca="false">SUMPRODUCT(LT_incl*(LT_lender=$V105),LT_upb)</f>
        <v>427225782</v>
      </c>
      <c r="H105" s="32" t="n">
        <f aca="false">IFERROR(G105/StratUPB,0)</f>
        <v>0.11496338528715</v>
      </c>
      <c r="I105" s="31" t="n">
        <f aca="false">IFERROR(G105/C105,0)</f>
        <v>23734765.6666667</v>
      </c>
      <c r="J105" s="31" t="n">
        <f aca="false">SUMPRODUCT(LT_incl*(LT_lender=$V105),LT_unfunded)</f>
        <v>6450000</v>
      </c>
      <c r="K105" s="31" t="n">
        <f aca="false">SUMPRODUCT(LT_incl*(LT_lender=$V105),LT_navres)</f>
        <v>0</v>
      </c>
      <c r="L105" s="33" t="n">
        <f aca="false">IFERROR(SUMPRODUCT(LT_incl*(LT_lender=$V105),LT_upb,LT_eff)/SUMPRODUCT(LT_incl*(LT_lender=$V105)*ISNUMBER(LT_eff),LT_upb),0)</f>
        <v>0.0537301022296449</v>
      </c>
      <c r="M105" s="33" t="n">
        <f aca="false">IFERROR(SUMPRODUCT(LT_incl*(LT_lender=$V105),LT_upb,LT_coupon)/SUMPRODUCT(LT_incl*(LT_lender=$V105)*ISNUMBER(LT_coupon),LT_upb),0)</f>
        <v>0.0902301022296449</v>
      </c>
      <c r="N105" s="32" t="n">
        <f aca="false">IFERROR(SUMPRODUCT(LT_incl*(LT_lender=$V105),LT_upb,LT_ltv_asis)/SUMPRODUCT(LT_incl*(LT_lender=$V105)*ISNUMBER(LT_ltv_asis),LT_upb),0)</f>
        <v>0.690539437080553</v>
      </c>
      <c r="O105" s="32" t="n">
        <f aca="false">IFERROR(SUMPRODUCT(LT_incl*(LT_lender=$V105),LT_upb,LT_ltv_stab)/SUMPRODUCT(LT_incl*(LT_lender=$V105)*ISNUMBER(LT_ltv_stab),LT_upb),0)</f>
        <v>0.657040226962163</v>
      </c>
      <c r="P105" s="34" t="n">
        <f aca="false">IFERROR(SUMPRODUCT(LT_incl*(LT_lender=$V105),LT_upb,LT_seas)/SUMPRODUCT(LT_incl*(LT_lender=$V105)*ISNUMBER(LT_seas),LT_upb),0)</f>
        <v>15.0770798664144</v>
      </c>
      <c r="Q105" s="34" t="n">
        <f aca="false">IFERROR(SUMPRODUCT(LT_incl*(LT_lender=$V105),LT_upb,LT_rti)/SUMPRODUCT(LT_incl*(LT_lender=$V105)*ISNUMBER(LT_rti),LT_upb),0)</f>
        <v>10.927718266807</v>
      </c>
      <c r="R105" s="34" t="n">
        <f aca="false">IFERROR(SUMPRODUCT(LT_incl*(LT_lender=$V105),LT_upb,LT_rte)/SUMPRODUCT(LT_incl*(LT_lender=$V105)*ISNUMBER(LT_rte),LT_upb),0)</f>
        <v>21.3115950781649</v>
      </c>
      <c r="S105" s="32" t="n">
        <f aca="false">IFERROR(SUMPRODUCT(LT_incl*(LT_lender=$V105),LT_backdebt)/G105,0)</f>
        <v>0.607958960460166</v>
      </c>
      <c r="T105" s="32" t="n">
        <f aca="false">IFERROR(SUMPRODUCT(LT_incl*(LT_lender=$V105),LT_equity,LT_roe)/SUMPRODUCT(LT_incl*(LT_lender=$V105)*ISNUMBER(LT_roe),LT_equity),0)</f>
        <v>0.141359707185657</v>
      </c>
      <c r="V105" s="42" t="s">
        <v>120</v>
      </c>
    </row>
    <row r="106" customFormat="false" ht="15" hidden="false" customHeight="false" outlineLevel="0" collapsed="false">
      <c r="B106" s="41" t="str">
        <f aca="false">V106</f>
        <v>Wells Fargo</v>
      </c>
      <c r="C106" s="26" t="n">
        <f aca="false">SUMPRODUCT(LT_incl*(LT_lender=$V106))</f>
        <v>7</v>
      </c>
      <c r="D106" s="23" t="n">
        <f aca="false">IFERROR(C106/StratLoans,0)</f>
        <v>0.0534351145038168</v>
      </c>
      <c r="E106" s="26" t="n">
        <f aca="false">SUMPRODUCT(LT_incl*(LT_lender=$V106),LT_units)</f>
        <v>2604</v>
      </c>
      <c r="F106" s="26" t="n">
        <f aca="false">SUMPRODUCT(LT_incl*(LT_lender=$V106),LT_beds)</f>
        <v>0</v>
      </c>
      <c r="G106" s="22" t="n">
        <f aca="false">SUMPRODUCT(LT_incl*(LT_lender=$V106),LT_upb)</f>
        <v>408896399.35</v>
      </c>
      <c r="H106" s="23" t="n">
        <f aca="false">IFERROR(G106/StratUPB,0)</f>
        <v>0.110031080242724</v>
      </c>
      <c r="I106" s="22" t="n">
        <f aca="false">IFERROR(G106/C106,0)</f>
        <v>58413771.3357143</v>
      </c>
      <c r="J106" s="22" t="n">
        <f aca="false">SUMPRODUCT(LT_incl*(LT_lender=$V106),LT_unfunded)</f>
        <v>4898600.65</v>
      </c>
      <c r="K106" s="22" t="n">
        <f aca="false">SUMPRODUCT(LT_incl*(LT_lender=$V106),LT_navres)</f>
        <v>-32049.012303628</v>
      </c>
      <c r="L106" s="24" t="n">
        <f aca="false">IFERROR(SUMPRODUCT(LT_incl*(LT_lender=$V106),LT_upb,LT_eff)/SUMPRODUCT(LT_incl*(LT_lender=$V106)*ISNUMBER(LT_eff),LT_upb),0)</f>
        <v>0.0293270779556572</v>
      </c>
      <c r="M106" s="24" t="n">
        <f aca="false">IFERROR(SUMPRODUCT(LT_incl*(LT_lender=$V106),LT_upb,LT_coupon)/SUMPRODUCT(LT_incl*(LT_lender=$V106)*ISNUMBER(LT_coupon),LT_upb),0)</f>
        <v>0.0658270779556572</v>
      </c>
      <c r="N106" s="23" t="n">
        <f aca="false">IFERROR(SUMPRODUCT(LT_incl*(LT_lender=$V106),LT_upb,LT_ltv_asis)/SUMPRODUCT(LT_incl*(LT_lender=$V106)*ISNUMBER(LT_ltv_asis),LT_upb),0)</f>
        <v>0.686915159812284</v>
      </c>
      <c r="O106" s="23" t="n">
        <f aca="false">IFERROR(SUMPRODUCT(LT_incl*(LT_lender=$V106),LT_upb,LT_ltv_stab)/SUMPRODUCT(LT_incl*(LT_lender=$V106)*ISNUMBER(LT_ltv_stab),LT_upb),0)</f>
        <v>0.636003911758219</v>
      </c>
      <c r="P106" s="25" t="n">
        <f aca="false">IFERROR(SUMPRODUCT(LT_incl*(LT_lender=$V106),LT_upb,LT_seas)/SUMPRODUCT(LT_incl*(LT_lender=$V106)*ISNUMBER(LT_seas),LT_upb),0)</f>
        <v>19.7156894705883</v>
      </c>
      <c r="Q106" s="25" t="n">
        <f aca="false">IFERROR(SUMPRODUCT(LT_incl*(LT_lender=$V106),LT_upb,LT_rti)/SUMPRODUCT(LT_incl*(LT_lender=$V106)*ISNUMBER(LT_rti),LT_upb),0)</f>
        <v>12.1429873855451</v>
      </c>
      <c r="R106" s="25" t="n">
        <f aca="false">IFERROR(SUMPRODUCT(LT_incl*(LT_lender=$V106),LT_upb,LT_rte)/SUMPRODUCT(LT_incl*(LT_lender=$V106)*ISNUMBER(LT_rte),LT_upb),0)</f>
        <v>30.7711129329452</v>
      </c>
      <c r="S106" s="23" t="n">
        <f aca="false">IFERROR(SUMPRODUCT(LT_incl*(LT_lender=$V106),LT_backdebt)/G106,0)</f>
        <v>0.777634407775325</v>
      </c>
      <c r="T106" s="23" t="n">
        <f aca="false">IFERROR(SUMPRODUCT(LT_incl*(LT_lender=$V106),LT_equity,LT_roe)/SUMPRODUCT(LT_incl*(LT_lender=$V106)*ISNUMBER(LT_roe),LT_equity),0)</f>
        <v>0.10986745460464</v>
      </c>
      <c r="V106" s="42" t="s">
        <v>121</v>
      </c>
    </row>
    <row r="107" customFormat="false" ht="15" hidden="false" customHeight="false" outlineLevel="0" collapsed="false">
      <c r="B107" s="43" t="str">
        <f aca="false">V107</f>
        <v>Natixis</v>
      </c>
      <c r="C107" s="44" t="n">
        <f aca="false">SUMPRODUCT(LT_incl*(LT_lender=$V107))</f>
        <v>4</v>
      </c>
      <c r="D107" s="32" t="n">
        <f aca="false">IFERROR(C107/StratLoans,0)</f>
        <v>0.0305343511450382</v>
      </c>
      <c r="E107" s="44" t="n">
        <f aca="false">SUMPRODUCT(LT_incl*(LT_lender=$V107),LT_units)</f>
        <v>1394</v>
      </c>
      <c r="F107" s="44" t="n">
        <f aca="false">SUMPRODUCT(LT_incl*(LT_lender=$V107),LT_beds)</f>
        <v>0</v>
      </c>
      <c r="G107" s="31" t="n">
        <f aca="false">SUMPRODUCT(LT_incl*(LT_lender=$V107),LT_upb)</f>
        <v>226306134.44</v>
      </c>
      <c r="H107" s="32" t="n">
        <f aca="false">IFERROR(G107/StratUPB,0)</f>
        <v>0.0608973531622474</v>
      </c>
      <c r="I107" s="31" t="n">
        <f aca="false">IFERROR(G107/C107,0)</f>
        <v>56576533.61</v>
      </c>
      <c r="J107" s="31" t="n">
        <f aca="false">SUMPRODUCT(LT_incl*(LT_lender=$V107),LT_unfunded)</f>
        <v>6093865.56</v>
      </c>
      <c r="K107" s="31" t="n">
        <f aca="false">SUMPRODUCT(LT_incl*(LT_lender=$V107),LT_navres)</f>
        <v>0</v>
      </c>
      <c r="L107" s="33" t="n">
        <f aca="false">IFERROR(SUMPRODUCT(LT_incl*(LT_lender=$V107),LT_upb,LT_eff)/SUMPRODUCT(LT_incl*(LT_lender=$V107)*ISNUMBER(LT_eff),LT_upb),0)</f>
        <v>0.0332375548779225</v>
      </c>
      <c r="M107" s="33" t="n">
        <f aca="false">IFERROR(SUMPRODUCT(LT_incl*(LT_lender=$V107),LT_upb,LT_coupon)/SUMPRODUCT(LT_incl*(LT_lender=$V107)*ISNUMBER(LT_coupon),LT_upb),0)</f>
        <v>0.0697375548779225</v>
      </c>
      <c r="N107" s="32" t="n">
        <f aca="false">IFERROR(SUMPRODUCT(LT_incl*(LT_lender=$V107),LT_upb,LT_ltv_asis)/SUMPRODUCT(LT_incl*(LT_lender=$V107)*ISNUMBER(LT_ltv_asis),LT_upb),0)</f>
        <v>0.722420394081778</v>
      </c>
      <c r="O107" s="32" t="n">
        <f aca="false">IFERROR(SUMPRODUCT(LT_incl*(LT_lender=$V107),LT_upb,LT_ltv_stab)/SUMPRODUCT(LT_incl*(LT_lender=$V107)*ISNUMBER(LT_ltv_stab),LT_upb),0)</f>
        <v>0.664619263146199</v>
      </c>
      <c r="P107" s="34" t="n">
        <f aca="false">IFERROR(SUMPRODUCT(LT_incl*(LT_lender=$V107),LT_upb,LT_seas)/SUMPRODUCT(LT_incl*(LT_lender=$V107)*ISNUMBER(LT_seas),LT_upb),0)</f>
        <v>9.07764704529671</v>
      </c>
      <c r="Q107" s="34" t="n">
        <f aca="false">IFERROR(SUMPRODUCT(LT_incl*(LT_lender=$V107),LT_upb,LT_rti)/SUMPRODUCT(LT_incl*(LT_lender=$V107)*ISNUMBER(LT_rti),LT_upb),0)</f>
        <v>20.9744311274654</v>
      </c>
      <c r="R107" s="34" t="n">
        <f aca="false">IFERROR(SUMPRODUCT(LT_incl*(LT_lender=$V107),LT_upb,LT_rte)/SUMPRODUCT(LT_incl*(LT_lender=$V107)*ISNUMBER(LT_rte),LT_upb),0)</f>
        <v>38.0504594420626</v>
      </c>
      <c r="S107" s="32" t="n">
        <f aca="false">IFERROR(SUMPRODUCT(LT_incl*(LT_lender=$V107),LT_backdebt)/G107,0)</f>
        <v>0.799624811089588</v>
      </c>
      <c r="T107" s="32" t="n">
        <f aca="false">IFERROR(SUMPRODUCT(LT_incl*(LT_lender=$V107),LT_equity,LT_roe)/SUMPRODUCT(LT_incl*(LT_lender=$V107)*ISNUMBER(LT_roe),LT_equity),0)</f>
        <v>0.143454707883145</v>
      </c>
      <c r="V107" s="42" t="s">
        <v>122</v>
      </c>
    </row>
    <row r="108" customFormat="false" ht="15" hidden="false" customHeight="false" outlineLevel="0" collapsed="false">
      <c r="B108" s="41" t="str">
        <f aca="false">V108</f>
        <v>Huntington Bank</v>
      </c>
      <c r="C108" s="26" t="n">
        <f aca="false">SUMPRODUCT(LT_incl*(LT_lender=$V108))</f>
        <v>10</v>
      </c>
      <c r="D108" s="23" t="n">
        <f aca="false">IFERROR(C108/StratLoans,0)</f>
        <v>0.0763358778625954</v>
      </c>
      <c r="E108" s="26" t="n">
        <f aca="false">SUMPRODUCT(LT_incl*(LT_lender=$V108),LT_units)</f>
        <v>0</v>
      </c>
      <c r="F108" s="26" t="n">
        <f aca="false">SUMPRODUCT(LT_incl*(LT_lender=$V108),LT_beds)</f>
        <v>1402</v>
      </c>
      <c r="G108" s="22" t="n">
        <f aca="false">SUMPRODUCT(LT_incl*(LT_lender=$V108),LT_upb)</f>
        <v>198080500</v>
      </c>
      <c r="H108" s="23" t="n">
        <f aca="false">IFERROR(G108/StratUPB,0)</f>
        <v>0.05330203793593</v>
      </c>
      <c r="I108" s="22" t="n">
        <f aca="false">IFERROR(G108/C108,0)</f>
        <v>19808050</v>
      </c>
      <c r="J108" s="22" t="n">
        <f aca="false">SUMPRODUCT(LT_incl*(LT_lender=$V108),LT_unfunded)</f>
        <v>6190000</v>
      </c>
      <c r="K108" s="22" t="n">
        <f aca="false">SUMPRODUCT(LT_incl*(LT_lender=$V108),LT_navres)</f>
        <v>0</v>
      </c>
      <c r="L108" s="24" t="n">
        <f aca="false">IFERROR(SUMPRODUCT(LT_incl*(LT_lender=$V108),LT_upb,LT_eff)/SUMPRODUCT(LT_incl*(LT_lender=$V108)*ISNUMBER(LT_eff),LT_upb),0)</f>
        <v>0.0460269890271884</v>
      </c>
      <c r="M108" s="24" t="n">
        <f aca="false">IFERROR(SUMPRODUCT(LT_incl*(LT_lender=$V108),LT_upb,LT_coupon)/SUMPRODUCT(LT_incl*(LT_lender=$V108)*ISNUMBER(LT_coupon),LT_upb),0)</f>
        <v>0.0825269890271884</v>
      </c>
      <c r="N108" s="23" t="n">
        <f aca="false">IFERROR(SUMPRODUCT(LT_incl*(LT_lender=$V108),LT_upb,LT_ltv_asis)/SUMPRODUCT(LT_incl*(LT_lender=$V108)*ISNUMBER(LT_ltv_asis),LT_upb),0)</f>
        <v>0.63147865084734</v>
      </c>
      <c r="O108" s="23" t="n">
        <f aca="false">IFERROR(SUMPRODUCT(LT_incl*(LT_lender=$V108),LT_upb,LT_ltv_stab)/SUMPRODUCT(LT_incl*(LT_lender=$V108)*ISNUMBER(LT_ltv_stab),LT_upb),0)</f>
        <v>0.610906298555887</v>
      </c>
      <c r="P108" s="25" t="n">
        <f aca="false">IFERROR(SUMPRODUCT(LT_incl*(LT_lender=$V108),LT_upb,LT_seas)/SUMPRODUCT(LT_incl*(LT_lender=$V108)*ISNUMBER(LT_seas),LT_upb),0)</f>
        <v>3.00101613324228</v>
      </c>
      <c r="Q108" s="25" t="n">
        <f aca="false">IFERROR(SUMPRODUCT(LT_incl*(LT_lender=$V108),LT_upb,LT_rti)/SUMPRODUCT(LT_incl*(LT_lender=$V108)*ISNUMBER(LT_rti),LT_upb),0)</f>
        <v>23.514527743675</v>
      </c>
      <c r="R108" s="25" t="n">
        <f aca="false">IFERROR(SUMPRODUCT(LT_incl*(LT_lender=$V108),LT_upb,LT_rte)/SUMPRODUCT(LT_incl*(LT_lender=$V108)*ISNUMBER(LT_rte),LT_upb),0)</f>
        <v>33.5239094167256</v>
      </c>
      <c r="S108" s="23" t="n">
        <f aca="false">IFERROR(SUMPRODUCT(LT_incl*(LT_lender=$V108),LT_backdebt)/G108,0)</f>
        <v>0.8</v>
      </c>
      <c r="T108" s="23" t="n">
        <f aca="false">IFERROR(SUMPRODUCT(LT_incl*(LT_lender=$V108),LT_equity,LT_roe)/SUMPRODUCT(LT_incl*(LT_lender=$V108)*ISNUMBER(LT_roe),LT_equity),0)</f>
        <v>0.164867608118921</v>
      </c>
      <c r="V108" s="42" t="s">
        <v>123</v>
      </c>
    </row>
    <row r="109" customFormat="false" ht="15" hidden="false" customHeight="false" outlineLevel="0" collapsed="false">
      <c r="B109" s="43" t="str">
        <f aca="false">V109</f>
        <v>UBS</v>
      </c>
      <c r="C109" s="44" t="n">
        <f aca="false">SUMPRODUCT(LT_incl*(LT_lender=$V109))</f>
        <v>6</v>
      </c>
      <c r="D109" s="32" t="n">
        <f aca="false">IFERROR(C109/StratLoans,0)</f>
        <v>0.0458015267175573</v>
      </c>
      <c r="E109" s="44" t="n">
        <f aca="false">SUMPRODUCT(LT_incl*(LT_lender=$V109),LT_units)</f>
        <v>1267</v>
      </c>
      <c r="F109" s="44" t="n">
        <f aca="false">SUMPRODUCT(LT_incl*(LT_lender=$V109),LT_beds)</f>
        <v>0</v>
      </c>
      <c r="G109" s="31" t="n">
        <f aca="false">SUMPRODUCT(LT_incl*(LT_lender=$V109),LT_upb)</f>
        <v>182126000</v>
      </c>
      <c r="H109" s="32" t="n">
        <f aca="false">IFERROR(G109/StratUPB,0)</f>
        <v>0.0490087967322335</v>
      </c>
      <c r="I109" s="31" t="n">
        <f aca="false">IFERROR(G109/C109,0)</f>
        <v>30354333.3333333</v>
      </c>
      <c r="J109" s="31" t="n">
        <f aca="false">SUMPRODUCT(LT_incl*(LT_lender=$V109),LT_unfunded)</f>
        <v>4160000</v>
      </c>
      <c r="K109" s="31" t="n">
        <f aca="false">SUMPRODUCT(LT_incl*(LT_lender=$V109),LT_navres)</f>
        <v>0</v>
      </c>
      <c r="L109" s="33" t="n">
        <f aca="false">IFERROR(SUMPRODUCT(LT_incl*(LT_lender=$V109),LT_upb,LT_eff)/SUMPRODUCT(LT_incl*(LT_lender=$V109)*ISNUMBER(LT_eff),LT_upb),0)</f>
        <v>0.0334029572933024</v>
      </c>
      <c r="M109" s="33" t="n">
        <f aca="false">IFERROR(SUMPRODUCT(LT_incl*(LT_lender=$V109),LT_upb,LT_coupon)/SUMPRODUCT(LT_incl*(LT_lender=$V109)*ISNUMBER(LT_coupon),LT_upb),0)</f>
        <v>0.0699029572933024</v>
      </c>
      <c r="N109" s="32" t="n">
        <f aca="false">IFERROR(SUMPRODUCT(LT_incl*(LT_lender=$V109),LT_upb,LT_ltv_asis)/SUMPRODUCT(LT_incl*(LT_lender=$V109)*ISNUMBER(LT_ltv_asis),LT_upb),0)</f>
        <v>0.740111600077246</v>
      </c>
      <c r="O109" s="32" t="n">
        <f aca="false">IFERROR(SUMPRODUCT(LT_incl*(LT_lender=$V109),LT_upb,LT_ltv_stab)/SUMPRODUCT(LT_incl*(LT_lender=$V109)*ISNUMBER(LT_ltv_stab),LT_upb),0)</f>
        <v>0.705000253063221</v>
      </c>
      <c r="P109" s="34" t="n">
        <f aca="false">IFERROR(SUMPRODUCT(LT_incl*(LT_lender=$V109),LT_upb,LT_seas)/SUMPRODUCT(LT_incl*(LT_lender=$V109)*ISNUMBER(LT_seas),LT_upb),0)</f>
        <v>24.6199660361046</v>
      </c>
      <c r="Q109" s="34" t="n">
        <f aca="false">IFERROR(SUMPRODUCT(LT_incl*(LT_lender=$V109),LT_upb,LT_rti)/SUMPRODUCT(LT_incl*(LT_lender=$V109)*ISNUMBER(LT_rti),LT_upb),0)</f>
        <v>12.7687398130243</v>
      </c>
      <c r="R109" s="34" t="n">
        <f aca="false">IFERROR(SUMPRODUCT(LT_incl*(LT_lender=$V109),LT_upb,LT_rte)/SUMPRODUCT(LT_incl*(LT_lender=$V109)*ISNUMBER(LT_rte),LT_upb),0)</f>
        <v>18.8338203298612</v>
      </c>
      <c r="S109" s="32" t="n">
        <f aca="false">IFERROR(SUMPRODUCT(LT_incl*(LT_lender=$V109),LT_backdebt)/G109,0)</f>
        <v>0.706051239251947</v>
      </c>
      <c r="T109" s="32" t="n">
        <f aca="false">IFERROR(SUMPRODUCT(LT_incl*(LT_lender=$V109),LT_equity,LT_roe)/SUMPRODUCT(LT_incl*(LT_lender=$V109)*ISNUMBER(LT_roe),LT_equity),0)</f>
        <v>0.110697423895287</v>
      </c>
      <c r="V109" s="42" t="s">
        <v>124</v>
      </c>
    </row>
    <row r="110" customFormat="false" ht="15" hidden="false" customHeight="false" outlineLevel="0" collapsed="false">
      <c r="B110" s="41" t="str">
        <f aca="false">V110</f>
        <v>JPMorgan Chase</v>
      </c>
      <c r="C110" s="26" t="n">
        <f aca="false">SUMPRODUCT(LT_incl*(LT_lender=$V110))</f>
        <v>4</v>
      </c>
      <c r="D110" s="23" t="n">
        <f aca="false">IFERROR(C110/StratLoans,0)</f>
        <v>0.0305343511450382</v>
      </c>
      <c r="E110" s="26" t="n">
        <f aca="false">SUMPRODUCT(LT_incl*(LT_lender=$V110),LT_units)</f>
        <v>906</v>
      </c>
      <c r="F110" s="26" t="n">
        <f aca="false">SUMPRODUCT(LT_incl*(LT_lender=$V110),LT_beds)</f>
        <v>0</v>
      </c>
      <c r="G110" s="22" t="n">
        <f aca="false">SUMPRODUCT(LT_incl*(LT_lender=$V110),LT_upb)</f>
        <v>142776000</v>
      </c>
      <c r="H110" s="23" t="n">
        <f aca="false">IFERROR(G110/StratUPB,0)</f>
        <v>0.0384199947412307</v>
      </c>
      <c r="I110" s="22" t="n">
        <f aca="false">IFERROR(G110/C110,0)</f>
        <v>35694000</v>
      </c>
      <c r="J110" s="22" t="n">
        <f aca="false">SUMPRODUCT(LT_incl*(LT_lender=$V110),LT_unfunded)</f>
        <v>900000</v>
      </c>
      <c r="K110" s="22" t="n">
        <f aca="false">SUMPRODUCT(LT_incl*(LT_lender=$V110),LT_navres)</f>
        <v>0</v>
      </c>
      <c r="L110" s="24" t="n">
        <f aca="false">IFERROR(SUMPRODUCT(LT_incl*(LT_lender=$V110),LT_upb,LT_eff)/SUMPRODUCT(LT_incl*(LT_lender=$V110)*ISNUMBER(LT_eff),LT_upb),0)</f>
        <v>0.0348819899703031</v>
      </c>
      <c r="M110" s="24" t="n">
        <f aca="false">IFERROR(SUMPRODUCT(LT_incl*(LT_lender=$V110),LT_upb,LT_coupon)/SUMPRODUCT(LT_incl*(LT_lender=$V110)*ISNUMBER(LT_coupon),LT_upb),0)</f>
        <v>0.0713819899703031</v>
      </c>
      <c r="N110" s="23" t="n">
        <f aca="false">IFERROR(SUMPRODUCT(LT_incl*(LT_lender=$V110),LT_upb,LT_ltv_asis)/SUMPRODUCT(LT_incl*(LT_lender=$V110)*ISNUMBER(LT_ltv_asis),LT_upb),0)</f>
        <v>0.794474881823125</v>
      </c>
      <c r="O110" s="23" t="n">
        <f aca="false">IFERROR(SUMPRODUCT(LT_incl*(LT_lender=$V110),LT_upb,LT_ltv_stab)/SUMPRODUCT(LT_incl*(LT_lender=$V110)*ISNUMBER(LT_ltv_stab),LT_upb),0)</f>
        <v>0.710890254032981</v>
      </c>
      <c r="P110" s="25" t="n">
        <f aca="false">IFERROR(SUMPRODUCT(LT_incl*(LT_lender=$V110),LT_upb,LT_seas)/SUMPRODUCT(LT_incl*(LT_lender=$V110)*ISNUMBER(LT_seas),LT_upb),0)</f>
        <v>40.5703110249579</v>
      </c>
      <c r="Q110" s="25" t="n">
        <f aca="false">IFERROR(SUMPRODUCT(LT_incl*(LT_lender=$V110),LT_upb,LT_rti)/SUMPRODUCT(LT_incl*(LT_lender=$V110)*ISNUMBER(LT_rti),LT_upb),0)</f>
        <v>4.33470030279047</v>
      </c>
      <c r="R110" s="25" t="n">
        <f aca="false">IFERROR(SUMPRODUCT(LT_incl*(LT_lender=$V110),LT_upb,LT_rte)/SUMPRODUCT(LT_incl*(LT_lender=$V110)*ISNUMBER(LT_rte),LT_upb),0)</f>
        <v>8.52370221028871</v>
      </c>
      <c r="S110" s="23" t="n">
        <f aca="false">IFERROR(SUMPRODUCT(LT_incl*(LT_lender=$V110),LT_backdebt)/G110,0)</f>
        <v>0.647977251078613</v>
      </c>
      <c r="T110" s="23" t="n">
        <f aca="false">IFERROR(SUMPRODUCT(LT_incl*(LT_lender=$V110),LT_equity,LT_roe)/SUMPRODUCT(LT_incl*(LT_lender=$V110)*ISNUMBER(LT_roe),LT_equity),0)</f>
        <v>0.0966473231410813</v>
      </c>
      <c r="V110" s="42" t="s">
        <v>125</v>
      </c>
    </row>
    <row r="111" customFormat="false" ht="15" hidden="false" customHeight="false" outlineLevel="0" collapsed="false">
      <c r="B111" s="43" t="str">
        <f aca="false">V111</f>
        <v>Bank of America</v>
      </c>
      <c r="C111" s="44" t="n">
        <f aca="false">SUMPRODUCT(LT_incl*(LT_lender=$V111))</f>
        <v>1</v>
      </c>
      <c r="D111" s="32" t="n">
        <f aca="false">IFERROR(C111/StratLoans,0)</f>
        <v>0.00763358778625954</v>
      </c>
      <c r="E111" s="44" t="n">
        <f aca="false">SUMPRODUCT(LT_incl*(LT_lender=$V111),LT_units)</f>
        <v>344</v>
      </c>
      <c r="F111" s="44" t="n">
        <f aca="false">SUMPRODUCT(LT_incl*(LT_lender=$V111),LT_beds)</f>
        <v>0</v>
      </c>
      <c r="G111" s="31" t="n">
        <f aca="false">SUMPRODUCT(LT_incl*(LT_lender=$V111),LT_upb)</f>
        <v>62550000</v>
      </c>
      <c r="H111" s="32" t="n">
        <f aca="false">IFERROR(G111/StratUPB,0)</f>
        <v>0.0168317551343642</v>
      </c>
      <c r="I111" s="31" t="n">
        <f aca="false">IFERROR(G111/C111,0)</f>
        <v>62550000</v>
      </c>
      <c r="J111" s="31" t="n">
        <f aca="false">SUMPRODUCT(LT_incl*(LT_lender=$V111),LT_unfunded)</f>
        <v>0</v>
      </c>
      <c r="K111" s="31" t="n">
        <f aca="false">SUMPRODUCT(LT_incl*(LT_lender=$V111),LT_navres)</f>
        <v>0</v>
      </c>
      <c r="L111" s="33" t="n">
        <f aca="false">IFERROR(SUMPRODUCT(LT_incl*(LT_lender=$V111),LT_upb,LT_eff)/SUMPRODUCT(LT_incl*(LT_lender=$V111)*ISNUMBER(LT_eff),LT_upb),0)</f>
        <v>0.0325</v>
      </c>
      <c r="M111" s="33" t="n">
        <f aca="false">IFERROR(SUMPRODUCT(LT_incl*(LT_lender=$V111),LT_upb,LT_coupon)/SUMPRODUCT(LT_incl*(LT_lender=$V111)*ISNUMBER(LT_coupon),LT_upb),0)</f>
        <v>0.069</v>
      </c>
      <c r="N111" s="32" t="n">
        <f aca="false">IFERROR(SUMPRODUCT(LT_incl*(LT_lender=$V111),LT_upb,LT_ltv_asis)/SUMPRODUCT(LT_incl*(LT_lender=$V111)*ISNUMBER(LT_ltv_asis),LT_upb),0)</f>
        <v>0.75972010178117</v>
      </c>
      <c r="O111" s="32" t="n">
        <f aca="false">IFERROR(SUMPRODUCT(LT_incl*(LT_lender=$V111),LT_upb,LT_ltv_stab)/SUMPRODUCT(LT_incl*(LT_lender=$V111)*ISNUMBER(LT_ltv_stab),LT_upb),0)</f>
        <v>0.621167161226508</v>
      </c>
      <c r="P111" s="34" t="n">
        <f aca="false">IFERROR(SUMPRODUCT(LT_incl*(LT_lender=$V111),LT_upb,LT_seas)/SUMPRODUCT(LT_incl*(LT_lender=$V111)*ISNUMBER(LT_seas),LT_upb),0)</f>
        <v>54.6365503080082</v>
      </c>
      <c r="Q111" s="34" t="n">
        <f aca="false">IFERROR(SUMPRODUCT(LT_incl*(LT_lender=$V111),LT_upb,LT_rti)/SUMPRODUCT(LT_incl*(LT_lender=$V111)*ISNUMBER(LT_rti),LT_upb),0)</f>
        <v>0</v>
      </c>
      <c r="R111" s="34" t="n">
        <f aca="false">IFERROR(SUMPRODUCT(LT_incl*(LT_lender=$V111),LT_upb,LT_rte)/SUMPRODUCT(LT_incl*(LT_lender=$V111)*ISNUMBER(LT_rte),LT_upb),0)</f>
        <v>6.07802874743327</v>
      </c>
      <c r="S111" s="32" t="n">
        <f aca="false">IFERROR(SUMPRODUCT(LT_incl*(LT_lender=$V111),LT_backdebt)/G111,0)</f>
        <v>0.620871302957634</v>
      </c>
      <c r="T111" s="32" t="n">
        <f aca="false">IFERROR(SUMPRODUCT(LT_incl*(LT_lender=$V111),LT_equity,LT_roe)/SUMPRODUCT(LT_incl*(LT_lender=$V111)*ISNUMBER(LT_roe),LT_equity),0)</f>
        <v>0.0935644015264922</v>
      </c>
      <c r="V111" s="42" t="s">
        <v>126</v>
      </c>
    </row>
    <row r="112" customFormat="false" ht="15" hidden="false" customHeight="false" outlineLevel="0" collapsed="false">
      <c r="B112" s="41" t="str">
        <f aca="false">V112</f>
        <v>Axos Bank</v>
      </c>
      <c r="C112" s="26" t="n">
        <f aca="false">SUMPRODUCT(LT_incl*(LT_lender=$V112))</f>
        <v>1</v>
      </c>
      <c r="D112" s="23" t="n">
        <f aca="false">IFERROR(C112/StratLoans,0)</f>
        <v>0.00763358778625954</v>
      </c>
      <c r="E112" s="26" t="n">
        <f aca="false">SUMPRODUCT(LT_incl*(LT_lender=$V112),LT_units)</f>
        <v>92</v>
      </c>
      <c r="F112" s="26" t="n">
        <f aca="false">SUMPRODUCT(LT_incl*(LT_lender=$V112),LT_beds)</f>
        <v>0</v>
      </c>
      <c r="G112" s="22" t="n">
        <f aca="false">SUMPRODUCT(LT_incl*(LT_lender=$V112),LT_upb)</f>
        <v>34599396.26</v>
      </c>
      <c r="H112" s="23" t="n">
        <f aca="false">IFERROR(G112/StratUPB,0)</f>
        <v>0.00931044869136939</v>
      </c>
      <c r="I112" s="22" t="n">
        <f aca="false">IFERROR(G112/C112,0)</f>
        <v>34599396.26</v>
      </c>
      <c r="J112" s="22" t="n">
        <f aca="false">SUMPRODUCT(LT_incl*(LT_lender=$V112),LT_unfunded)</f>
        <v>2179742.28999999</v>
      </c>
      <c r="K112" s="22" t="n">
        <f aca="false">SUMPRODUCT(LT_incl*(LT_lender=$V112),LT_navres)</f>
        <v>0</v>
      </c>
      <c r="L112" s="24" t="n">
        <f aca="false">IFERROR(SUMPRODUCT(LT_incl*(LT_lender=$V112),LT_upb,LT_eff)/SUMPRODUCT(LT_incl*(LT_lender=$V112)*ISNUMBER(LT_eff),LT_upb),0)</f>
        <v>0.0685</v>
      </c>
      <c r="M112" s="24" t="n">
        <f aca="false">IFERROR(SUMPRODUCT(LT_incl*(LT_lender=$V112),LT_upb,LT_coupon)/SUMPRODUCT(LT_incl*(LT_lender=$V112)*ISNUMBER(LT_coupon),LT_upb),0)</f>
        <v>0.105</v>
      </c>
      <c r="N112" s="23" t="n">
        <f aca="false">IFERROR(SUMPRODUCT(LT_incl*(LT_lender=$V112),LT_upb,LT_ltv_asis)/SUMPRODUCT(LT_incl*(LT_lender=$V112)*ISNUMBER(LT_ltv_asis),LT_upb),0)</f>
        <v>0.114324755244755</v>
      </c>
      <c r="O112" s="23" t="n">
        <f aca="false">IFERROR(SUMPRODUCT(LT_incl*(LT_lender=$V112),LT_upb,LT_ltv_stab)/SUMPRODUCT(LT_incl*(LT_lender=$V112)*ISNUMBER(LT_ltv_stab),LT_upb),0)</f>
        <v>0.535294117647059</v>
      </c>
      <c r="P112" s="25" t="n">
        <f aca="false">IFERROR(SUMPRODUCT(LT_incl*(LT_lender=$V112),LT_upb,LT_seas)/SUMPRODUCT(LT_incl*(LT_lender=$V112)*ISNUMBER(LT_seas),LT_upb),0)</f>
        <v>16.0657084188912</v>
      </c>
      <c r="Q112" s="25" t="n">
        <f aca="false">IFERROR(SUMPRODUCT(LT_incl*(LT_lender=$V112),LT_upb,LT_rti)/SUMPRODUCT(LT_incl*(LT_lender=$V112)*ISNUMBER(LT_rti),LT_upb),0)</f>
        <v>19.9096509240246</v>
      </c>
      <c r="R112" s="25" t="n">
        <f aca="false">IFERROR(SUMPRODUCT(LT_incl*(LT_lender=$V112),LT_upb,LT_rte)/SUMPRODUCT(LT_incl*(LT_lender=$V112)*ISNUMBER(LT_rte),LT_upb),0)</f>
        <v>43.9260780287474</v>
      </c>
      <c r="S112" s="23" t="n">
        <f aca="false">IFERROR(SUMPRODUCT(LT_incl*(LT_lender=$V112),LT_backdebt)/G112,0)</f>
        <v>0.675800000505558</v>
      </c>
      <c r="T112" s="23" t="n">
        <f aca="false">IFERROR(SUMPRODUCT(LT_incl*(LT_lender=$V112),LT_equity,LT_roe)/SUMPRODUCT(LT_incl*(LT_lender=$V112)*ISNUMBER(LT_roe),LT_equity),0)</f>
        <v>0.143980444260212</v>
      </c>
      <c r="V112" s="42" t="s">
        <v>127</v>
      </c>
    </row>
    <row r="113" customFormat="false" ht="15" hidden="false" customHeight="false" outlineLevel="0" collapsed="false">
      <c r="B113" s="43" t="str">
        <f aca="false">V113</f>
        <v>Atlas</v>
      </c>
      <c r="C113" s="44" t="n">
        <f aca="false">SUMPRODUCT(LT_incl*(LT_lender=$V113))</f>
        <v>1</v>
      </c>
      <c r="D113" s="32" t="n">
        <f aca="false">IFERROR(C113/StratLoans,0)</f>
        <v>0.00763358778625954</v>
      </c>
      <c r="E113" s="44" t="n">
        <f aca="false">SUMPRODUCT(LT_incl*(LT_lender=$V113),LT_units)</f>
        <v>0</v>
      </c>
      <c r="F113" s="44" t="n">
        <f aca="false">SUMPRODUCT(LT_incl*(LT_lender=$V113),LT_beds)</f>
        <v>295</v>
      </c>
      <c r="G113" s="31" t="n">
        <f aca="false">SUMPRODUCT(LT_incl*(LT_lender=$V113),LT_upb)</f>
        <v>34000000</v>
      </c>
      <c r="H113" s="32" t="n">
        <f aca="false">IFERROR(G113/StratUPB,0)</f>
        <v>0.00914915546871913</v>
      </c>
      <c r="I113" s="31" t="n">
        <f aca="false">IFERROR(G113/C113,0)</f>
        <v>34000000</v>
      </c>
      <c r="J113" s="31" t="n">
        <f aca="false">SUMPRODUCT(LT_incl*(LT_lender=$V113),LT_unfunded)</f>
        <v>6000000</v>
      </c>
      <c r="K113" s="31" t="n">
        <f aca="false">SUMPRODUCT(LT_incl*(LT_lender=$V113),LT_navres)</f>
        <v>0</v>
      </c>
      <c r="L113" s="33" t="n">
        <f aca="false">IFERROR(SUMPRODUCT(LT_incl*(LT_lender=$V113),LT_upb,LT_eff)/SUMPRODUCT(LT_incl*(LT_lender=$V113)*ISNUMBER(LT_eff),LT_upb),0)</f>
        <v>0.0537</v>
      </c>
      <c r="M113" s="33" t="n">
        <f aca="false">IFERROR(SUMPRODUCT(LT_incl*(LT_lender=$V113),LT_upb,LT_coupon)/SUMPRODUCT(LT_incl*(LT_lender=$V113)*ISNUMBER(LT_coupon),LT_upb),0)</f>
        <v>0.0902</v>
      </c>
      <c r="N113" s="32" t="n">
        <f aca="false">IFERROR(SUMPRODUCT(LT_incl*(LT_lender=$V113),LT_upb,LT_ltv_asis)/SUMPRODUCT(LT_incl*(LT_lender=$V113)*ISNUMBER(LT_ltv_asis),LT_upb),0)</f>
        <v>0.460176991150443</v>
      </c>
      <c r="O113" s="32" t="n">
        <f aca="false">IFERROR(SUMPRODUCT(LT_incl*(LT_lender=$V113),LT_upb,LT_ltv_stab)/SUMPRODUCT(LT_incl*(LT_lender=$V113)*ISNUMBER(LT_ltv_stab),LT_upb),0)</f>
        <v>0.690846286701209</v>
      </c>
      <c r="P113" s="34" t="n">
        <f aca="false">IFERROR(SUMPRODUCT(LT_incl*(LT_lender=$V113),LT_upb,LT_seas)/SUMPRODUCT(LT_incl*(LT_lender=$V113)*ISNUMBER(LT_seas),LT_upb),0)</f>
        <v>13.0431211498973</v>
      </c>
      <c r="Q113" s="34" t="n">
        <f aca="false">IFERROR(SUMPRODUCT(LT_incl*(LT_lender=$V113),LT_upb,LT_rti)/SUMPRODUCT(LT_incl*(LT_lender=$V113)*ISNUMBER(LT_rti),LT_upb),0)</f>
        <v>17.0513347022587</v>
      </c>
      <c r="R113" s="34" t="n">
        <f aca="false">IFERROR(SUMPRODUCT(LT_incl*(LT_lender=$V113),LT_upb,LT_rte)/SUMPRODUCT(LT_incl*(LT_lender=$V113)*ISNUMBER(LT_rte),LT_upb),0)</f>
        <v>23.0636550308008</v>
      </c>
      <c r="S113" s="32" t="n">
        <f aca="false">IFERROR(SUMPRODUCT(LT_incl*(LT_lender=$V113),LT_backdebt)/G113,0)</f>
        <v>0.75</v>
      </c>
      <c r="T113" s="32" t="n">
        <f aca="false">IFERROR(SUMPRODUCT(LT_incl*(LT_lender=$V113),LT_equity,LT_roe)/SUMPRODUCT(LT_incl*(LT_lender=$V113)*ISNUMBER(LT_roe),LT_equity),0)</f>
        <v>0.1487</v>
      </c>
      <c r="V113" s="42" t="s">
        <v>128</v>
      </c>
    </row>
    <row r="114" customFormat="false" ht="15" hidden="false" customHeight="false" outlineLevel="0" collapsed="false">
      <c r="B114" s="41" t="str">
        <f aca="false">V114</f>
        <v>Capital One MF</v>
      </c>
      <c r="C114" s="26" t="n">
        <f aca="false">SUMPRODUCT(LT_incl*(LT_lender=$V114))</f>
        <v>1</v>
      </c>
      <c r="D114" s="23" t="n">
        <f aca="false">IFERROR(C114/StratLoans,0)</f>
        <v>0.00763358778625954</v>
      </c>
      <c r="E114" s="26" t="n">
        <f aca="false">SUMPRODUCT(LT_incl*(LT_lender=$V114),LT_units)</f>
        <v>292</v>
      </c>
      <c r="F114" s="26" t="n">
        <f aca="false">SUMPRODUCT(LT_incl*(LT_lender=$V114),LT_beds)</f>
        <v>0</v>
      </c>
      <c r="G114" s="22" t="n">
        <f aca="false">SUMPRODUCT(LT_incl*(LT_lender=$V114),LT_upb)</f>
        <v>31490000</v>
      </c>
      <c r="H114" s="23" t="n">
        <f aca="false">IFERROR(G114/StratUPB,0)</f>
        <v>0.00847373252088133</v>
      </c>
      <c r="I114" s="22" t="n">
        <f aca="false">IFERROR(G114/C114,0)</f>
        <v>31490000</v>
      </c>
      <c r="J114" s="22" t="n">
        <f aca="false">SUMPRODUCT(LT_incl*(LT_lender=$V114),LT_unfunded)</f>
        <v>0</v>
      </c>
      <c r="K114" s="22" t="n">
        <f aca="false">SUMPRODUCT(LT_incl*(LT_lender=$V114),LT_navres)</f>
        <v>0</v>
      </c>
      <c r="L114" s="24" t="n">
        <f aca="false">IFERROR(SUMPRODUCT(LT_incl*(LT_lender=$V114),LT_upb,LT_eff)/SUMPRODUCT(LT_incl*(LT_lender=$V114)*ISNUMBER(LT_eff),LT_upb),0)</f>
        <v>0.0335</v>
      </c>
      <c r="M114" s="24" t="n">
        <f aca="false">IFERROR(SUMPRODUCT(LT_incl*(LT_lender=$V114),LT_upb,LT_coupon)/SUMPRODUCT(LT_incl*(LT_lender=$V114)*ISNUMBER(LT_coupon),LT_upb),0)</f>
        <v>0.07</v>
      </c>
      <c r="N114" s="23" t="n">
        <f aca="false">IFERROR(SUMPRODUCT(LT_incl*(LT_lender=$V114),LT_upb,LT_ltv_asis)/SUMPRODUCT(LT_incl*(LT_lender=$V114)*ISNUMBER(LT_ltv_asis),LT_upb),0)</f>
        <v>0.7140589569161</v>
      </c>
      <c r="O114" s="23" t="n">
        <f aca="false">IFERROR(SUMPRODUCT(LT_incl*(LT_lender=$V114),LT_upb,LT_ltv_stab)/SUMPRODUCT(LT_incl*(LT_lender=$V114)*ISNUMBER(LT_ltv_stab),LT_upb),0)</f>
        <v>0.583148148148148</v>
      </c>
      <c r="P114" s="25" t="n">
        <f aca="false">IFERROR(SUMPRODUCT(LT_incl*(LT_lender=$V114),LT_upb,LT_seas)/SUMPRODUCT(LT_incl*(LT_lender=$V114)*ISNUMBER(LT_seas),LT_upb),0)</f>
        <v>5.97946611909651</v>
      </c>
      <c r="Q114" s="25" t="n">
        <f aca="false">IFERROR(SUMPRODUCT(LT_incl*(LT_lender=$V114),LT_upb,LT_rti)/SUMPRODUCT(LT_incl*(LT_lender=$V114)*ISNUMBER(LT_rti),LT_upb),0)</f>
        <v>8.01642710472279</v>
      </c>
      <c r="R114" s="25" t="n">
        <f aca="false">IFERROR(SUMPRODUCT(LT_incl*(LT_lender=$V114),LT_upb,LT_rte)/SUMPRODUCT(LT_incl*(LT_lender=$V114)*ISNUMBER(LT_rte),LT_upb),0)</f>
        <v>20.041067761807</v>
      </c>
      <c r="S114" s="23" t="n">
        <f aca="false">IFERROR(SUMPRODUCT(LT_incl*(LT_lender=$V114),LT_backdebt)/G114,0)</f>
        <v>0.8</v>
      </c>
      <c r="T114" s="23" t="n">
        <f aca="false">IFERROR(SUMPRODUCT(LT_incl*(LT_lender=$V114),LT_equity,LT_roe)/SUMPRODUCT(LT_incl*(LT_lender=$V114)*ISNUMBER(LT_roe),LT_equity),0)</f>
        <v>0.14</v>
      </c>
      <c r="V114" s="42" t="s">
        <v>129</v>
      </c>
    </row>
    <row r="115" customFormat="false" ht="15" hidden="false" customHeight="false" outlineLevel="0" collapsed="false">
      <c r="B115" s="43" t="str">
        <f aca="false">V115</f>
        <v>Bank United</v>
      </c>
      <c r="C115" s="44" t="n">
        <f aca="false">SUMPRODUCT(LT_incl*(LT_lender=$V115))</f>
        <v>2</v>
      </c>
      <c r="D115" s="32" t="n">
        <f aca="false">IFERROR(C115/StratLoans,0)</f>
        <v>0.0152671755725191</v>
      </c>
      <c r="E115" s="44" t="n">
        <f aca="false">SUMPRODUCT(LT_incl*(LT_lender=$V115),LT_units)</f>
        <v>392</v>
      </c>
      <c r="F115" s="44" t="n">
        <f aca="false">SUMPRODUCT(LT_incl*(LT_lender=$V115),LT_beds)</f>
        <v>0</v>
      </c>
      <c r="G115" s="31" t="n">
        <f aca="false">SUMPRODUCT(LT_incl*(LT_lender=$V115),LT_upb)</f>
        <v>25300000</v>
      </c>
      <c r="H115" s="32" t="n">
        <f aca="false">IFERROR(G115/StratUPB,0)</f>
        <v>0.00680804803995865</v>
      </c>
      <c r="I115" s="31" t="n">
        <f aca="false">IFERROR(G115/C115,0)</f>
        <v>12650000</v>
      </c>
      <c r="J115" s="31" t="n">
        <f aca="false">SUMPRODUCT(LT_incl*(LT_lender=$V115),LT_unfunded)</f>
        <v>0</v>
      </c>
      <c r="K115" s="31" t="n">
        <f aca="false">SUMPRODUCT(LT_incl*(LT_lender=$V115),LT_navres)</f>
        <v>0</v>
      </c>
      <c r="L115" s="33" t="n">
        <f aca="false">IFERROR(SUMPRODUCT(LT_incl*(LT_lender=$V115),LT_upb,LT_eff)/SUMPRODUCT(LT_incl*(LT_lender=$V115)*ISNUMBER(LT_eff),LT_upb),0)</f>
        <v>0.0349446640316206</v>
      </c>
      <c r="M115" s="33" t="n">
        <f aca="false">IFERROR(SUMPRODUCT(LT_incl*(LT_lender=$V115),LT_upb,LT_coupon)/SUMPRODUCT(LT_incl*(LT_lender=$V115)*ISNUMBER(LT_coupon),LT_upb),0)</f>
        <v>0.0714446640316206</v>
      </c>
      <c r="N115" s="32" t="n">
        <f aca="false">IFERROR(SUMPRODUCT(LT_incl*(LT_lender=$V115),LT_upb,LT_ltv_asis)/SUMPRODUCT(LT_incl*(LT_lender=$V115)*ISNUMBER(LT_ltv_asis),LT_upb),0)</f>
        <v>0.749681455289034</v>
      </c>
      <c r="O115" s="32" t="n">
        <f aca="false">IFERROR(SUMPRODUCT(LT_incl*(LT_lender=$V115),LT_upb,LT_ltv_stab)/SUMPRODUCT(LT_incl*(LT_lender=$V115)*ISNUMBER(LT_ltv_stab),LT_upb),0)</f>
        <v>0.653967602746326</v>
      </c>
      <c r="P115" s="34" t="n">
        <f aca="false">IFERROR(SUMPRODUCT(LT_incl*(LT_lender=$V115),LT_upb,LT_seas)/SUMPRODUCT(LT_incl*(LT_lender=$V115)*ISNUMBER(LT_seas),LT_upb),0)</f>
        <v>46.1156227934194</v>
      </c>
      <c r="Q115" s="34" t="n">
        <f aca="false">IFERROR(SUMPRODUCT(LT_incl*(LT_lender=$V115),LT_upb,LT_rti)/SUMPRODUCT(LT_incl*(LT_lender=$V115)*ISNUMBER(LT_rti),LT_upb),0)</f>
        <v>0</v>
      </c>
      <c r="R115" s="34" t="n">
        <f aca="false">IFERROR(SUMPRODUCT(LT_incl*(LT_lender=$V115),LT_upb,LT_rte)/SUMPRODUCT(LT_incl*(LT_lender=$V115)*ISNUMBER(LT_rte),LT_upb),0)</f>
        <v>2.23954030078483</v>
      </c>
      <c r="S115" s="32" t="n">
        <f aca="false">IFERROR(SUMPRODUCT(LT_incl*(LT_lender=$V115),LT_backdebt)/G115,0)</f>
        <v>0.736758893280632</v>
      </c>
      <c r="T115" s="32" t="n">
        <f aca="false">IFERROR(SUMPRODUCT(LT_incl*(LT_lender=$V115),LT_equity,LT_roe)/SUMPRODUCT(LT_incl*(LT_lender=$V115)*ISNUMBER(LT_roe),LT_equity),0)</f>
        <v>0.107815454654655</v>
      </c>
      <c r="V115" s="42" t="s">
        <v>130</v>
      </c>
    </row>
    <row r="116" customFormat="false" ht="15" hidden="false" customHeight="false" outlineLevel="0" collapsed="false">
      <c r="B116" s="18" t="s">
        <v>75</v>
      </c>
      <c r="C116" s="26" t="n">
        <f aca="false">SUMPRODUCT(LT_incl*(1-ISNUMBER(MATCH(LT_lender,$V$102:$V$115,0))))</f>
        <v>0</v>
      </c>
      <c r="D116" s="23" t="n">
        <f aca="false">IFERROR(C116/StratLoans,0)</f>
        <v>0</v>
      </c>
      <c r="E116" s="26" t="n">
        <f aca="false">SUMPRODUCT(LT_incl*(1-ISNUMBER(MATCH(LT_lender,$V$102:$V$115,0))),LT_units)</f>
        <v>0</v>
      </c>
      <c r="F116" s="26" t="n">
        <f aca="false">SUMPRODUCT(LT_incl*(1-ISNUMBER(MATCH(LT_lender,$V$102:$V$115,0))),LT_beds)</f>
        <v>0</v>
      </c>
      <c r="G116" s="22" t="n">
        <f aca="false">SUMPRODUCT(LT_incl*(1-ISNUMBER(MATCH(LT_lender,$V$102:$V$115,0))),LT_upb)</f>
        <v>0</v>
      </c>
      <c r="H116" s="23" t="n">
        <f aca="false">IFERROR(G116/StratUPB,0)</f>
        <v>0</v>
      </c>
      <c r="I116" s="22" t="n">
        <f aca="false">IFERROR(G116/C116,0)</f>
        <v>0</v>
      </c>
      <c r="J116" s="22" t="n">
        <f aca="false">SUMPRODUCT(LT_incl*(1-ISNUMBER(MATCH(LT_lender,$V$102:$V$115,0))),LT_unfunded)</f>
        <v>0</v>
      </c>
      <c r="K116" s="22" t="n">
        <f aca="false">SUMPRODUCT(LT_incl*(1-ISNUMBER(MATCH(LT_lender,$V$102:$V$115,0))),LT_navres)</f>
        <v>0</v>
      </c>
      <c r="L116" s="24" t="n">
        <f aca="false">IFERROR(SUMPRODUCT(LT_incl*(1-ISNUMBER(MATCH(LT_lender,$V$102:$V$115,0))),LT_upb,LT_eff)/SUMPRODUCT(LT_incl*(1-ISNUMBER(MATCH(LT_lender,$V$102:$V$115,0)))*ISNUMBER(LT_eff),LT_upb),0)</f>
        <v>0</v>
      </c>
      <c r="M116" s="24" t="n">
        <f aca="false">IFERROR(SUMPRODUCT(LT_incl*(1-ISNUMBER(MATCH(LT_lender,$V$102:$V$115,0))),LT_upb,LT_coupon)/SUMPRODUCT(LT_incl*(1-ISNUMBER(MATCH(LT_lender,$V$102:$V$115,0)))*ISNUMBER(LT_coupon),LT_upb),0)</f>
        <v>0</v>
      </c>
      <c r="N116" s="23" t="n">
        <f aca="false">IFERROR(SUMPRODUCT(LT_incl*(1-ISNUMBER(MATCH(LT_lender,$V$102:$V$115,0))),LT_upb,LT_ltv_asis)/SUMPRODUCT(LT_incl*(1-ISNUMBER(MATCH(LT_lender,$V$102:$V$115,0)))*ISNUMBER(LT_ltv_asis),LT_upb),0)</f>
        <v>0</v>
      </c>
      <c r="O116" s="23" t="n">
        <f aca="false">IFERROR(SUMPRODUCT(LT_incl*(1-ISNUMBER(MATCH(LT_lender,$V$102:$V$115,0))),LT_upb,LT_ltv_stab)/SUMPRODUCT(LT_incl*(1-ISNUMBER(MATCH(LT_lender,$V$102:$V$115,0)))*ISNUMBER(LT_ltv_stab),LT_upb),0)</f>
        <v>0</v>
      </c>
      <c r="P116" s="25" t="n">
        <f aca="false">IFERROR(SUMPRODUCT(LT_incl*(1-ISNUMBER(MATCH(LT_lender,$V$102:$V$115,0))),LT_upb,LT_seas)/SUMPRODUCT(LT_incl*(1-ISNUMBER(MATCH(LT_lender,$V$102:$V$115,0)))*ISNUMBER(LT_seas),LT_upb),0)</f>
        <v>0</v>
      </c>
      <c r="Q116" s="25" t="n">
        <f aca="false">IFERROR(SUMPRODUCT(LT_incl*(1-ISNUMBER(MATCH(LT_lender,$V$102:$V$115,0))),LT_upb,LT_rti)/SUMPRODUCT(LT_incl*(1-ISNUMBER(MATCH(LT_lender,$V$102:$V$115,0)))*ISNUMBER(LT_rti),LT_upb),0)</f>
        <v>0</v>
      </c>
      <c r="R116" s="25" t="n">
        <f aca="false">IFERROR(SUMPRODUCT(LT_incl*(1-ISNUMBER(MATCH(LT_lender,$V$102:$V$115,0))),LT_upb,LT_rte)/SUMPRODUCT(LT_incl*(1-ISNUMBER(MATCH(LT_lender,$V$102:$V$115,0)))*ISNUMBER(LT_rte),LT_upb),0)</f>
        <v>0</v>
      </c>
      <c r="S116" s="23" t="n">
        <f aca="false">IFERROR(SUMPRODUCT(LT_incl*(1-ISNUMBER(MATCH(LT_lender,$V$102:$V$115,0))),LT_backdebt)/G116,0)</f>
        <v>0</v>
      </c>
      <c r="T116" s="23" t="n">
        <f aca="false">IFERROR(SUMPRODUCT(LT_incl*(1-ISNUMBER(MATCH(LT_lender,$V$102:$V$115,0))),LT_equity,LT_roe)/SUMPRODUCT(LT_incl*(1-ISNUMBER(MATCH(LT_lender,$V$102:$V$115,0)))*ISNUMBER(LT_roe),LT_equity),0)</f>
        <v>0</v>
      </c>
    </row>
    <row r="117" customFormat="false" ht="15" hidden="false" customHeight="false" outlineLevel="0" collapsed="false">
      <c r="B117" s="35" t="s">
        <v>76</v>
      </c>
      <c r="C117" s="45" t="n">
        <f aca="false">SUMPRODUCT(LT_incl*(1))</f>
        <v>131</v>
      </c>
      <c r="D117" s="38" t="n">
        <f aca="false">IFERROR(C117/StratLoans,0)</f>
        <v>1</v>
      </c>
      <c r="E117" s="45" t="n">
        <f aca="false">SUMPRODUCT(LT_incl*(1),LT_units)</f>
        <v>22360</v>
      </c>
      <c r="F117" s="45" t="n">
        <f aca="false">SUMPRODUCT(LT_incl*(1),LT_beds)</f>
        <v>8726</v>
      </c>
      <c r="G117" s="37" t="n">
        <f aca="false">SUMPRODUCT(LT_incl*(1),LT_upb)</f>
        <v>3716189993.3</v>
      </c>
      <c r="H117" s="38" t="n">
        <f aca="false">IFERROR(G117/StratUPB,0)</f>
        <v>1</v>
      </c>
      <c r="I117" s="37" t="n">
        <f aca="false">IFERROR(G117/C117,0)</f>
        <v>28367862.5442748</v>
      </c>
      <c r="J117" s="37" t="n">
        <f aca="false">SUMPRODUCT(LT_incl*(1),LT_unfunded)</f>
        <v>70425498.27</v>
      </c>
      <c r="K117" s="37" t="n">
        <f aca="false">SUMPRODUCT(LT_incl*(1),LT_navres)</f>
        <v>-35761255.0310469</v>
      </c>
      <c r="L117" s="39" t="n">
        <f aca="false">IFERROR(SUMPRODUCT(LT_incl*(1),LT_upb,LT_eff)/SUMPRODUCT(LT_incl*(1)*ISNUMBER(LT_eff),LT_upb),0)</f>
        <v>0.0384104790702225</v>
      </c>
      <c r="M117" s="39" t="n">
        <f aca="false">IFERROR(SUMPRODUCT(LT_incl*(1),LT_upb,LT_coupon)/SUMPRODUCT(LT_incl*(1)*ISNUMBER(LT_coupon),LT_upb),0)</f>
        <v>0.0749104790702225</v>
      </c>
      <c r="N117" s="38" t="n">
        <f aca="false">IFERROR(SUMPRODUCT(LT_incl*(1),LT_upb,LT_ltv_asis)/SUMPRODUCT(LT_incl*(1)*ISNUMBER(LT_ltv_asis),LT_upb),0)</f>
        <v>0.685976245136614</v>
      </c>
      <c r="O117" s="38" t="n">
        <f aca="false">IFERROR(SUMPRODUCT(LT_incl*(1),LT_upb,LT_ltv_stab)/SUMPRODUCT(LT_incl*(1)*ISNUMBER(LT_ltv_stab),LT_upb),0)</f>
        <v>0.658970555756018</v>
      </c>
      <c r="P117" s="40" t="n">
        <f aca="false">IFERROR(SUMPRODUCT(LT_incl*(1),LT_upb,LT_seas)/SUMPRODUCT(LT_incl*(1)*ISNUMBER(LT_seas),LT_upb),0)</f>
        <v>26.0197171750702</v>
      </c>
      <c r="Q117" s="40" t="n">
        <f aca="false">IFERROR(SUMPRODUCT(LT_incl*(1),LT_upb,LT_rti)/SUMPRODUCT(LT_incl*(1)*ISNUMBER(LT_rti),LT_upb),0)</f>
        <v>10.7164396387939</v>
      </c>
      <c r="R117" s="40" t="n">
        <f aca="false">IFERROR(SUMPRODUCT(LT_incl*(1),LT_upb,LT_rte)/SUMPRODUCT(LT_incl*(1)*ISNUMBER(LT_rte),LT_upb),0)</f>
        <v>23.051497716819</v>
      </c>
      <c r="S117" s="38" t="n">
        <f aca="false">IFERROR(SUMPRODUCT(LT_incl*(1),LT_backdebt)/G117,0)</f>
        <v>0.628005362553862</v>
      </c>
      <c r="T117" s="38" t="n">
        <f aca="false">IFERROR(SUMPRODUCT(LT_incl*(1),LT_equity,LT_roe)/SUMPRODUCT(LT_incl*(1)*ISNUMBER(LT_roe),LT_equity),0)</f>
        <v>0.107961987212177</v>
      </c>
    </row>
    <row r="119" customFormat="false" ht="15" hidden="false" customHeight="false" outlineLevel="0" collapsed="false">
      <c r="B119" s="3" t="s">
        <v>131</v>
      </c>
      <c r="C119" s="4"/>
      <c r="D119" s="4"/>
      <c r="E119" s="4"/>
      <c r="F119" s="4"/>
      <c r="G119" s="4"/>
      <c r="H119" s="4"/>
      <c r="I119" s="4"/>
      <c r="J119" s="4"/>
      <c r="K119" s="4"/>
      <c r="L119" s="4"/>
      <c r="M119" s="4"/>
      <c r="N119" s="4"/>
      <c r="O119" s="4"/>
      <c r="P119" s="4"/>
      <c r="Q119" s="4"/>
      <c r="R119" s="4"/>
      <c r="S119" s="4"/>
      <c r="T119" s="4"/>
    </row>
    <row r="120" customFormat="false" ht="39.75" hidden="false" customHeight="true" outlineLevel="0" collapsed="false">
      <c r="B120" s="16" t="s">
        <v>63</v>
      </c>
      <c r="C120" s="17" t="s">
        <v>13</v>
      </c>
      <c r="D120" s="17" t="s">
        <v>64</v>
      </c>
      <c r="E120" s="17" t="s">
        <v>65</v>
      </c>
      <c r="F120" s="17" t="s">
        <v>66</v>
      </c>
      <c r="G120" s="17" t="s">
        <v>16</v>
      </c>
      <c r="H120" s="17" t="s">
        <v>46</v>
      </c>
      <c r="I120" s="17" t="s">
        <v>19</v>
      </c>
      <c r="J120" s="17" t="s">
        <v>28</v>
      </c>
      <c r="K120" s="17" t="s">
        <v>31</v>
      </c>
      <c r="L120" s="17" t="s">
        <v>7</v>
      </c>
      <c r="M120" s="17" t="s">
        <v>11</v>
      </c>
      <c r="N120" s="17" t="s">
        <v>23</v>
      </c>
      <c r="O120" s="17" t="s">
        <v>67</v>
      </c>
      <c r="P120" s="17" t="s">
        <v>5</v>
      </c>
      <c r="Q120" s="17" t="s">
        <v>68</v>
      </c>
      <c r="R120" s="17" t="s">
        <v>69</v>
      </c>
      <c r="S120" s="17" t="s">
        <v>56</v>
      </c>
      <c r="T120" s="17" t="s">
        <v>70</v>
      </c>
      <c r="V120" s="17" t="s">
        <v>71</v>
      </c>
    </row>
    <row r="121" customFormat="false" ht="15" hidden="false" customHeight="false" outlineLevel="0" collapsed="false">
      <c r="B121" s="41" t="str">
        <f aca="false">V121</f>
        <v>Floating (SOFR)</v>
      </c>
      <c r="C121" s="26" t="n">
        <f aca="false">SUMPRODUCT(LT_incl*(LT_ratetype=$V121))</f>
        <v>121</v>
      </c>
      <c r="D121" s="23" t="n">
        <f aca="false">IFERROR(C121/StratLoans,0)</f>
        <v>0.923664122137405</v>
      </c>
      <c r="E121" s="26" t="n">
        <f aca="false">SUMPRODUCT(LT_incl*(LT_ratetype=$V121),LT_units)</f>
        <v>19559</v>
      </c>
      <c r="F121" s="26" t="n">
        <f aca="false">SUMPRODUCT(LT_incl*(LT_ratetype=$V121),LT_beds)</f>
        <v>8190</v>
      </c>
      <c r="G121" s="22" t="n">
        <f aca="false">SUMPRODUCT(LT_incl*(LT_ratetype=$V121),LT_upb)</f>
        <v>3685839737.9</v>
      </c>
      <c r="H121" s="23" t="n">
        <f aca="false">IFERROR(G121/StratUPB,0)</f>
        <v>0.991832964553826</v>
      </c>
      <c r="I121" s="22" t="n">
        <f aca="false">IFERROR(G121/C121,0)</f>
        <v>30461485.4371901</v>
      </c>
      <c r="J121" s="22" t="n">
        <f aca="false">SUMPRODUCT(LT_incl*(LT_ratetype=$V121),LT_unfunded)</f>
        <v>70425498.27</v>
      </c>
      <c r="K121" s="22" t="n">
        <f aca="false">SUMPRODUCT(LT_incl*(LT_ratetype=$V121),LT_navres)</f>
        <v>-35803871.9637166</v>
      </c>
      <c r="L121" s="24" t="n">
        <f aca="false">IFERROR(SUMPRODUCT(LT_incl*(LT_ratetype=$V121),LT_upb,LT_eff)/SUMPRODUCT(LT_incl*(LT_ratetype=$V121)*ISNUMBER(LT_eff),LT_upb),0)</f>
        <v>0.0380295806481625</v>
      </c>
      <c r="M121" s="24" t="n">
        <f aca="false">IFERROR(SUMPRODUCT(LT_incl*(LT_ratetype=$V121),LT_upb,LT_coupon)/SUMPRODUCT(LT_incl*(LT_ratetype=$V121)*ISNUMBER(LT_coupon),LT_upb),0)</f>
        <v>0.0745295806481625</v>
      </c>
      <c r="N121" s="23" t="n">
        <f aca="false">IFERROR(SUMPRODUCT(LT_incl*(LT_ratetype=$V121),LT_upb,LT_ltv_asis)/SUMPRODUCT(LT_incl*(LT_ratetype=$V121)*ISNUMBER(LT_ltv_asis),LT_upb),0)</f>
        <v>0.685320438407683</v>
      </c>
      <c r="O121" s="23" t="n">
        <f aca="false">IFERROR(SUMPRODUCT(LT_incl*(LT_ratetype=$V121),LT_upb,LT_ltv_stab)/SUMPRODUCT(LT_incl*(LT_ratetype=$V121)*ISNUMBER(LT_ltv_stab),LT_upb),0)</f>
        <v>0.658241048511947</v>
      </c>
      <c r="P121" s="25" t="n">
        <f aca="false">IFERROR(SUMPRODUCT(LT_incl*(LT_ratetype=$V121),LT_upb,LT_seas)/SUMPRODUCT(LT_incl*(LT_ratetype=$V121)*ISNUMBER(LT_seas),LT_upb),0)</f>
        <v>25.6851807386429</v>
      </c>
      <c r="Q121" s="25" t="n">
        <f aca="false">IFERROR(SUMPRODUCT(LT_incl*(LT_ratetype=$V121),LT_upb,LT_rti)/SUMPRODUCT(LT_incl*(LT_ratetype=$V121)*ISNUMBER(LT_rti),LT_upb),0)</f>
        <v>10.453119389358</v>
      </c>
      <c r="R121" s="25" t="n">
        <f aca="false">IFERROR(SUMPRODUCT(LT_incl*(LT_ratetype=$V121),LT_upb,LT_rte)/SUMPRODUCT(LT_incl*(LT_ratetype=$V121)*ISNUMBER(LT_rte),LT_upb),0)</f>
        <v>22.8897478528755</v>
      </c>
      <c r="S121" s="23" t="n">
        <f aca="false">IFERROR(SUMPRODUCT(LT_incl*(LT_ratetype=$V121),LT_backdebt)/G121,0)</f>
        <v>0.63317653778161</v>
      </c>
      <c r="T121" s="23" t="n">
        <f aca="false">IFERROR(SUMPRODUCT(LT_incl*(LT_ratetype=$V121),LT_equity,LT_roe)/SUMPRODUCT(LT_incl*(LT_ratetype=$V121)*ISNUMBER(LT_roe),LT_equity),0)</f>
        <v>0.107665542489435</v>
      </c>
      <c r="V121" s="42" t="s">
        <v>132</v>
      </c>
    </row>
    <row r="122" customFormat="false" ht="15" hidden="false" customHeight="false" outlineLevel="0" collapsed="false">
      <c r="B122" s="43" t="str">
        <f aca="false">V122</f>
        <v>Fixed / All-In</v>
      </c>
      <c r="C122" s="44" t="n">
        <f aca="false">SUMPRODUCT(LT_incl*(LT_ratetype=$V122))</f>
        <v>10</v>
      </c>
      <c r="D122" s="32" t="n">
        <f aca="false">IFERROR(C122/StratLoans,0)</f>
        <v>0.0763358778625954</v>
      </c>
      <c r="E122" s="44" t="n">
        <f aca="false">SUMPRODUCT(LT_incl*(LT_ratetype=$V122),LT_units)</f>
        <v>2801</v>
      </c>
      <c r="F122" s="44" t="n">
        <f aca="false">SUMPRODUCT(LT_incl*(LT_ratetype=$V122),LT_beds)</f>
        <v>536</v>
      </c>
      <c r="G122" s="31" t="n">
        <f aca="false">SUMPRODUCT(LT_incl*(LT_ratetype=$V122),LT_upb)</f>
        <v>30350255.4</v>
      </c>
      <c r="H122" s="32" t="n">
        <f aca="false">IFERROR(G122/StratUPB,0)</f>
        <v>0.00816703544617448</v>
      </c>
      <c r="I122" s="31" t="n">
        <f aca="false">IFERROR(G122/C122,0)</f>
        <v>3035025.54</v>
      </c>
      <c r="J122" s="31" t="n">
        <f aca="false">SUMPRODUCT(LT_incl*(LT_ratetype=$V122),LT_unfunded)</f>
        <v>0</v>
      </c>
      <c r="K122" s="31" t="n">
        <f aca="false">SUMPRODUCT(LT_incl*(LT_ratetype=$V122),LT_navres)</f>
        <v>42616.9326696957</v>
      </c>
      <c r="L122" s="33" t="n">
        <f aca="false">IFERROR(SUMPRODUCT(LT_incl*(LT_ratetype=$V122),LT_upb,LT_eff)/SUMPRODUCT(LT_incl*(LT_ratetype=$V122)*ISNUMBER(LT_eff),LT_upb),0)</f>
        <v>0.0846680977172271</v>
      </c>
      <c r="M122" s="33" t="n">
        <f aca="false">IFERROR(SUMPRODUCT(LT_incl*(LT_ratetype=$V122),LT_upb,LT_coupon)/SUMPRODUCT(LT_incl*(LT_ratetype=$V122)*ISNUMBER(LT_coupon),LT_upb),0)</f>
        <v>0.121168097717227</v>
      </c>
      <c r="N122" s="32" t="n">
        <f aca="false">IFERROR(SUMPRODUCT(LT_incl*(LT_ratetype=$V122),LT_upb,LT_ltv_asis)/SUMPRODUCT(LT_incl*(LT_ratetype=$V122)*ISNUMBER(LT_ltv_asis),LT_upb),0)</f>
        <v>0.791760555183187</v>
      </c>
      <c r="O122" s="32" t="n">
        <f aca="false">IFERROR(SUMPRODUCT(LT_incl*(LT_ratetype=$V122),LT_upb,LT_ltv_stab)/SUMPRODUCT(LT_incl*(LT_ratetype=$V122)*ISNUMBER(LT_ltv_stab),LT_upb),0)</f>
        <v>0.776643060601749</v>
      </c>
      <c r="P122" s="34" t="n">
        <f aca="false">IFERROR(SUMPRODUCT(LT_incl*(LT_ratetype=$V122),LT_upb,LT_seas)/SUMPRODUCT(LT_incl*(LT_ratetype=$V122)*ISNUMBER(LT_seas),LT_upb),0)</f>
        <v>66.6469763169819</v>
      </c>
      <c r="Q122" s="34" t="n">
        <f aca="false">IFERROR(SUMPRODUCT(LT_incl*(LT_ratetype=$V122),LT_upb,LT_rti)/SUMPRODUCT(LT_incl*(LT_ratetype=$V122)*ISNUMBER(LT_rti),LT_upb),0)</f>
        <v>42.6949593043825</v>
      </c>
      <c r="R122" s="34" t="n">
        <f aca="false">IFERROR(SUMPRODUCT(LT_incl*(LT_ratetype=$V122),LT_upb,LT_rte)/SUMPRODUCT(LT_incl*(LT_ratetype=$V122)*ISNUMBER(LT_rte),LT_upb),0)</f>
        <v>42.6949593043825</v>
      </c>
      <c r="S122" s="32" t="n">
        <f aca="false">IFERROR(SUMPRODUCT(LT_incl*(LT_ratetype=$V122),LT_backdebt)/G122,0)</f>
        <v>0</v>
      </c>
      <c r="T122" s="32" t="n">
        <f aca="false">IFERROR(SUMPRODUCT(LT_incl*(LT_ratetype=$V122),LT_equity,LT_roe)/SUMPRODUCT(LT_incl*(LT_ratetype=$V122)*ISNUMBER(LT_roe),LT_equity),0)</f>
        <v>0.121168097717227</v>
      </c>
      <c r="V122" s="42" t="s">
        <v>133</v>
      </c>
    </row>
    <row r="123" customFormat="false" ht="15" hidden="false" customHeight="false" outlineLevel="0" collapsed="false">
      <c r="B123" s="18" t="s">
        <v>75</v>
      </c>
      <c r="C123" s="26" t="n">
        <f aca="false">SUMPRODUCT(LT_incl*(1-ISNUMBER(MATCH(LT_ratetype,$V$121:$V$122,0))))</f>
        <v>0</v>
      </c>
      <c r="D123" s="23" t="n">
        <f aca="false">IFERROR(C123/StratLoans,0)</f>
        <v>0</v>
      </c>
      <c r="E123" s="26" t="n">
        <f aca="false">SUMPRODUCT(LT_incl*(1-ISNUMBER(MATCH(LT_ratetype,$V$121:$V$122,0))),LT_units)</f>
        <v>0</v>
      </c>
      <c r="F123" s="26" t="n">
        <f aca="false">SUMPRODUCT(LT_incl*(1-ISNUMBER(MATCH(LT_ratetype,$V$121:$V$122,0))),LT_beds)</f>
        <v>0</v>
      </c>
      <c r="G123" s="22" t="n">
        <f aca="false">SUMPRODUCT(LT_incl*(1-ISNUMBER(MATCH(LT_ratetype,$V$121:$V$122,0))),LT_upb)</f>
        <v>0</v>
      </c>
      <c r="H123" s="23" t="n">
        <f aca="false">IFERROR(G123/StratUPB,0)</f>
        <v>0</v>
      </c>
      <c r="I123" s="22" t="n">
        <f aca="false">IFERROR(G123/C123,0)</f>
        <v>0</v>
      </c>
      <c r="J123" s="22" t="n">
        <f aca="false">SUMPRODUCT(LT_incl*(1-ISNUMBER(MATCH(LT_ratetype,$V$121:$V$122,0))),LT_unfunded)</f>
        <v>0</v>
      </c>
      <c r="K123" s="22" t="n">
        <f aca="false">SUMPRODUCT(LT_incl*(1-ISNUMBER(MATCH(LT_ratetype,$V$121:$V$122,0))),LT_navres)</f>
        <v>0</v>
      </c>
      <c r="L123" s="24" t="n">
        <f aca="false">IFERROR(SUMPRODUCT(LT_incl*(1-ISNUMBER(MATCH(LT_ratetype,$V$121:$V$122,0))),LT_upb,LT_eff)/SUMPRODUCT(LT_incl*(1-ISNUMBER(MATCH(LT_ratetype,$V$121:$V$122,0)))*ISNUMBER(LT_eff),LT_upb),0)</f>
        <v>0</v>
      </c>
      <c r="M123" s="24" t="n">
        <f aca="false">IFERROR(SUMPRODUCT(LT_incl*(1-ISNUMBER(MATCH(LT_ratetype,$V$121:$V$122,0))),LT_upb,LT_coupon)/SUMPRODUCT(LT_incl*(1-ISNUMBER(MATCH(LT_ratetype,$V$121:$V$122,0)))*ISNUMBER(LT_coupon),LT_upb),0)</f>
        <v>0</v>
      </c>
      <c r="N123" s="23" t="n">
        <f aca="false">IFERROR(SUMPRODUCT(LT_incl*(1-ISNUMBER(MATCH(LT_ratetype,$V$121:$V$122,0))),LT_upb,LT_ltv_asis)/SUMPRODUCT(LT_incl*(1-ISNUMBER(MATCH(LT_ratetype,$V$121:$V$122,0)))*ISNUMBER(LT_ltv_asis),LT_upb),0)</f>
        <v>0</v>
      </c>
      <c r="O123" s="23" t="n">
        <f aca="false">IFERROR(SUMPRODUCT(LT_incl*(1-ISNUMBER(MATCH(LT_ratetype,$V$121:$V$122,0))),LT_upb,LT_ltv_stab)/SUMPRODUCT(LT_incl*(1-ISNUMBER(MATCH(LT_ratetype,$V$121:$V$122,0)))*ISNUMBER(LT_ltv_stab),LT_upb),0)</f>
        <v>0</v>
      </c>
      <c r="P123" s="25" t="n">
        <f aca="false">IFERROR(SUMPRODUCT(LT_incl*(1-ISNUMBER(MATCH(LT_ratetype,$V$121:$V$122,0))),LT_upb,LT_seas)/SUMPRODUCT(LT_incl*(1-ISNUMBER(MATCH(LT_ratetype,$V$121:$V$122,0)))*ISNUMBER(LT_seas),LT_upb),0)</f>
        <v>0</v>
      </c>
      <c r="Q123" s="25" t="n">
        <f aca="false">IFERROR(SUMPRODUCT(LT_incl*(1-ISNUMBER(MATCH(LT_ratetype,$V$121:$V$122,0))),LT_upb,LT_rti)/SUMPRODUCT(LT_incl*(1-ISNUMBER(MATCH(LT_ratetype,$V$121:$V$122,0)))*ISNUMBER(LT_rti),LT_upb),0)</f>
        <v>0</v>
      </c>
      <c r="R123" s="25" t="n">
        <f aca="false">IFERROR(SUMPRODUCT(LT_incl*(1-ISNUMBER(MATCH(LT_ratetype,$V$121:$V$122,0))),LT_upb,LT_rte)/SUMPRODUCT(LT_incl*(1-ISNUMBER(MATCH(LT_ratetype,$V$121:$V$122,0)))*ISNUMBER(LT_rte),LT_upb),0)</f>
        <v>0</v>
      </c>
      <c r="S123" s="23" t="n">
        <f aca="false">IFERROR(SUMPRODUCT(LT_incl*(1-ISNUMBER(MATCH(LT_ratetype,$V$121:$V$122,0))),LT_backdebt)/G123,0)</f>
        <v>0</v>
      </c>
      <c r="T123" s="23" t="n">
        <f aca="false">IFERROR(SUMPRODUCT(LT_incl*(1-ISNUMBER(MATCH(LT_ratetype,$V$121:$V$122,0))),LT_equity,LT_roe)/SUMPRODUCT(LT_incl*(1-ISNUMBER(MATCH(LT_ratetype,$V$121:$V$122,0)))*ISNUMBER(LT_roe),LT_equity),0)</f>
        <v>0</v>
      </c>
    </row>
    <row r="124" customFormat="false" ht="15" hidden="false" customHeight="false" outlineLevel="0" collapsed="false">
      <c r="B124" s="35" t="s">
        <v>76</v>
      </c>
      <c r="C124" s="45" t="n">
        <f aca="false">SUMPRODUCT(LT_incl*(1))</f>
        <v>131</v>
      </c>
      <c r="D124" s="38" t="n">
        <f aca="false">IFERROR(C124/StratLoans,0)</f>
        <v>1</v>
      </c>
      <c r="E124" s="45" t="n">
        <f aca="false">SUMPRODUCT(LT_incl*(1),LT_units)</f>
        <v>22360</v>
      </c>
      <c r="F124" s="45" t="n">
        <f aca="false">SUMPRODUCT(LT_incl*(1),LT_beds)</f>
        <v>8726</v>
      </c>
      <c r="G124" s="37" t="n">
        <f aca="false">SUMPRODUCT(LT_incl*(1),LT_upb)</f>
        <v>3716189993.3</v>
      </c>
      <c r="H124" s="38" t="n">
        <f aca="false">IFERROR(G124/StratUPB,0)</f>
        <v>1</v>
      </c>
      <c r="I124" s="37" t="n">
        <f aca="false">IFERROR(G124/C124,0)</f>
        <v>28367862.5442748</v>
      </c>
      <c r="J124" s="37" t="n">
        <f aca="false">SUMPRODUCT(LT_incl*(1),LT_unfunded)</f>
        <v>70425498.27</v>
      </c>
      <c r="K124" s="37" t="n">
        <f aca="false">SUMPRODUCT(LT_incl*(1),LT_navres)</f>
        <v>-35761255.0310469</v>
      </c>
      <c r="L124" s="39" t="n">
        <f aca="false">IFERROR(SUMPRODUCT(LT_incl*(1),LT_upb,LT_eff)/SUMPRODUCT(LT_incl*(1)*ISNUMBER(LT_eff),LT_upb),0)</f>
        <v>0.0384104790702225</v>
      </c>
      <c r="M124" s="39" t="n">
        <f aca="false">IFERROR(SUMPRODUCT(LT_incl*(1),LT_upb,LT_coupon)/SUMPRODUCT(LT_incl*(1)*ISNUMBER(LT_coupon),LT_upb),0)</f>
        <v>0.0749104790702225</v>
      </c>
      <c r="N124" s="38" t="n">
        <f aca="false">IFERROR(SUMPRODUCT(LT_incl*(1),LT_upb,LT_ltv_asis)/SUMPRODUCT(LT_incl*(1)*ISNUMBER(LT_ltv_asis),LT_upb),0)</f>
        <v>0.685976245136614</v>
      </c>
      <c r="O124" s="38" t="n">
        <f aca="false">IFERROR(SUMPRODUCT(LT_incl*(1),LT_upb,LT_ltv_stab)/SUMPRODUCT(LT_incl*(1)*ISNUMBER(LT_ltv_stab),LT_upb),0)</f>
        <v>0.658970555756018</v>
      </c>
      <c r="P124" s="40" t="n">
        <f aca="false">IFERROR(SUMPRODUCT(LT_incl*(1),LT_upb,LT_seas)/SUMPRODUCT(LT_incl*(1)*ISNUMBER(LT_seas),LT_upb),0)</f>
        <v>26.0197171750702</v>
      </c>
      <c r="Q124" s="40" t="n">
        <f aca="false">IFERROR(SUMPRODUCT(LT_incl*(1),LT_upb,LT_rti)/SUMPRODUCT(LT_incl*(1)*ISNUMBER(LT_rti),LT_upb),0)</f>
        <v>10.7164396387939</v>
      </c>
      <c r="R124" s="40" t="n">
        <f aca="false">IFERROR(SUMPRODUCT(LT_incl*(1),LT_upb,LT_rte)/SUMPRODUCT(LT_incl*(1)*ISNUMBER(LT_rte),LT_upb),0)</f>
        <v>23.051497716819</v>
      </c>
      <c r="S124" s="38" t="n">
        <f aca="false">IFERROR(SUMPRODUCT(LT_incl*(1),LT_backdebt)/G124,0)</f>
        <v>0.628005362553862</v>
      </c>
      <c r="T124" s="38" t="n">
        <f aca="false">IFERROR(SUMPRODUCT(LT_incl*(1),LT_equity,LT_roe)/SUMPRODUCT(LT_incl*(1)*ISNUMBER(LT_roe),LT_equity),0)</f>
        <v>0.107961987212177</v>
      </c>
    </row>
    <row r="126" customFormat="false" ht="15" hidden="false" customHeight="false" outlineLevel="0" collapsed="false">
      <c r="B126" s="3" t="s">
        <v>134</v>
      </c>
      <c r="C126" s="4"/>
      <c r="D126" s="4"/>
      <c r="E126" s="4"/>
      <c r="F126" s="4"/>
      <c r="G126" s="4"/>
      <c r="H126" s="4"/>
      <c r="I126" s="4"/>
      <c r="J126" s="4"/>
      <c r="K126" s="4"/>
      <c r="L126" s="4"/>
      <c r="M126" s="4"/>
      <c r="N126" s="4"/>
      <c r="O126" s="4"/>
      <c r="P126" s="4"/>
      <c r="Q126" s="4"/>
      <c r="R126" s="4"/>
      <c r="S126" s="4"/>
      <c r="T126" s="4"/>
    </row>
    <row r="127" customFormat="false" ht="39.75" hidden="false" customHeight="true" outlineLevel="0" collapsed="false">
      <c r="B127" s="16" t="s">
        <v>63</v>
      </c>
      <c r="C127" s="17" t="s">
        <v>13</v>
      </c>
      <c r="D127" s="17" t="s">
        <v>64</v>
      </c>
      <c r="E127" s="17" t="s">
        <v>65</v>
      </c>
      <c r="F127" s="17" t="s">
        <v>66</v>
      </c>
      <c r="G127" s="17" t="s">
        <v>16</v>
      </c>
      <c r="H127" s="17" t="s">
        <v>46</v>
      </c>
      <c r="I127" s="17" t="s">
        <v>19</v>
      </c>
      <c r="J127" s="17" t="s">
        <v>28</v>
      </c>
      <c r="K127" s="17" t="s">
        <v>31</v>
      </c>
      <c r="L127" s="17" t="s">
        <v>7</v>
      </c>
      <c r="M127" s="17" t="s">
        <v>11</v>
      </c>
      <c r="N127" s="17" t="s">
        <v>23</v>
      </c>
      <c r="O127" s="17" t="s">
        <v>67</v>
      </c>
      <c r="P127" s="17" t="s">
        <v>5</v>
      </c>
      <c r="Q127" s="17" t="s">
        <v>68</v>
      </c>
      <c r="R127" s="17" t="s">
        <v>69</v>
      </c>
      <c r="S127" s="17" t="s">
        <v>56</v>
      </c>
      <c r="T127" s="17" t="s">
        <v>70</v>
      </c>
      <c r="V127" s="17" t="s">
        <v>71</v>
      </c>
    </row>
    <row r="128" customFormat="false" ht="15" hidden="false" customHeight="false" outlineLevel="0" collapsed="false">
      <c r="B128" s="41" t="str">
        <f aca="false">V128</f>
        <v>In Place</v>
      </c>
      <c r="C128" s="26" t="n">
        <f aca="false">SUMPRODUCT(LT_incl*(LT_capstat=$V128))</f>
        <v>94</v>
      </c>
      <c r="D128" s="23" t="n">
        <f aca="false">IFERROR(C128/StratLoans,0)</f>
        <v>0.717557251908397</v>
      </c>
      <c r="E128" s="26" t="n">
        <f aca="false">SUMPRODUCT(LT_incl*(LT_capstat=$V128),LT_units)</f>
        <v>13643</v>
      </c>
      <c r="F128" s="26" t="n">
        <f aca="false">SUMPRODUCT(LT_incl*(LT_capstat=$V128),LT_beds)</f>
        <v>7452</v>
      </c>
      <c r="G128" s="22" t="n">
        <f aca="false">SUMPRODUCT(LT_incl*(LT_capstat=$V128),LT_upb)</f>
        <v>2940976127.51</v>
      </c>
      <c r="H128" s="23" t="n">
        <f aca="false">IFERROR(G128/StratUPB,0)</f>
        <v>0.791395524128839</v>
      </c>
      <c r="I128" s="22" t="n">
        <f aca="false">IFERROR(G128/C128,0)</f>
        <v>31286980.0798936</v>
      </c>
      <c r="J128" s="22" t="n">
        <f aca="false">SUMPRODUCT(LT_incl*(LT_capstat=$V128),LT_unfunded)</f>
        <v>62017921.81</v>
      </c>
      <c r="K128" s="22" t="n">
        <f aca="false">SUMPRODUCT(LT_incl*(LT_capstat=$V128),LT_navres)</f>
        <v>-4728215.76254042</v>
      </c>
      <c r="L128" s="24" t="n">
        <f aca="false">IFERROR(SUMPRODUCT(LT_incl*(LT_capstat=$V128),LT_upb,LT_eff)/SUMPRODUCT(LT_incl*(LT_capstat=$V128)*ISNUMBER(LT_eff),LT_upb),0)</f>
        <v>0.0377759241087625</v>
      </c>
      <c r="M128" s="24" t="n">
        <f aca="false">IFERROR(SUMPRODUCT(LT_incl*(LT_capstat=$V128),LT_upb,LT_coupon)/SUMPRODUCT(LT_incl*(LT_capstat=$V128)*ISNUMBER(LT_coupon),LT_upb),0)</f>
        <v>0.0742759241087625</v>
      </c>
      <c r="N128" s="23" t="n">
        <f aca="false">IFERROR(SUMPRODUCT(LT_incl*(LT_capstat=$V128),LT_upb,LT_ltv_asis)/SUMPRODUCT(LT_incl*(LT_capstat=$V128)*ISNUMBER(LT_ltv_asis),LT_upb),0)</f>
        <v>0.671274753864453</v>
      </c>
      <c r="O128" s="23" t="n">
        <f aca="false">IFERROR(SUMPRODUCT(LT_incl*(LT_capstat=$V128),LT_upb,LT_ltv_stab)/SUMPRODUCT(LT_incl*(LT_capstat=$V128)*ISNUMBER(LT_ltv_stab),LT_upb),0)</f>
        <v>0.653088029817826</v>
      </c>
      <c r="P128" s="25" t="n">
        <f aca="false">IFERROR(SUMPRODUCT(LT_incl*(LT_capstat=$V128),LT_upb,LT_seas)/SUMPRODUCT(LT_incl*(LT_capstat=$V128)*ISNUMBER(LT_seas),LT_upb),0)</f>
        <v>19.2498256737446</v>
      </c>
      <c r="Q128" s="25" t="n">
        <f aca="false">IFERROR(SUMPRODUCT(LT_incl*(LT_capstat=$V128),LT_upb,LT_rti)/SUMPRODUCT(LT_incl*(LT_capstat=$V128)*ISNUMBER(LT_rti),LT_upb),0)</f>
        <v>12.8227465956862</v>
      </c>
      <c r="R128" s="25" t="n">
        <f aca="false">IFERROR(SUMPRODUCT(LT_incl*(LT_capstat=$V128),LT_upb,LT_rte)/SUMPRODUCT(LT_incl*(LT_capstat=$V128)*ISNUMBER(LT_rte),LT_upb),0)</f>
        <v>26.9007362281486</v>
      </c>
      <c r="S128" s="23" t="n">
        <f aca="false">IFERROR(SUMPRODUCT(LT_incl*(LT_capstat=$V128),LT_backdebt)/G128,0)</f>
        <v>0.688649480632964</v>
      </c>
      <c r="T128" s="23" t="n">
        <f aca="false">IFERROR(SUMPRODUCT(LT_incl*(LT_capstat=$V128),LT_equity,LT_roe)/SUMPRODUCT(LT_incl*(LT_capstat=$V128)*ISNUMBER(LT_roe),LT_equity),0)</f>
        <v>0.116264276919568</v>
      </c>
      <c r="V128" s="42" t="s">
        <v>135</v>
      </c>
    </row>
    <row r="129" customFormat="false" ht="15" hidden="false" customHeight="false" outlineLevel="0" collapsed="false">
      <c r="B129" s="43" t="str">
        <f aca="false">V129</f>
        <v>Expired</v>
      </c>
      <c r="C129" s="44" t="n">
        <f aca="false">SUMPRODUCT(LT_incl*(LT_capstat=$V129))</f>
        <v>3</v>
      </c>
      <c r="D129" s="32" t="n">
        <f aca="false">IFERROR(C129/StratLoans,0)</f>
        <v>0.0229007633587786</v>
      </c>
      <c r="E129" s="44" t="n">
        <f aca="false">SUMPRODUCT(LT_incl*(LT_capstat=$V129),LT_units)</f>
        <v>444</v>
      </c>
      <c r="F129" s="44" t="n">
        <f aca="false">SUMPRODUCT(LT_incl*(LT_capstat=$V129),LT_beds)</f>
        <v>182</v>
      </c>
      <c r="G129" s="31" t="n">
        <f aca="false">SUMPRODUCT(LT_incl*(LT_capstat=$V129),LT_upb)</f>
        <v>105669508</v>
      </c>
      <c r="H129" s="32" t="n">
        <f aca="false">IFERROR(G129/StratUPB,0)</f>
        <v>0.0284349046175018</v>
      </c>
      <c r="I129" s="31" t="n">
        <f aca="false">IFERROR(G129/C129,0)</f>
        <v>35223169.3333333</v>
      </c>
      <c r="J129" s="31" t="n">
        <f aca="false">SUMPRODUCT(LT_incl*(LT_capstat=$V129),LT_unfunded)</f>
        <v>6329492</v>
      </c>
      <c r="K129" s="31" t="n">
        <f aca="false">SUMPRODUCT(LT_incl*(LT_capstat=$V129),LT_navres)</f>
        <v>0</v>
      </c>
      <c r="L129" s="33" t="n">
        <f aca="false">IFERROR(SUMPRODUCT(LT_incl*(LT_capstat=$V129),LT_upb,LT_eff)/SUMPRODUCT(LT_incl*(LT_capstat=$V129)*ISNUMBER(LT_eff),LT_upb),0)</f>
        <v>0.0380288465240133</v>
      </c>
      <c r="M129" s="33" t="n">
        <f aca="false">IFERROR(SUMPRODUCT(LT_incl*(LT_capstat=$V129),LT_upb,LT_coupon)/SUMPRODUCT(LT_incl*(LT_capstat=$V129)*ISNUMBER(LT_coupon),LT_upb),0)</f>
        <v>0.0745288465240133</v>
      </c>
      <c r="N129" s="32" t="n">
        <f aca="false">IFERROR(SUMPRODUCT(LT_incl*(LT_capstat=$V129),LT_upb,LT_ltv_asis)/SUMPRODUCT(LT_incl*(LT_capstat=$V129)*ISNUMBER(LT_ltv_asis),LT_upb),0)</f>
        <v>0.738095726177493</v>
      </c>
      <c r="O129" s="32" t="n">
        <f aca="false">IFERROR(SUMPRODUCT(LT_incl*(LT_capstat=$V129),LT_upb,LT_ltv_stab)/SUMPRODUCT(LT_incl*(LT_capstat=$V129)*ISNUMBER(LT_ltv_stab),LT_upb),0)</f>
        <v>0.729761520239861</v>
      </c>
      <c r="P129" s="34" t="n">
        <f aca="false">IFERROR(SUMPRODUCT(LT_incl*(LT_capstat=$V129),LT_upb,LT_seas)/SUMPRODUCT(LT_incl*(LT_capstat=$V129)*ISNUMBER(LT_seas),LT_upb),0)</f>
        <v>32.5498419336229</v>
      </c>
      <c r="Q129" s="34" t="n">
        <f aca="false">IFERROR(SUMPRODUCT(LT_incl*(LT_capstat=$V129),LT_upb,LT_rti)/SUMPRODUCT(LT_incl*(LT_capstat=$V129)*ISNUMBER(LT_rti),LT_upb),0)</f>
        <v>0</v>
      </c>
      <c r="R129" s="34" t="n">
        <f aca="false">IFERROR(SUMPRODUCT(LT_incl*(LT_capstat=$V129),LT_upb,LT_rte)/SUMPRODUCT(LT_incl*(LT_capstat=$V129)*ISNUMBER(LT_rte),LT_upb),0)</f>
        <v>24.642225230027</v>
      </c>
      <c r="S129" s="32" t="n">
        <f aca="false">IFERROR(SUMPRODUCT(LT_incl*(LT_capstat=$V129),LT_backdebt)/G129,0)</f>
        <v>0.690516906206646</v>
      </c>
      <c r="T129" s="32" t="n">
        <f aca="false">IFERROR(SUMPRODUCT(LT_incl*(LT_capstat=$V129),LT_equity,LT_roe)/SUMPRODUCT(LT_incl*(LT_capstat=$V129)*ISNUMBER(LT_roe),LT_equity),0)</f>
        <v>0.118547735885006</v>
      </c>
      <c r="V129" s="42" t="s">
        <v>136</v>
      </c>
    </row>
    <row r="130" customFormat="false" ht="15" hidden="false" customHeight="false" outlineLevel="0" collapsed="false">
      <c r="B130" s="41" t="str">
        <f aca="false">V130</f>
        <v>Waived</v>
      </c>
      <c r="C130" s="26" t="n">
        <f aca="false">SUMPRODUCT(LT_incl*(LT_capstat=$V130))</f>
        <v>3</v>
      </c>
      <c r="D130" s="23" t="n">
        <f aca="false">IFERROR(C130/StratLoans,0)</f>
        <v>0.0229007633587786</v>
      </c>
      <c r="E130" s="26" t="n">
        <f aca="false">SUMPRODUCT(LT_incl*(LT_capstat=$V130),LT_units)</f>
        <v>519</v>
      </c>
      <c r="F130" s="26" t="n">
        <f aca="false">SUMPRODUCT(LT_incl*(LT_capstat=$V130),LT_beds)</f>
        <v>0</v>
      </c>
      <c r="G130" s="22" t="n">
        <f aca="false">SUMPRODUCT(LT_incl*(LT_capstat=$V130),LT_upb)</f>
        <v>49230000</v>
      </c>
      <c r="H130" s="23" t="n">
        <f aca="false">IFERROR(G130/StratUPB,0)</f>
        <v>0.0132474389330895</v>
      </c>
      <c r="I130" s="22" t="n">
        <f aca="false">IFERROR(G130/C130,0)</f>
        <v>16410000</v>
      </c>
      <c r="J130" s="22" t="n">
        <f aca="false">SUMPRODUCT(LT_incl*(LT_capstat=$V130),LT_unfunded)</f>
        <v>0</v>
      </c>
      <c r="K130" s="22" t="n">
        <f aca="false">SUMPRODUCT(LT_incl*(LT_capstat=$V130),LT_navres)</f>
        <v>-10547.4544277098</v>
      </c>
      <c r="L130" s="24" t="n">
        <f aca="false">IFERROR(SUMPRODUCT(LT_incl*(LT_capstat=$V130),LT_upb,LT_eff)/SUMPRODUCT(LT_incl*(LT_capstat=$V130)*ISNUMBER(LT_eff),LT_upb),0)</f>
        <v>0.0364906561040016</v>
      </c>
      <c r="M130" s="24" t="n">
        <f aca="false">IFERROR(SUMPRODUCT(LT_incl*(LT_capstat=$V130),LT_upb,LT_coupon)/SUMPRODUCT(LT_incl*(LT_capstat=$V130)*ISNUMBER(LT_coupon),LT_upb),0)</f>
        <v>0.0729906561040016</v>
      </c>
      <c r="N130" s="23" t="n">
        <f aca="false">IFERROR(SUMPRODUCT(LT_incl*(LT_capstat=$V130),LT_upb,LT_ltv_asis)/SUMPRODUCT(LT_incl*(LT_capstat=$V130)*ISNUMBER(LT_ltv_asis),LT_upb),0)</f>
        <v>0.778722451654946</v>
      </c>
      <c r="O130" s="23" t="n">
        <f aca="false">IFERROR(SUMPRODUCT(LT_incl*(LT_capstat=$V130),LT_upb,LT_ltv_stab)/SUMPRODUCT(LT_incl*(LT_capstat=$V130)*ISNUMBER(LT_ltv_stab),LT_upb),0)</f>
        <v>0.706991053383832</v>
      </c>
      <c r="P130" s="25" t="n">
        <f aca="false">IFERROR(SUMPRODUCT(LT_incl*(LT_capstat=$V130),LT_upb,LT_seas)/SUMPRODUCT(LT_incl*(LT_capstat=$V130)*ISNUMBER(LT_seas),LT_upb),0)</f>
        <v>56.8953022334506</v>
      </c>
      <c r="Q130" s="25" t="n">
        <f aca="false">IFERROR(SUMPRODUCT(LT_incl*(LT_capstat=$V130),LT_upb,LT_rti)/SUMPRODUCT(LT_incl*(LT_capstat=$V130)*ISNUMBER(LT_rti),LT_upb),0)</f>
        <v>0</v>
      </c>
      <c r="R130" s="25" t="n">
        <f aca="false">IFERROR(SUMPRODUCT(LT_incl*(LT_capstat=$V130),LT_upb,LT_rte)/SUMPRODUCT(LT_incl*(LT_capstat=$V130)*ISNUMBER(LT_rte),LT_upb),0)</f>
        <v>5.02010718660806</v>
      </c>
      <c r="S130" s="23" t="n">
        <f aca="false">IFERROR(SUMPRODUCT(LT_incl*(LT_capstat=$V130),LT_backdebt)/G130,0)</f>
        <v>0.424030062969734</v>
      </c>
      <c r="T130" s="23" t="n">
        <f aca="false">IFERROR(SUMPRODUCT(LT_incl*(LT_capstat=$V130),LT_equity,LT_roe)/SUMPRODUCT(LT_incl*(LT_capstat=$V130)*ISNUMBER(LT_roe),LT_equity),0)</f>
        <v>0.0869716099453359</v>
      </c>
      <c r="V130" s="42" t="s">
        <v>137</v>
      </c>
    </row>
    <row r="131" customFormat="false" ht="15" hidden="false" customHeight="false" outlineLevel="0" collapsed="false">
      <c r="B131" s="43" t="str">
        <f aca="false">V131</f>
        <v>None Reported</v>
      </c>
      <c r="C131" s="44" t="n">
        <f aca="false">SUMPRODUCT(LT_incl*(LT_capstat=$V131))</f>
        <v>31</v>
      </c>
      <c r="D131" s="32" t="n">
        <f aca="false">IFERROR(C131/StratLoans,0)</f>
        <v>0.236641221374046</v>
      </c>
      <c r="E131" s="44" t="n">
        <f aca="false">SUMPRODUCT(LT_incl*(LT_capstat=$V131),LT_units)</f>
        <v>7754</v>
      </c>
      <c r="F131" s="44" t="n">
        <f aca="false">SUMPRODUCT(LT_incl*(LT_capstat=$V131),LT_beds)</f>
        <v>1092</v>
      </c>
      <c r="G131" s="31" t="n">
        <f aca="false">SUMPRODUCT(LT_incl*(LT_capstat=$V131),LT_upb)</f>
        <v>620314357.79</v>
      </c>
      <c r="H131" s="32" t="n">
        <f aca="false">IFERROR(G131/StratUPB,0)</f>
        <v>0.16692213232057</v>
      </c>
      <c r="I131" s="31" t="n">
        <f aca="false">IFERROR(G131/C131,0)</f>
        <v>20010140.573871</v>
      </c>
      <c r="J131" s="31" t="n">
        <f aca="false">SUMPRODUCT(LT_incl*(LT_capstat=$V131),LT_unfunded)</f>
        <v>2078084.46</v>
      </c>
      <c r="K131" s="31" t="n">
        <f aca="false">SUMPRODUCT(LT_incl*(LT_capstat=$V131),LT_navres)</f>
        <v>-31022491.8140788</v>
      </c>
      <c r="L131" s="33" t="n">
        <f aca="false">IFERROR(SUMPRODUCT(LT_incl*(LT_capstat=$V131),LT_upb,LT_eff)/SUMPRODUCT(LT_incl*(LT_capstat=$V131)*ISNUMBER(LT_eff),LT_upb),0)</f>
        <v>0.0416363447561271</v>
      </c>
      <c r="M131" s="33" t="n">
        <f aca="false">IFERROR(SUMPRODUCT(LT_incl*(LT_capstat=$V131),LT_upb,LT_coupon)/SUMPRODUCT(LT_incl*(LT_capstat=$V131)*ISNUMBER(LT_coupon),LT_upb),0)</f>
        <v>0.0781363447561271</v>
      </c>
      <c r="N131" s="32" t="n">
        <f aca="false">IFERROR(SUMPRODUCT(LT_incl*(LT_capstat=$V131),LT_upb,LT_ltv_asis)/SUMPRODUCT(LT_incl*(LT_capstat=$V131)*ISNUMBER(LT_ltv_asis),LT_upb),0)</f>
        <v>0.740092795741137</v>
      </c>
      <c r="O131" s="32" t="n">
        <f aca="false">IFERROR(SUMPRODUCT(LT_incl*(LT_capstat=$V131),LT_upb,LT_ltv_stab)/SUMPRODUCT(LT_incl*(LT_capstat=$V131)*ISNUMBER(LT_ltv_stab),LT_upb),0)</f>
        <v>0.671137165060834</v>
      </c>
      <c r="P131" s="34" t="n">
        <f aca="false">IFERROR(SUMPRODUCT(LT_incl*(LT_capstat=$V131),LT_upb,LT_seas)/SUMPRODUCT(LT_incl*(LT_capstat=$V131)*ISNUMBER(LT_seas),LT_upb),0)</f>
        <v>54.5537160195473</v>
      </c>
      <c r="Q131" s="34" t="n">
        <f aca="false">IFERROR(SUMPRODUCT(LT_incl*(LT_capstat=$V131),LT_upb,LT_rti)/SUMPRODUCT(LT_incl*(LT_capstat=$V131)*ISNUMBER(LT_rti),LT_upb),0)</f>
        <v>3.40623120508416</v>
      </c>
      <c r="R131" s="34" t="n">
        <f aca="false">IFERROR(SUMPRODUCT(LT_incl*(LT_capstat=$V131),LT_upb,LT_rte)/SUMPRODUCT(LT_incl*(LT_capstat=$V131)*ISNUMBER(LT_rte),LT_upb),0)</f>
        <v>5.96189713662127</v>
      </c>
      <c r="S131" s="32" t="n">
        <f aca="false">IFERROR(SUMPRODUCT(LT_incl*(LT_capstat=$V131),LT_backdebt)/G131,0)</f>
        <v>0.346024522659554</v>
      </c>
      <c r="T131" s="32" t="n">
        <f aca="false">IFERROR(SUMPRODUCT(LT_incl*(LT_capstat=$V131),LT_equity,LT_roe)/SUMPRODUCT(LT_incl*(LT_capstat=$V131)*ISNUMBER(LT_roe),LT_equity),0)</f>
        <v>0.0898359476410803</v>
      </c>
      <c r="V131" s="42" t="s">
        <v>138</v>
      </c>
    </row>
    <row r="132" customFormat="false" ht="15" hidden="false" customHeight="false" outlineLevel="0" collapsed="false">
      <c r="B132" s="18" t="s">
        <v>75</v>
      </c>
      <c r="C132" s="26" t="n">
        <f aca="false">SUMPRODUCT(LT_incl*(1-ISNUMBER(MATCH(LT_capstat,$V$128:$V$131,0))))</f>
        <v>0</v>
      </c>
      <c r="D132" s="23" t="n">
        <f aca="false">IFERROR(C132/StratLoans,0)</f>
        <v>0</v>
      </c>
      <c r="E132" s="26" t="n">
        <f aca="false">SUMPRODUCT(LT_incl*(1-ISNUMBER(MATCH(LT_capstat,$V$128:$V$131,0))),LT_units)</f>
        <v>0</v>
      </c>
      <c r="F132" s="26" t="n">
        <f aca="false">SUMPRODUCT(LT_incl*(1-ISNUMBER(MATCH(LT_capstat,$V$128:$V$131,0))),LT_beds)</f>
        <v>0</v>
      </c>
      <c r="G132" s="22" t="n">
        <f aca="false">SUMPRODUCT(LT_incl*(1-ISNUMBER(MATCH(LT_capstat,$V$128:$V$131,0))),LT_upb)</f>
        <v>0</v>
      </c>
      <c r="H132" s="23" t="n">
        <f aca="false">IFERROR(G132/StratUPB,0)</f>
        <v>0</v>
      </c>
      <c r="I132" s="22" t="n">
        <f aca="false">IFERROR(G132/C132,0)</f>
        <v>0</v>
      </c>
      <c r="J132" s="22" t="n">
        <f aca="false">SUMPRODUCT(LT_incl*(1-ISNUMBER(MATCH(LT_capstat,$V$128:$V$131,0))),LT_unfunded)</f>
        <v>0</v>
      </c>
      <c r="K132" s="22" t="n">
        <f aca="false">SUMPRODUCT(LT_incl*(1-ISNUMBER(MATCH(LT_capstat,$V$128:$V$131,0))),LT_navres)</f>
        <v>0</v>
      </c>
      <c r="L132" s="24" t="n">
        <f aca="false">IFERROR(SUMPRODUCT(LT_incl*(1-ISNUMBER(MATCH(LT_capstat,$V$128:$V$131,0))),LT_upb,LT_eff)/SUMPRODUCT(LT_incl*(1-ISNUMBER(MATCH(LT_capstat,$V$128:$V$131,0)))*ISNUMBER(LT_eff),LT_upb),0)</f>
        <v>0</v>
      </c>
      <c r="M132" s="24" t="n">
        <f aca="false">IFERROR(SUMPRODUCT(LT_incl*(1-ISNUMBER(MATCH(LT_capstat,$V$128:$V$131,0))),LT_upb,LT_coupon)/SUMPRODUCT(LT_incl*(1-ISNUMBER(MATCH(LT_capstat,$V$128:$V$131,0)))*ISNUMBER(LT_coupon),LT_upb),0)</f>
        <v>0</v>
      </c>
      <c r="N132" s="23" t="n">
        <f aca="false">IFERROR(SUMPRODUCT(LT_incl*(1-ISNUMBER(MATCH(LT_capstat,$V$128:$V$131,0))),LT_upb,LT_ltv_asis)/SUMPRODUCT(LT_incl*(1-ISNUMBER(MATCH(LT_capstat,$V$128:$V$131,0)))*ISNUMBER(LT_ltv_asis),LT_upb),0)</f>
        <v>0</v>
      </c>
      <c r="O132" s="23" t="n">
        <f aca="false">IFERROR(SUMPRODUCT(LT_incl*(1-ISNUMBER(MATCH(LT_capstat,$V$128:$V$131,0))),LT_upb,LT_ltv_stab)/SUMPRODUCT(LT_incl*(1-ISNUMBER(MATCH(LT_capstat,$V$128:$V$131,0)))*ISNUMBER(LT_ltv_stab),LT_upb),0)</f>
        <v>0</v>
      </c>
      <c r="P132" s="25" t="n">
        <f aca="false">IFERROR(SUMPRODUCT(LT_incl*(1-ISNUMBER(MATCH(LT_capstat,$V$128:$V$131,0))),LT_upb,LT_seas)/SUMPRODUCT(LT_incl*(1-ISNUMBER(MATCH(LT_capstat,$V$128:$V$131,0)))*ISNUMBER(LT_seas),LT_upb),0)</f>
        <v>0</v>
      </c>
      <c r="Q132" s="25" t="n">
        <f aca="false">IFERROR(SUMPRODUCT(LT_incl*(1-ISNUMBER(MATCH(LT_capstat,$V$128:$V$131,0))),LT_upb,LT_rti)/SUMPRODUCT(LT_incl*(1-ISNUMBER(MATCH(LT_capstat,$V$128:$V$131,0)))*ISNUMBER(LT_rti),LT_upb),0)</f>
        <v>0</v>
      </c>
      <c r="R132" s="25" t="n">
        <f aca="false">IFERROR(SUMPRODUCT(LT_incl*(1-ISNUMBER(MATCH(LT_capstat,$V$128:$V$131,0))),LT_upb,LT_rte)/SUMPRODUCT(LT_incl*(1-ISNUMBER(MATCH(LT_capstat,$V$128:$V$131,0)))*ISNUMBER(LT_rte),LT_upb),0)</f>
        <v>0</v>
      </c>
      <c r="S132" s="23" t="n">
        <f aca="false">IFERROR(SUMPRODUCT(LT_incl*(1-ISNUMBER(MATCH(LT_capstat,$V$128:$V$131,0))),LT_backdebt)/G132,0)</f>
        <v>0</v>
      </c>
      <c r="T132" s="23" t="n">
        <f aca="false">IFERROR(SUMPRODUCT(LT_incl*(1-ISNUMBER(MATCH(LT_capstat,$V$128:$V$131,0))),LT_equity,LT_roe)/SUMPRODUCT(LT_incl*(1-ISNUMBER(MATCH(LT_capstat,$V$128:$V$131,0)))*ISNUMBER(LT_roe),LT_equity),0)</f>
        <v>0</v>
      </c>
    </row>
    <row r="133" customFormat="false" ht="15" hidden="false" customHeight="false" outlineLevel="0" collapsed="false">
      <c r="B133" s="35" t="s">
        <v>76</v>
      </c>
      <c r="C133" s="45" t="n">
        <f aca="false">SUMPRODUCT(LT_incl*(1))</f>
        <v>131</v>
      </c>
      <c r="D133" s="38" t="n">
        <f aca="false">IFERROR(C133/StratLoans,0)</f>
        <v>1</v>
      </c>
      <c r="E133" s="45" t="n">
        <f aca="false">SUMPRODUCT(LT_incl*(1),LT_units)</f>
        <v>22360</v>
      </c>
      <c r="F133" s="45" t="n">
        <f aca="false">SUMPRODUCT(LT_incl*(1),LT_beds)</f>
        <v>8726</v>
      </c>
      <c r="G133" s="37" t="n">
        <f aca="false">SUMPRODUCT(LT_incl*(1),LT_upb)</f>
        <v>3716189993.3</v>
      </c>
      <c r="H133" s="38" t="n">
        <f aca="false">IFERROR(G133/StratUPB,0)</f>
        <v>1</v>
      </c>
      <c r="I133" s="37" t="n">
        <f aca="false">IFERROR(G133/C133,0)</f>
        <v>28367862.5442748</v>
      </c>
      <c r="J133" s="37" t="n">
        <f aca="false">SUMPRODUCT(LT_incl*(1),LT_unfunded)</f>
        <v>70425498.27</v>
      </c>
      <c r="K133" s="37" t="n">
        <f aca="false">SUMPRODUCT(LT_incl*(1),LT_navres)</f>
        <v>-35761255.0310469</v>
      </c>
      <c r="L133" s="39" t="n">
        <f aca="false">IFERROR(SUMPRODUCT(LT_incl*(1),LT_upb,LT_eff)/SUMPRODUCT(LT_incl*(1)*ISNUMBER(LT_eff),LT_upb),0)</f>
        <v>0.0384104790702225</v>
      </c>
      <c r="M133" s="39" t="n">
        <f aca="false">IFERROR(SUMPRODUCT(LT_incl*(1),LT_upb,LT_coupon)/SUMPRODUCT(LT_incl*(1)*ISNUMBER(LT_coupon),LT_upb),0)</f>
        <v>0.0749104790702225</v>
      </c>
      <c r="N133" s="38" t="n">
        <f aca="false">IFERROR(SUMPRODUCT(LT_incl*(1),LT_upb,LT_ltv_asis)/SUMPRODUCT(LT_incl*(1)*ISNUMBER(LT_ltv_asis),LT_upb),0)</f>
        <v>0.685976245136614</v>
      </c>
      <c r="O133" s="38" t="n">
        <f aca="false">IFERROR(SUMPRODUCT(LT_incl*(1),LT_upb,LT_ltv_stab)/SUMPRODUCT(LT_incl*(1)*ISNUMBER(LT_ltv_stab),LT_upb),0)</f>
        <v>0.658970555756018</v>
      </c>
      <c r="P133" s="40" t="n">
        <f aca="false">IFERROR(SUMPRODUCT(LT_incl*(1),LT_upb,LT_seas)/SUMPRODUCT(LT_incl*(1)*ISNUMBER(LT_seas),LT_upb),0)</f>
        <v>26.0197171750702</v>
      </c>
      <c r="Q133" s="40" t="n">
        <f aca="false">IFERROR(SUMPRODUCT(LT_incl*(1),LT_upb,LT_rti)/SUMPRODUCT(LT_incl*(1)*ISNUMBER(LT_rti),LT_upb),0)</f>
        <v>10.7164396387939</v>
      </c>
      <c r="R133" s="40" t="n">
        <f aca="false">IFERROR(SUMPRODUCT(LT_incl*(1),LT_upb,LT_rte)/SUMPRODUCT(LT_incl*(1)*ISNUMBER(LT_rte),LT_upb),0)</f>
        <v>23.051497716819</v>
      </c>
      <c r="S133" s="38" t="n">
        <f aca="false">IFERROR(SUMPRODUCT(LT_incl*(1),LT_backdebt)/G133,0)</f>
        <v>0.628005362553862</v>
      </c>
      <c r="T133" s="38" t="n">
        <f aca="false">IFERROR(SUMPRODUCT(LT_incl*(1),LT_equity,LT_roe)/SUMPRODUCT(LT_incl*(1)*ISNUMBER(LT_roe),LT_equity),0)</f>
        <v>0.107961987212177</v>
      </c>
    </row>
    <row r="135" customFormat="false" ht="15" hidden="false" customHeight="false" outlineLevel="0" collapsed="false">
      <c r="B135" s="3" t="s">
        <v>139</v>
      </c>
      <c r="C135" s="4"/>
      <c r="D135" s="4"/>
      <c r="E135" s="4"/>
      <c r="F135" s="4"/>
      <c r="G135" s="4"/>
      <c r="H135" s="4"/>
      <c r="I135" s="4"/>
      <c r="J135" s="4"/>
      <c r="K135" s="4"/>
      <c r="L135" s="4"/>
      <c r="M135" s="4"/>
      <c r="N135" s="4"/>
      <c r="O135" s="4"/>
      <c r="P135" s="4"/>
      <c r="Q135" s="4"/>
      <c r="R135" s="4"/>
      <c r="S135" s="4"/>
      <c r="T135" s="4"/>
    </row>
    <row r="136" customFormat="false" ht="39.75" hidden="false" customHeight="true" outlineLevel="0" collapsed="false">
      <c r="B136" s="16" t="s">
        <v>63</v>
      </c>
      <c r="C136" s="17" t="s">
        <v>13</v>
      </c>
      <c r="D136" s="17" t="s">
        <v>64</v>
      </c>
      <c r="E136" s="17" t="s">
        <v>65</v>
      </c>
      <c r="F136" s="17" t="s">
        <v>66</v>
      </c>
      <c r="G136" s="17" t="s">
        <v>16</v>
      </c>
      <c r="H136" s="17" t="s">
        <v>46</v>
      </c>
      <c r="I136" s="17" t="s">
        <v>19</v>
      </c>
      <c r="J136" s="17" t="s">
        <v>28</v>
      </c>
      <c r="K136" s="17" t="s">
        <v>31</v>
      </c>
      <c r="L136" s="17" t="s">
        <v>7</v>
      </c>
      <c r="M136" s="17" t="s">
        <v>11</v>
      </c>
      <c r="N136" s="17" t="s">
        <v>23</v>
      </c>
      <c r="O136" s="17" t="s">
        <v>67</v>
      </c>
      <c r="P136" s="17" t="s">
        <v>5</v>
      </c>
      <c r="Q136" s="17" t="s">
        <v>68</v>
      </c>
      <c r="R136" s="17" t="s">
        <v>69</v>
      </c>
      <c r="S136" s="17" t="s">
        <v>56</v>
      </c>
      <c r="T136" s="17" t="s">
        <v>70</v>
      </c>
      <c r="V136" s="17" t="s">
        <v>71</v>
      </c>
    </row>
    <row r="137" customFormat="false" ht="15" hidden="false" customHeight="false" outlineLevel="0" collapsed="false">
      <c r="B137" s="41" t="str">
        <f aca="false">V137</f>
        <v>None</v>
      </c>
      <c r="C137" s="26" t="n">
        <f aca="false">SUMPRODUCT(LT_incl*(LT_lockcat=$V137))</f>
        <v>11</v>
      </c>
      <c r="D137" s="23" t="n">
        <f aca="false">IFERROR(C137/StratLoans,0)</f>
        <v>0.083969465648855</v>
      </c>
      <c r="E137" s="26" t="n">
        <f aca="false">SUMPRODUCT(LT_incl*(LT_lockcat=$V137),LT_units)</f>
        <v>2139</v>
      </c>
      <c r="F137" s="26" t="n">
        <f aca="false">SUMPRODUCT(LT_incl*(LT_lockcat=$V137),LT_beds)</f>
        <v>1438</v>
      </c>
      <c r="G137" s="22" t="n">
        <f aca="false">SUMPRODUCT(LT_incl*(LT_lockcat=$V137),LT_upb)</f>
        <v>236177500</v>
      </c>
      <c r="H137" s="23" t="n">
        <f aca="false">IFERROR(G137/StratUPB,0)</f>
        <v>0.0635536666386298</v>
      </c>
      <c r="I137" s="22" t="n">
        <f aca="false">IFERROR(G137/C137,0)</f>
        <v>21470681.8181818</v>
      </c>
      <c r="J137" s="22" t="n">
        <f aca="false">SUMPRODUCT(LT_incl*(LT_lockcat=$V137),LT_unfunded)</f>
        <v>6190000</v>
      </c>
      <c r="K137" s="22" t="n">
        <f aca="false">SUMPRODUCT(LT_incl*(LT_lockcat=$V137),LT_navres)</f>
        <v>400000</v>
      </c>
      <c r="L137" s="24" t="n">
        <f aca="false">IFERROR(SUMPRODUCT(LT_incl*(LT_lockcat=$V137),LT_upb,LT_eff)/SUMPRODUCT(LT_incl*(LT_lockcat=$V137)*ISNUMBER(LT_eff),LT_upb),0)</f>
        <v>0.0415106413608409</v>
      </c>
      <c r="M137" s="24" t="n">
        <f aca="false">IFERROR(SUMPRODUCT(LT_incl*(LT_lockcat=$V137),LT_upb,LT_coupon)/SUMPRODUCT(LT_incl*(LT_lockcat=$V137)*ISNUMBER(LT_coupon),LT_upb),0)</f>
        <v>0.0780106413608409</v>
      </c>
      <c r="N137" s="23" t="n">
        <f aca="false">IFERROR(SUMPRODUCT(LT_incl*(LT_lockcat=$V137),LT_upb,LT_ltv_asis)/SUMPRODUCT(LT_incl*(LT_lockcat=$V137)*ISNUMBER(LT_ltv_asis),LT_upb),0)</f>
        <v>0.684430519825507</v>
      </c>
      <c r="O137" s="23" t="n">
        <f aca="false">IFERROR(SUMPRODUCT(LT_incl*(LT_lockcat=$V137),LT_upb,LT_ltv_stab)/SUMPRODUCT(LT_incl*(LT_lockcat=$V137)*ISNUMBER(LT_ltv_stab),LT_upb),0)</f>
        <v>0.64185971636136</v>
      </c>
      <c r="P137" s="25" t="n">
        <f aca="false">IFERROR(SUMPRODUCT(LT_incl*(LT_lockcat=$V137),LT_upb,LT_seas)/SUMPRODUCT(LT_incl*(LT_lockcat=$V137)*ISNUMBER(LT_seas),LT_upb),0)</f>
        <v>7.72990721031542</v>
      </c>
      <c r="Q137" s="25" t="n">
        <f aca="false">IFERROR(SUMPRODUCT(LT_incl*(LT_lockcat=$V137),LT_upb,LT_rti)/SUMPRODUCT(LT_incl*(LT_lockcat=$V137)*ISNUMBER(LT_rti),LT_upb),0)</f>
        <v>24.8728792515166</v>
      </c>
      <c r="R137" s="25" t="n">
        <f aca="false">IFERROR(SUMPRODUCT(LT_incl*(LT_lockcat=$V137),LT_upb,LT_rte)/SUMPRODUCT(LT_incl*(LT_lockcat=$V137)*ISNUMBER(LT_rte),LT_upb),0)</f>
        <v>34.5858856156916</v>
      </c>
      <c r="S137" s="23" t="n">
        <f aca="false">IFERROR(SUMPRODUCT(LT_incl*(LT_lockcat=$V137),LT_backdebt)/G137,0)</f>
        <v>0.691679088549918</v>
      </c>
      <c r="T137" s="23" t="n">
        <f aca="false">IFERROR(SUMPRODUCT(LT_incl*(LT_lockcat=$V137),LT_equity,LT_roe)/SUMPRODUCT(LT_incl*(LT_lockcat=$V137)*ISNUMBER(LT_roe),LT_equity),0)</f>
        <v>0.12914477089334</v>
      </c>
      <c r="V137" s="42" t="s">
        <v>140</v>
      </c>
    </row>
    <row r="138" customFormat="false" ht="15" hidden="false" customHeight="false" outlineLevel="0" collapsed="false">
      <c r="B138" s="43" t="str">
        <f aca="false">V138</f>
        <v>3 Months</v>
      </c>
      <c r="C138" s="44" t="n">
        <f aca="false">SUMPRODUCT(LT_incl*(LT_lockcat=$V138))</f>
        <v>2</v>
      </c>
      <c r="D138" s="32" t="n">
        <f aca="false">IFERROR(C138/StratLoans,0)</f>
        <v>0.0152671755725191</v>
      </c>
      <c r="E138" s="44" t="n">
        <f aca="false">SUMPRODUCT(LT_incl*(LT_lockcat=$V138),LT_units)</f>
        <v>337</v>
      </c>
      <c r="F138" s="44" t="n">
        <f aca="false">SUMPRODUCT(LT_incl*(LT_lockcat=$V138),LT_beds)</f>
        <v>0</v>
      </c>
      <c r="G138" s="31" t="n">
        <f aca="false">SUMPRODUCT(LT_incl*(LT_lockcat=$V138),LT_upb)</f>
        <v>95000000</v>
      </c>
      <c r="H138" s="32" t="n">
        <f aca="false">IFERROR(G138/StratUPB,0)</f>
        <v>0.0255638167508329</v>
      </c>
      <c r="I138" s="31" t="n">
        <f aca="false">IFERROR(G138/C138,0)</f>
        <v>47500000</v>
      </c>
      <c r="J138" s="31" t="n">
        <f aca="false">SUMPRODUCT(LT_incl*(LT_lockcat=$V138),LT_unfunded)</f>
        <v>500000</v>
      </c>
      <c r="K138" s="31" t="n">
        <f aca="false">SUMPRODUCT(LT_incl*(LT_lockcat=$V138),LT_navres)</f>
        <v>-3600000</v>
      </c>
      <c r="L138" s="33" t="n">
        <f aca="false">IFERROR(SUMPRODUCT(LT_incl*(LT_lockcat=$V138),LT_upb,LT_eff)/SUMPRODUCT(LT_incl*(LT_lockcat=$V138)*ISNUMBER(LT_eff),LT_upb),0)</f>
        <v>0.0359852631578947</v>
      </c>
      <c r="M138" s="33" t="n">
        <f aca="false">IFERROR(SUMPRODUCT(LT_incl*(LT_lockcat=$V138),LT_upb,LT_coupon)/SUMPRODUCT(LT_incl*(LT_lockcat=$V138)*ISNUMBER(LT_coupon),LT_upb),0)</f>
        <v>0.0724852631578947</v>
      </c>
      <c r="N138" s="32" t="n">
        <f aca="false">IFERROR(SUMPRODUCT(LT_incl*(LT_lockcat=$V138),LT_upb,LT_ltv_asis)/SUMPRODUCT(LT_incl*(LT_lockcat=$V138)*ISNUMBER(LT_ltv_asis),LT_upb),0)</f>
        <v>0.789071089907265</v>
      </c>
      <c r="O138" s="32" t="n">
        <f aca="false">IFERROR(SUMPRODUCT(LT_incl*(LT_lockcat=$V138),LT_upb,LT_ltv_stab)/SUMPRODUCT(LT_incl*(LT_lockcat=$V138)*ISNUMBER(LT_ltv_stab),LT_upb),0)</f>
        <v>0.739410750728771</v>
      </c>
      <c r="P138" s="34" t="n">
        <f aca="false">IFERROR(SUMPRODUCT(LT_incl*(LT_lockcat=$V138),LT_upb,LT_seas)/SUMPRODUCT(LT_incl*(LT_lockcat=$V138)*ISNUMBER(LT_seas),LT_upb),0)</f>
        <v>37.5385280449584</v>
      </c>
      <c r="Q138" s="34" t="n">
        <f aca="false">IFERROR(SUMPRODUCT(LT_incl*(LT_lockcat=$V138),LT_upb,LT_rti)/SUMPRODUCT(LT_incl*(LT_lockcat=$V138)*ISNUMBER(LT_rti),LT_upb),0)</f>
        <v>0</v>
      </c>
      <c r="R138" s="34" t="n">
        <f aca="false">IFERROR(SUMPRODUCT(LT_incl*(LT_lockcat=$V138),LT_upb,LT_rte)/SUMPRODUCT(LT_incl*(LT_lockcat=$V138)*ISNUMBER(LT_rte),LT_upb),0)</f>
        <v>24.0050145898628</v>
      </c>
      <c r="S138" s="32" t="n">
        <f aca="false">IFERROR(SUMPRODUCT(LT_incl*(LT_lockcat=$V138),LT_backdebt)/G138,0)</f>
        <v>0.598591792126316</v>
      </c>
      <c r="T138" s="32" t="n">
        <f aca="false">IFERROR(SUMPRODUCT(LT_incl*(LT_lockcat=$V138),LT_equity,LT_roe)/SUMPRODUCT(LT_incl*(LT_lockcat=$V138)*ISNUMBER(LT_roe),LT_equity),0)</f>
        <v>0.0988580506601399</v>
      </c>
      <c r="V138" s="42" t="s">
        <v>141</v>
      </c>
    </row>
    <row r="139" customFormat="false" ht="15" hidden="false" customHeight="false" outlineLevel="0" collapsed="false">
      <c r="B139" s="41" t="str">
        <f aca="false">V139</f>
        <v>6 Months</v>
      </c>
      <c r="C139" s="26" t="n">
        <f aca="false">SUMPRODUCT(LT_incl*(LT_lockcat=$V139))</f>
        <v>100</v>
      </c>
      <c r="D139" s="23" t="n">
        <f aca="false">IFERROR(C139/StratLoans,0)</f>
        <v>0.763358778625954</v>
      </c>
      <c r="E139" s="26" t="n">
        <f aca="false">SUMPRODUCT(LT_incl*(LT_lockcat=$V139),LT_units)</f>
        <v>16568</v>
      </c>
      <c r="F139" s="26" t="n">
        <f aca="false">SUMPRODUCT(LT_incl*(LT_lockcat=$V139),LT_beds)</f>
        <v>6070</v>
      </c>
      <c r="G139" s="22" t="n">
        <f aca="false">SUMPRODUCT(LT_incl*(LT_lockcat=$V139),LT_upb)</f>
        <v>3053020629.43</v>
      </c>
      <c r="H139" s="23" t="n">
        <f aca="false">IFERROR(G139/StratUPB,0)</f>
        <v>0.821545893760641</v>
      </c>
      <c r="I139" s="22" t="n">
        <f aca="false">IFERROR(G139/C139,0)</f>
        <v>30530206.2943</v>
      </c>
      <c r="J139" s="22" t="n">
        <f aca="false">SUMPRODUCT(LT_incl*(LT_lockcat=$V139),LT_unfunded)</f>
        <v>38873256.19</v>
      </c>
      <c r="K139" s="22" t="n">
        <f aca="false">SUMPRODUCT(LT_incl*(LT_lockcat=$V139),LT_navres)</f>
        <v>-32203871.9637166</v>
      </c>
      <c r="L139" s="24" t="n">
        <f aca="false">IFERROR(SUMPRODUCT(LT_incl*(LT_lockcat=$V139),LT_upb,LT_eff)/SUMPRODUCT(LT_incl*(LT_lockcat=$V139)*ISNUMBER(LT_eff),LT_upb),0)</f>
        <v>0.037628826390678</v>
      </c>
      <c r="M139" s="24" t="n">
        <f aca="false">IFERROR(SUMPRODUCT(LT_incl*(LT_lockcat=$V139),LT_upb,LT_coupon)/SUMPRODUCT(LT_incl*(LT_lockcat=$V139)*ISNUMBER(LT_coupon),LT_upb),0)</f>
        <v>0.074128826390678</v>
      </c>
      <c r="N139" s="23" t="n">
        <f aca="false">IFERROR(SUMPRODUCT(LT_incl*(LT_lockcat=$V139),LT_upb,LT_ltv_asis)/SUMPRODUCT(LT_incl*(LT_lockcat=$V139)*ISNUMBER(LT_ltv_asis),LT_upb),0)</f>
        <v>0.695154408712908</v>
      </c>
      <c r="O139" s="23" t="n">
        <f aca="false">IFERROR(SUMPRODUCT(LT_incl*(LT_lockcat=$V139),LT_upb,LT_ltv_stab)/SUMPRODUCT(LT_incl*(LT_lockcat=$V139)*ISNUMBER(LT_ltv_stab),LT_upb),0)</f>
        <v>0.658915815811398</v>
      </c>
      <c r="P139" s="25" t="n">
        <f aca="false">IFERROR(SUMPRODUCT(LT_incl*(LT_lockcat=$V139),LT_upb,LT_seas)/SUMPRODUCT(LT_incl*(LT_lockcat=$V139)*ISNUMBER(LT_seas),LT_upb),0)</f>
        <v>27.5932550313164</v>
      </c>
      <c r="Q139" s="25" t="n">
        <f aca="false">IFERROR(SUMPRODUCT(LT_incl*(LT_lockcat=$V139),LT_upb,LT_rti)/SUMPRODUCT(LT_incl*(LT_lockcat=$V139)*ISNUMBER(LT_rti),LT_upb),0)</f>
        <v>9.53214008027166</v>
      </c>
      <c r="R139" s="25" t="n">
        <f aca="false">IFERROR(SUMPRODUCT(LT_incl*(LT_lockcat=$V139),LT_upb,LT_rte)/SUMPRODUCT(LT_incl*(LT_lockcat=$V139)*ISNUMBER(LT_rte),LT_upb),0)</f>
        <v>20.895066776121</v>
      </c>
      <c r="S139" s="23" t="n">
        <f aca="false">IFERROR(SUMPRODUCT(LT_incl*(LT_lockcat=$V139),LT_backdebt)/G139,0)</f>
        <v>0.619338968628919</v>
      </c>
      <c r="T139" s="23" t="n">
        <f aca="false">IFERROR(SUMPRODUCT(LT_incl*(LT_lockcat=$V139),LT_equity,LT_roe)/SUMPRODUCT(LT_incl*(LT_lockcat=$V139)*ISNUMBER(LT_roe),LT_equity),0)</f>
        <v>0.105509970471465</v>
      </c>
      <c r="V139" s="42" t="s">
        <v>142</v>
      </c>
    </row>
    <row r="140" customFormat="false" ht="15" hidden="false" customHeight="false" outlineLevel="0" collapsed="false">
      <c r="B140" s="43" t="str">
        <f aca="false">V140</f>
        <v>12 Months</v>
      </c>
      <c r="C140" s="44" t="n">
        <f aca="false">SUMPRODUCT(LT_incl*(LT_lockcat=$V140))</f>
        <v>12</v>
      </c>
      <c r="D140" s="32" t="n">
        <f aca="false">IFERROR(C140/StratLoans,0)</f>
        <v>0.0916030534351145</v>
      </c>
      <c r="E140" s="44" t="n">
        <f aca="false">SUMPRODUCT(LT_incl*(LT_lockcat=$V140),LT_units)</f>
        <v>2617</v>
      </c>
      <c r="F140" s="44" t="n">
        <f aca="false">SUMPRODUCT(LT_incl*(LT_lockcat=$V140),LT_beds)</f>
        <v>1218</v>
      </c>
      <c r="G140" s="31" t="n">
        <f aca="false">SUMPRODUCT(LT_incl*(LT_lockcat=$V140),LT_upb)</f>
        <v>288612212.21</v>
      </c>
      <c r="H140" s="32" t="n">
        <f aca="false">IFERROR(G140/StratUPB,0)</f>
        <v>0.0776634705788308</v>
      </c>
      <c r="I140" s="31" t="n">
        <f aca="false">IFERROR(G140/C140,0)</f>
        <v>24051017.6841667</v>
      </c>
      <c r="J140" s="31" t="n">
        <f aca="false">SUMPRODUCT(LT_incl*(LT_lockcat=$V140),LT_unfunded)</f>
        <v>22682499.79</v>
      </c>
      <c r="K140" s="31" t="n">
        <f aca="false">SUMPRODUCT(LT_incl*(LT_lockcat=$V140),LT_navres)</f>
        <v>-357383.067330304</v>
      </c>
      <c r="L140" s="33" t="n">
        <f aca="false">IFERROR(SUMPRODUCT(LT_incl*(LT_lockcat=$V140),LT_upb,LT_eff)/SUMPRODUCT(LT_incl*(LT_lockcat=$V140)*ISNUMBER(LT_eff),LT_upb),0)</f>
        <v>0.0399136512785472</v>
      </c>
      <c r="M140" s="33" t="n">
        <f aca="false">IFERROR(SUMPRODUCT(LT_incl*(LT_lockcat=$V140),LT_upb,LT_coupon)/SUMPRODUCT(LT_incl*(LT_lockcat=$V140)*ISNUMBER(LT_coupon),LT_upb),0)</f>
        <v>0.0764136512785472</v>
      </c>
      <c r="N140" s="32" t="n">
        <f aca="false">IFERROR(SUMPRODUCT(LT_incl*(LT_lockcat=$V140),LT_upb,LT_ltv_asis)/SUMPRODUCT(LT_incl*(LT_lockcat=$V140)*ISNUMBER(LT_ltv_asis),LT_upb),0)</f>
        <v>0.623376290847737</v>
      </c>
      <c r="O140" s="32" t="n">
        <f aca="false">IFERROR(SUMPRODUCT(LT_incl*(LT_lockcat=$V140),LT_upb,LT_ltv_stab)/SUMPRODUCT(LT_incl*(LT_lockcat=$V140)*ISNUMBER(LT_ltv_stab),LT_upb),0)</f>
        <v>0.658447956029309</v>
      </c>
      <c r="P140" s="34" t="n">
        <f aca="false">IFERROR(SUMPRODUCT(LT_incl*(LT_lockcat=$V140),LT_upb,LT_seas)/SUMPRODUCT(LT_incl*(LT_lockcat=$V140)*ISNUMBER(LT_seas),LT_upb),0)</f>
        <v>19.9985870549585</v>
      </c>
      <c r="Q140" s="34" t="n">
        <f aca="false">IFERROR(SUMPRODUCT(LT_incl*(LT_lockcat=$V140),LT_upb,LT_rti)/SUMPRODUCT(LT_incl*(LT_lockcat=$V140)*ISNUMBER(LT_rti),LT_upb),0)</f>
        <v>13.2819659442789</v>
      </c>
      <c r="R140" s="34" t="n">
        <f aca="false">IFERROR(SUMPRODUCT(LT_incl*(LT_lockcat=$V140),LT_upb,LT_rte)/SUMPRODUCT(LT_incl*(LT_lockcat=$V140)*ISNUMBER(LT_rte),LT_upb),0)</f>
        <v>33.1797586068643</v>
      </c>
      <c r="S140" s="32" t="n">
        <f aca="false">IFERROR(SUMPRODUCT(LT_incl*(LT_lockcat=$V140),LT_backdebt)/G140,0)</f>
        <v>0.690632820084473</v>
      </c>
      <c r="T140" s="32" t="n">
        <f aca="false">IFERROR(SUMPRODUCT(LT_incl*(LT_lockcat=$V140),LT_equity,LT_roe)/SUMPRODUCT(LT_incl*(LT_lockcat=$V140)*ISNUMBER(LT_roe),LT_equity),0)</f>
        <v>0.120626764543666</v>
      </c>
      <c r="V140" s="42" t="s">
        <v>143</v>
      </c>
    </row>
    <row r="141" customFormat="false" ht="15" hidden="false" customHeight="false" outlineLevel="0" collapsed="false">
      <c r="B141" s="41" t="str">
        <f aca="false">V141</f>
        <v>18 Months</v>
      </c>
      <c r="C141" s="26" t="n">
        <f aca="false">SUMPRODUCT(LT_incl*(LT_lockcat=$V141))</f>
        <v>1</v>
      </c>
      <c r="D141" s="23" t="n">
        <f aca="false">IFERROR(C141/StratLoans,0)</f>
        <v>0.00763358778625954</v>
      </c>
      <c r="E141" s="26" t="n">
        <f aca="false">SUMPRODUCT(LT_incl*(LT_lockcat=$V141),LT_units)</f>
        <v>92</v>
      </c>
      <c r="F141" s="26" t="n">
        <f aca="false">SUMPRODUCT(LT_incl*(LT_lockcat=$V141),LT_beds)</f>
        <v>0</v>
      </c>
      <c r="G141" s="22" t="n">
        <f aca="false">SUMPRODUCT(LT_incl*(LT_lockcat=$V141),LT_upb)</f>
        <v>34599396.26</v>
      </c>
      <c r="H141" s="23" t="n">
        <f aca="false">IFERROR(G141/StratUPB,0)</f>
        <v>0.00931044869136939</v>
      </c>
      <c r="I141" s="22" t="n">
        <f aca="false">IFERROR(G141/C141,0)</f>
        <v>34599396.26</v>
      </c>
      <c r="J141" s="22" t="n">
        <f aca="false">SUMPRODUCT(LT_incl*(LT_lockcat=$V141),LT_unfunded)</f>
        <v>2179742.28999999</v>
      </c>
      <c r="K141" s="22" t="n">
        <f aca="false">SUMPRODUCT(LT_incl*(LT_lockcat=$V141),LT_navres)</f>
        <v>0</v>
      </c>
      <c r="L141" s="24" t="n">
        <f aca="false">IFERROR(SUMPRODUCT(LT_incl*(LT_lockcat=$V141),LT_upb,LT_eff)/SUMPRODUCT(LT_incl*(LT_lockcat=$V141)*ISNUMBER(LT_eff),LT_upb),0)</f>
        <v>0.0685</v>
      </c>
      <c r="M141" s="24" t="n">
        <f aca="false">IFERROR(SUMPRODUCT(LT_incl*(LT_lockcat=$V141),LT_upb,LT_coupon)/SUMPRODUCT(LT_incl*(LT_lockcat=$V141)*ISNUMBER(LT_coupon),LT_upb),0)</f>
        <v>0.105</v>
      </c>
      <c r="N141" s="23" t="n">
        <f aca="false">IFERROR(SUMPRODUCT(LT_incl*(LT_lockcat=$V141),LT_upb,LT_ltv_asis)/SUMPRODUCT(LT_incl*(LT_lockcat=$V141)*ISNUMBER(LT_ltv_asis),LT_upb),0)</f>
        <v>0.114324755244755</v>
      </c>
      <c r="O141" s="23" t="n">
        <f aca="false">IFERROR(SUMPRODUCT(LT_incl*(LT_lockcat=$V141),LT_upb,LT_ltv_stab)/SUMPRODUCT(LT_incl*(LT_lockcat=$V141)*ISNUMBER(LT_ltv_stab),LT_upb),0)</f>
        <v>0.535294117647059</v>
      </c>
      <c r="P141" s="25" t="n">
        <f aca="false">IFERROR(SUMPRODUCT(LT_incl*(LT_lockcat=$V141),LT_upb,LT_seas)/SUMPRODUCT(LT_incl*(LT_lockcat=$V141)*ISNUMBER(LT_seas),LT_upb),0)</f>
        <v>16.0657084188912</v>
      </c>
      <c r="Q141" s="25" t="n">
        <f aca="false">IFERROR(SUMPRODUCT(LT_incl*(LT_lockcat=$V141),LT_upb,LT_rti)/SUMPRODUCT(LT_incl*(LT_lockcat=$V141)*ISNUMBER(LT_rti),LT_upb),0)</f>
        <v>19.9096509240246</v>
      </c>
      <c r="R141" s="25" t="n">
        <f aca="false">IFERROR(SUMPRODUCT(LT_incl*(LT_lockcat=$V141),LT_upb,LT_rte)/SUMPRODUCT(LT_incl*(LT_lockcat=$V141)*ISNUMBER(LT_rte),LT_upb),0)</f>
        <v>43.9260780287474</v>
      </c>
      <c r="S141" s="23" t="n">
        <f aca="false">IFERROR(SUMPRODUCT(LT_incl*(LT_lockcat=$V141),LT_backdebt)/G141,0)</f>
        <v>0.675800000505558</v>
      </c>
      <c r="T141" s="23" t="n">
        <f aca="false">IFERROR(SUMPRODUCT(LT_incl*(LT_lockcat=$V141),LT_equity,LT_roe)/SUMPRODUCT(LT_incl*(LT_lockcat=$V141)*ISNUMBER(LT_roe),LT_equity),0)</f>
        <v>0.143980444260212</v>
      </c>
      <c r="V141" s="42" t="s">
        <v>144</v>
      </c>
    </row>
    <row r="142" customFormat="false" ht="15" hidden="false" customHeight="false" outlineLevel="0" collapsed="false">
      <c r="B142" s="43" t="str">
        <f aca="false">V142</f>
        <v>Defeasance</v>
      </c>
      <c r="C142" s="44" t="n">
        <f aca="false">SUMPRODUCT(LT_incl*(LT_lockcat=$V142))</f>
        <v>5</v>
      </c>
      <c r="D142" s="32" t="n">
        <f aca="false">IFERROR(C142/StratLoans,0)</f>
        <v>0.0381679389312977</v>
      </c>
      <c r="E142" s="44" t="n">
        <f aca="false">SUMPRODUCT(LT_incl*(LT_lockcat=$V142),LT_units)</f>
        <v>607</v>
      </c>
      <c r="F142" s="44" t="n">
        <f aca="false">SUMPRODUCT(LT_incl*(LT_lockcat=$V142),LT_beds)</f>
        <v>0</v>
      </c>
      <c r="G142" s="31" t="n">
        <f aca="false">SUMPRODUCT(LT_incl*(LT_lockcat=$V142),LT_upb)</f>
        <v>8780255.4</v>
      </c>
      <c r="H142" s="32" t="n">
        <f aca="false">IFERROR(G142/StratUPB,0)</f>
        <v>0.0023627035796959</v>
      </c>
      <c r="I142" s="31" t="n">
        <f aca="false">IFERROR(G142/C142,0)</f>
        <v>1756051.08</v>
      </c>
      <c r="J142" s="31" t="n">
        <f aca="false">SUMPRODUCT(LT_incl*(LT_lockcat=$V142),LT_unfunded)</f>
        <v>0</v>
      </c>
      <c r="K142" s="31" t="n">
        <f aca="false">SUMPRODUCT(LT_incl*(LT_lockcat=$V142),LT_navres)</f>
        <v>0</v>
      </c>
      <c r="L142" s="33" t="n">
        <f aca="false">IFERROR(SUMPRODUCT(LT_incl*(LT_lockcat=$V142),LT_upb,LT_eff)/SUMPRODUCT(LT_incl*(LT_lockcat=$V142)*ISNUMBER(LT_eff),LT_upb),0)</f>
        <v>0.0850714877781345</v>
      </c>
      <c r="M142" s="33" t="n">
        <f aca="false">IFERROR(SUMPRODUCT(LT_incl*(LT_lockcat=$V142),LT_upb,LT_coupon)/SUMPRODUCT(LT_incl*(LT_lockcat=$V142)*ISNUMBER(LT_coupon),LT_upb),0)</f>
        <v>0.121571487778135</v>
      </c>
      <c r="N142" s="32" t="n">
        <f aca="false">IFERROR(SUMPRODUCT(LT_incl*(LT_lockcat=$V142),LT_upb,LT_ltv_asis)/SUMPRODUCT(LT_incl*(LT_lockcat=$V142)*ISNUMBER(LT_ltv_asis),LT_upb),0)</f>
        <v>0.729738903892179</v>
      </c>
      <c r="O142" s="32" t="n">
        <f aca="false">IFERROR(SUMPRODUCT(LT_incl*(LT_lockcat=$V142),LT_upb,LT_ltv_stab)/SUMPRODUCT(LT_incl*(LT_lockcat=$V142)*ISNUMBER(LT_ltv_stab),LT_upb),0)</f>
        <v>0.757843122358779</v>
      </c>
      <c r="P142" s="34" t="n">
        <f aca="false">IFERROR(SUMPRODUCT(LT_incl*(LT_lockcat=$V142),LT_upb,LT_seas)/SUMPRODUCT(LT_incl*(LT_lockcat=$V142)*ISNUMBER(LT_seas),LT_upb),0)</f>
        <v>83.362627872507</v>
      </c>
      <c r="Q142" s="34" t="n">
        <f aca="false">IFERROR(SUMPRODUCT(LT_incl*(LT_lockcat=$V142),LT_upb,LT_rti)/SUMPRODUCT(LT_incl*(LT_lockcat=$V142)*ISNUMBER(LT_rti),LT_upb),0)</f>
        <v>37.1164063158676</v>
      </c>
      <c r="R142" s="34" t="n">
        <f aca="false">IFERROR(SUMPRODUCT(LT_incl*(LT_lockcat=$V142),LT_upb,LT_rte)/SUMPRODUCT(LT_incl*(LT_lockcat=$V142)*ISNUMBER(LT_rte),LT_upb),0)</f>
        <v>37.1164063158676</v>
      </c>
      <c r="S142" s="32" t="n">
        <f aca="false">IFERROR(SUMPRODUCT(LT_incl*(LT_lockcat=$V142),LT_backdebt)/G142,0)</f>
        <v>0</v>
      </c>
      <c r="T142" s="32" t="n">
        <f aca="false">IFERROR(SUMPRODUCT(LT_incl*(LT_lockcat=$V142),LT_equity,LT_roe)/SUMPRODUCT(LT_incl*(LT_lockcat=$V142)*ISNUMBER(LT_roe),LT_equity),0)</f>
        <v>0.121571487778135</v>
      </c>
      <c r="V142" s="42" t="s">
        <v>145</v>
      </c>
    </row>
    <row r="143" customFormat="false" ht="15" hidden="false" customHeight="false" outlineLevel="0" collapsed="false">
      <c r="B143" s="18" t="s">
        <v>75</v>
      </c>
      <c r="C143" s="26" t="n">
        <f aca="false">SUMPRODUCT(LT_incl*(1-ISNUMBER(MATCH(LT_lockcat,$V$137:$V$142,0))))</f>
        <v>0</v>
      </c>
      <c r="D143" s="23" t="n">
        <f aca="false">IFERROR(C143/StratLoans,0)</f>
        <v>0</v>
      </c>
      <c r="E143" s="26" t="n">
        <f aca="false">SUMPRODUCT(LT_incl*(1-ISNUMBER(MATCH(LT_lockcat,$V$137:$V$142,0))),LT_units)</f>
        <v>0</v>
      </c>
      <c r="F143" s="26" t="n">
        <f aca="false">SUMPRODUCT(LT_incl*(1-ISNUMBER(MATCH(LT_lockcat,$V$137:$V$142,0))),LT_beds)</f>
        <v>0</v>
      </c>
      <c r="G143" s="22" t="n">
        <f aca="false">SUMPRODUCT(LT_incl*(1-ISNUMBER(MATCH(LT_lockcat,$V$137:$V$142,0))),LT_upb)</f>
        <v>0</v>
      </c>
      <c r="H143" s="23" t="n">
        <f aca="false">IFERROR(G143/StratUPB,0)</f>
        <v>0</v>
      </c>
      <c r="I143" s="22" t="n">
        <f aca="false">IFERROR(G143/C143,0)</f>
        <v>0</v>
      </c>
      <c r="J143" s="22" t="n">
        <f aca="false">SUMPRODUCT(LT_incl*(1-ISNUMBER(MATCH(LT_lockcat,$V$137:$V$142,0))),LT_unfunded)</f>
        <v>0</v>
      </c>
      <c r="K143" s="22" t="n">
        <f aca="false">SUMPRODUCT(LT_incl*(1-ISNUMBER(MATCH(LT_lockcat,$V$137:$V$142,0))),LT_navres)</f>
        <v>0</v>
      </c>
      <c r="L143" s="24" t="n">
        <f aca="false">IFERROR(SUMPRODUCT(LT_incl*(1-ISNUMBER(MATCH(LT_lockcat,$V$137:$V$142,0))),LT_upb,LT_eff)/SUMPRODUCT(LT_incl*(1-ISNUMBER(MATCH(LT_lockcat,$V$137:$V$142,0)))*ISNUMBER(LT_eff),LT_upb),0)</f>
        <v>0</v>
      </c>
      <c r="M143" s="24" t="n">
        <f aca="false">IFERROR(SUMPRODUCT(LT_incl*(1-ISNUMBER(MATCH(LT_lockcat,$V$137:$V$142,0))),LT_upb,LT_coupon)/SUMPRODUCT(LT_incl*(1-ISNUMBER(MATCH(LT_lockcat,$V$137:$V$142,0)))*ISNUMBER(LT_coupon),LT_upb),0)</f>
        <v>0</v>
      </c>
      <c r="N143" s="23" t="n">
        <f aca="false">IFERROR(SUMPRODUCT(LT_incl*(1-ISNUMBER(MATCH(LT_lockcat,$V$137:$V$142,0))),LT_upb,LT_ltv_asis)/SUMPRODUCT(LT_incl*(1-ISNUMBER(MATCH(LT_lockcat,$V$137:$V$142,0)))*ISNUMBER(LT_ltv_asis),LT_upb),0)</f>
        <v>0</v>
      </c>
      <c r="O143" s="23" t="n">
        <f aca="false">IFERROR(SUMPRODUCT(LT_incl*(1-ISNUMBER(MATCH(LT_lockcat,$V$137:$V$142,0))),LT_upb,LT_ltv_stab)/SUMPRODUCT(LT_incl*(1-ISNUMBER(MATCH(LT_lockcat,$V$137:$V$142,0)))*ISNUMBER(LT_ltv_stab),LT_upb),0)</f>
        <v>0</v>
      </c>
      <c r="P143" s="25" t="n">
        <f aca="false">IFERROR(SUMPRODUCT(LT_incl*(1-ISNUMBER(MATCH(LT_lockcat,$V$137:$V$142,0))),LT_upb,LT_seas)/SUMPRODUCT(LT_incl*(1-ISNUMBER(MATCH(LT_lockcat,$V$137:$V$142,0)))*ISNUMBER(LT_seas),LT_upb),0)</f>
        <v>0</v>
      </c>
      <c r="Q143" s="25" t="n">
        <f aca="false">IFERROR(SUMPRODUCT(LT_incl*(1-ISNUMBER(MATCH(LT_lockcat,$V$137:$V$142,0))),LT_upb,LT_rti)/SUMPRODUCT(LT_incl*(1-ISNUMBER(MATCH(LT_lockcat,$V$137:$V$142,0)))*ISNUMBER(LT_rti),LT_upb),0)</f>
        <v>0</v>
      </c>
      <c r="R143" s="25" t="n">
        <f aca="false">IFERROR(SUMPRODUCT(LT_incl*(1-ISNUMBER(MATCH(LT_lockcat,$V$137:$V$142,0))),LT_upb,LT_rte)/SUMPRODUCT(LT_incl*(1-ISNUMBER(MATCH(LT_lockcat,$V$137:$V$142,0)))*ISNUMBER(LT_rte),LT_upb),0)</f>
        <v>0</v>
      </c>
      <c r="S143" s="23" t="n">
        <f aca="false">IFERROR(SUMPRODUCT(LT_incl*(1-ISNUMBER(MATCH(LT_lockcat,$V$137:$V$142,0))),LT_backdebt)/G143,0)</f>
        <v>0</v>
      </c>
      <c r="T143" s="23" t="n">
        <f aca="false">IFERROR(SUMPRODUCT(LT_incl*(1-ISNUMBER(MATCH(LT_lockcat,$V$137:$V$142,0))),LT_equity,LT_roe)/SUMPRODUCT(LT_incl*(1-ISNUMBER(MATCH(LT_lockcat,$V$137:$V$142,0)))*ISNUMBER(LT_roe),LT_equity),0)</f>
        <v>0</v>
      </c>
    </row>
    <row r="144" customFormat="false" ht="15" hidden="false" customHeight="false" outlineLevel="0" collapsed="false">
      <c r="B144" s="35" t="s">
        <v>76</v>
      </c>
      <c r="C144" s="45" t="n">
        <f aca="false">SUMPRODUCT(LT_incl*(1))</f>
        <v>131</v>
      </c>
      <c r="D144" s="38" t="n">
        <f aca="false">IFERROR(C144/StratLoans,0)</f>
        <v>1</v>
      </c>
      <c r="E144" s="45" t="n">
        <f aca="false">SUMPRODUCT(LT_incl*(1),LT_units)</f>
        <v>22360</v>
      </c>
      <c r="F144" s="45" t="n">
        <f aca="false">SUMPRODUCT(LT_incl*(1),LT_beds)</f>
        <v>8726</v>
      </c>
      <c r="G144" s="37" t="n">
        <f aca="false">SUMPRODUCT(LT_incl*(1),LT_upb)</f>
        <v>3716189993.3</v>
      </c>
      <c r="H144" s="38" t="n">
        <f aca="false">IFERROR(G144/StratUPB,0)</f>
        <v>1</v>
      </c>
      <c r="I144" s="37" t="n">
        <f aca="false">IFERROR(G144/C144,0)</f>
        <v>28367862.5442748</v>
      </c>
      <c r="J144" s="37" t="n">
        <f aca="false">SUMPRODUCT(LT_incl*(1),LT_unfunded)</f>
        <v>70425498.27</v>
      </c>
      <c r="K144" s="37" t="n">
        <f aca="false">SUMPRODUCT(LT_incl*(1),LT_navres)</f>
        <v>-35761255.0310469</v>
      </c>
      <c r="L144" s="39" t="n">
        <f aca="false">IFERROR(SUMPRODUCT(LT_incl*(1),LT_upb,LT_eff)/SUMPRODUCT(LT_incl*(1)*ISNUMBER(LT_eff),LT_upb),0)</f>
        <v>0.0384104790702225</v>
      </c>
      <c r="M144" s="39" t="n">
        <f aca="false">IFERROR(SUMPRODUCT(LT_incl*(1),LT_upb,LT_coupon)/SUMPRODUCT(LT_incl*(1)*ISNUMBER(LT_coupon),LT_upb),0)</f>
        <v>0.0749104790702225</v>
      </c>
      <c r="N144" s="38" t="n">
        <f aca="false">IFERROR(SUMPRODUCT(LT_incl*(1),LT_upb,LT_ltv_asis)/SUMPRODUCT(LT_incl*(1)*ISNUMBER(LT_ltv_asis),LT_upb),0)</f>
        <v>0.685976245136614</v>
      </c>
      <c r="O144" s="38" t="n">
        <f aca="false">IFERROR(SUMPRODUCT(LT_incl*(1),LT_upb,LT_ltv_stab)/SUMPRODUCT(LT_incl*(1)*ISNUMBER(LT_ltv_stab),LT_upb),0)</f>
        <v>0.658970555756018</v>
      </c>
      <c r="P144" s="40" t="n">
        <f aca="false">IFERROR(SUMPRODUCT(LT_incl*(1),LT_upb,LT_seas)/SUMPRODUCT(LT_incl*(1)*ISNUMBER(LT_seas),LT_upb),0)</f>
        <v>26.0197171750702</v>
      </c>
      <c r="Q144" s="40" t="n">
        <f aca="false">IFERROR(SUMPRODUCT(LT_incl*(1),LT_upb,LT_rti)/SUMPRODUCT(LT_incl*(1)*ISNUMBER(LT_rti),LT_upb),0)</f>
        <v>10.7164396387939</v>
      </c>
      <c r="R144" s="40" t="n">
        <f aca="false">IFERROR(SUMPRODUCT(LT_incl*(1),LT_upb,LT_rte)/SUMPRODUCT(LT_incl*(1)*ISNUMBER(LT_rte),LT_upb),0)</f>
        <v>23.051497716819</v>
      </c>
      <c r="S144" s="38" t="n">
        <f aca="false">IFERROR(SUMPRODUCT(LT_incl*(1),LT_backdebt)/G144,0)</f>
        <v>0.628005362553862</v>
      </c>
      <c r="T144" s="38" t="n">
        <f aca="false">IFERROR(SUMPRODUCT(LT_incl*(1),LT_equity,LT_roe)/SUMPRODUCT(LT_incl*(1)*ISNUMBER(LT_roe),LT_equity),0)</f>
        <v>0.107961987212177</v>
      </c>
    </row>
    <row r="146" customFormat="false" ht="15" hidden="false" customHeight="false" outlineLevel="0" collapsed="false">
      <c r="B146" s="3" t="s">
        <v>146</v>
      </c>
      <c r="C146" s="4"/>
      <c r="D146" s="4"/>
      <c r="E146" s="4"/>
      <c r="F146" s="4"/>
      <c r="G146" s="4"/>
      <c r="H146" s="4"/>
      <c r="I146" s="4"/>
      <c r="J146" s="4"/>
      <c r="K146" s="4"/>
      <c r="L146" s="4"/>
      <c r="M146" s="4"/>
      <c r="N146" s="4"/>
      <c r="O146" s="4"/>
      <c r="P146" s="4"/>
      <c r="Q146" s="4"/>
      <c r="R146" s="4"/>
      <c r="S146" s="4"/>
      <c r="T146" s="4"/>
    </row>
    <row r="147" customFormat="false" ht="39.75" hidden="false" customHeight="true" outlineLevel="0" collapsed="false">
      <c r="B147" s="16" t="s">
        <v>147</v>
      </c>
      <c r="C147" s="17" t="s">
        <v>13</v>
      </c>
      <c r="D147" s="17" t="s">
        <v>64</v>
      </c>
      <c r="E147" s="17" t="s">
        <v>65</v>
      </c>
      <c r="F147" s="17" t="s">
        <v>66</v>
      </c>
      <c r="G147" s="17" t="s">
        <v>16</v>
      </c>
      <c r="H147" s="17" t="s">
        <v>46</v>
      </c>
      <c r="I147" s="17" t="s">
        <v>19</v>
      </c>
      <c r="J147" s="17" t="s">
        <v>28</v>
      </c>
      <c r="K147" s="17" t="s">
        <v>31</v>
      </c>
      <c r="L147" s="17" t="s">
        <v>7</v>
      </c>
      <c r="M147" s="17" t="s">
        <v>11</v>
      </c>
      <c r="N147" s="17" t="s">
        <v>23</v>
      </c>
      <c r="O147" s="17" t="s">
        <v>67</v>
      </c>
      <c r="P147" s="17" t="s">
        <v>5</v>
      </c>
      <c r="Q147" s="17" t="s">
        <v>68</v>
      </c>
      <c r="R147" s="17" t="s">
        <v>69</v>
      </c>
      <c r="S147" s="17" t="s">
        <v>56</v>
      </c>
      <c r="T147" s="17" t="s">
        <v>70</v>
      </c>
      <c r="V147" s="17" t="s">
        <v>148</v>
      </c>
      <c r="W147" s="17" t="s">
        <v>149</v>
      </c>
    </row>
    <row r="148" customFormat="false" ht="15" hidden="false" customHeight="false" outlineLevel="0" collapsed="false">
      <c r="B148" s="18" t="s">
        <v>150</v>
      </c>
      <c r="C148" s="26" t="n">
        <f aca="false">SUMPRODUCT(LT_incl*(ISNUMBER(LT_upb)*(LT_upb&gt;=$V148)*(LT_upb&lt;$W148)))</f>
        <v>10</v>
      </c>
      <c r="D148" s="23" t="n">
        <f aca="false">IFERROR(C148/StratLoans,0)</f>
        <v>0.0763358778625954</v>
      </c>
      <c r="E148" s="26" t="n">
        <f aca="false">SUMPRODUCT(LT_incl*(ISNUMBER(LT_upb)*(LT_upb&gt;=$V148)*(LT_upb&lt;$W148)),LT_units)</f>
        <v>2139</v>
      </c>
      <c r="F148" s="26" t="n">
        <f aca="false">SUMPRODUCT(LT_incl*(ISNUMBER(LT_upb)*(LT_upb&gt;=$V148)*(LT_upb&lt;$W148)),LT_beds)</f>
        <v>53</v>
      </c>
      <c r="G148" s="22" t="n">
        <f aca="false">SUMPRODUCT(LT_incl*(ISNUMBER(LT_upb)*(LT_upb&gt;=$V148)*(LT_upb&lt;$W148)),LT_upb)</f>
        <v>22894255.4</v>
      </c>
      <c r="H148" s="23" t="n">
        <f aca="false">IFERROR(G148/StratUPB,0)</f>
        <v>0.00616067947044595</v>
      </c>
      <c r="I148" s="22" t="n">
        <f aca="false">IFERROR(G148/C148,0)</f>
        <v>2289425.54</v>
      </c>
      <c r="J148" s="22" t="n">
        <f aca="false">SUMPRODUCT(LT_incl*(ISNUMBER(LT_upb)*(LT_upb&gt;=$V148)*(LT_upb&lt;$W148)),LT_unfunded)</f>
        <v>0</v>
      </c>
      <c r="K148" s="22" t="n">
        <f aca="false">SUMPRODUCT(LT_incl*(ISNUMBER(LT_upb)*(LT_upb&gt;=$V148)*(LT_upb&lt;$W148)),LT_navres)</f>
        <v>-357383.067330304</v>
      </c>
      <c r="L148" s="24" t="n">
        <f aca="false">IFERROR(SUMPRODUCT(LT_incl*(ISNUMBER(LT_upb)*(LT_upb&gt;=$V148)*(LT_upb&lt;$W148)),LT_upb,LT_eff)/SUMPRODUCT(LT_incl*(ISNUMBER(LT_upb)*(LT_upb&gt;=$V148)*(LT_upb&lt;$W148))*ISNUMBER(LT_eff),LT_upb),0)</f>
        <v>0.0721258831571347</v>
      </c>
      <c r="M148" s="24" t="n">
        <f aca="false">IFERROR(SUMPRODUCT(LT_incl*(ISNUMBER(LT_upb)*(LT_upb&gt;=$V148)*(LT_upb&lt;$W148)),LT_upb,LT_coupon)/SUMPRODUCT(LT_incl*(ISNUMBER(LT_upb)*(LT_upb&gt;=$V148)*(LT_upb&lt;$W148))*ISNUMBER(LT_coupon),LT_upb),0)</f>
        <v>0.108625883157135</v>
      </c>
      <c r="N148" s="23" t="n">
        <f aca="false">IFERROR(SUMPRODUCT(LT_incl*(ISNUMBER(LT_upb)*(LT_upb&gt;=$V148)*(LT_upb&lt;$W148)),LT_upb,LT_ltv_asis)/SUMPRODUCT(LT_incl*(ISNUMBER(LT_upb)*(LT_upb&gt;=$V148)*(LT_upb&lt;$W148))*ISNUMBER(LT_ltv_asis),LT_upb),0)</f>
        <v>0.7707293833133</v>
      </c>
      <c r="O148" s="23" t="n">
        <f aca="false">IFERROR(SUMPRODUCT(LT_incl*(ISNUMBER(LT_upb)*(LT_upb&gt;=$V148)*(LT_upb&lt;$W148)),LT_upb,LT_ltv_stab)/SUMPRODUCT(LT_incl*(ISNUMBER(LT_upb)*(LT_upb&gt;=$V148)*(LT_upb&lt;$W148))*ISNUMBER(LT_ltv_stab),LT_upb),0)</f>
        <v>0.77480772269406</v>
      </c>
      <c r="P148" s="25" t="n">
        <f aca="false">IFERROR(SUMPRODUCT(LT_incl*(ISNUMBER(LT_upb)*(LT_upb&gt;=$V148)*(LT_upb&lt;$W148)),LT_upb,LT_seas)/SUMPRODUCT(LT_incl*(ISNUMBER(LT_upb)*(LT_upb&gt;=$V148)*(LT_upb&lt;$W148))*ISNUMBER(LT_seas),LT_upb),0)</f>
        <v>54.8151185427957</v>
      </c>
      <c r="Q148" s="25" t="n">
        <f aca="false">IFERROR(SUMPRODUCT(LT_incl*(ISNUMBER(LT_upb)*(LT_upb&gt;=$V148)*(LT_upb&lt;$W148)),LT_upb,LT_rti)/SUMPRODUCT(LT_incl*(ISNUMBER(LT_upb)*(LT_upb&gt;=$V148)*(LT_upb&lt;$W148))*ISNUMBER(LT_rti),LT_upb),0)</f>
        <v>48.5518857435026</v>
      </c>
      <c r="R148" s="25" t="n">
        <f aca="false">IFERROR(SUMPRODUCT(LT_incl*(ISNUMBER(LT_upb)*(LT_upb&gt;=$V148)*(LT_upb&lt;$W148)),LT_upb,LT_rte)/SUMPRODUCT(LT_incl*(ISNUMBER(LT_upb)*(LT_upb&gt;=$V148)*(LT_upb&lt;$W148))*ISNUMBER(LT_rte),LT_upb),0)</f>
        <v>50.4732916744805</v>
      </c>
      <c r="S148" s="23" t="n">
        <f aca="false">IFERROR(SUMPRODUCT(LT_incl*(ISNUMBER(LT_upb)*(LT_upb&gt;=$V148)*(LT_upb&lt;$W148)),LT_backdebt)/G148,0)</f>
        <v>0</v>
      </c>
      <c r="T148" s="23" t="n">
        <f aca="false">IFERROR(SUMPRODUCT(LT_incl*(ISNUMBER(LT_upb)*(LT_upb&gt;=$V148)*(LT_upb&lt;$W148)),LT_equity,LT_roe)/SUMPRODUCT(LT_incl*(ISNUMBER(LT_upb)*(LT_upb&gt;=$V148)*(LT_upb&lt;$W148))*ISNUMBER(LT_roe),LT_equity),0)</f>
        <v>0.108625883157135</v>
      </c>
      <c r="V148" s="46" t="n">
        <v>-1000000000000</v>
      </c>
      <c r="W148" s="46" t="n">
        <v>5000000</v>
      </c>
    </row>
    <row r="149" customFormat="false" ht="15" hidden="false" customHeight="false" outlineLevel="0" collapsed="false">
      <c r="B149" s="27" t="s">
        <v>151</v>
      </c>
      <c r="C149" s="44" t="n">
        <f aca="false">SUMPRODUCT(LT_incl*(ISNUMBER(LT_upb)*(LT_upb&gt;=$V149)*(LT_upb&lt;$W149)))</f>
        <v>17</v>
      </c>
      <c r="D149" s="32" t="n">
        <f aca="false">IFERROR(C149/StratLoans,0)</f>
        <v>0.129770992366412</v>
      </c>
      <c r="E149" s="44" t="n">
        <f aca="false">SUMPRODUCT(LT_incl*(ISNUMBER(LT_upb)*(LT_upb&gt;=$V149)*(LT_upb&lt;$W149)),LT_units)</f>
        <v>1958</v>
      </c>
      <c r="F149" s="44" t="n">
        <f aca="false">SUMPRODUCT(LT_incl*(ISNUMBER(LT_upb)*(LT_upb&gt;=$V149)*(LT_upb&lt;$W149)),LT_beds)</f>
        <v>1627</v>
      </c>
      <c r="G149" s="31" t="n">
        <f aca="false">SUMPRODUCT(LT_incl*(ISNUMBER(LT_upb)*(LT_upb&gt;=$V149)*(LT_upb&lt;$W149)),LT_upb)</f>
        <v>139549230</v>
      </c>
      <c r="H149" s="32" t="n">
        <f aca="false">IFERROR(G149/StratUPB,0)</f>
        <v>0.0375516941414719</v>
      </c>
      <c r="I149" s="31" t="n">
        <f aca="false">IFERROR(G149/C149,0)</f>
        <v>8208778.23529412</v>
      </c>
      <c r="J149" s="31" t="n">
        <f aca="false">SUMPRODUCT(LT_incl*(ISNUMBER(LT_upb)*(LT_upb&gt;=$V149)*(LT_upb&lt;$W149)),LT_unfunded)</f>
        <v>0</v>
      </c>
      <c r="K149" s="31" t="n">
        <f aca="false">SUMPRODUCT(LT_incl*(ISNUMBER(LT_upb)*(LT_upb&gt;=$V149)*(LT_upb&lt;$W149)),LT_navres)</f>
        <v>400000</v>
      </c>
      <c r="L149" s="33" t="n">
        <f aca="false">IFERROR(SUMPRODUCT(LT_incl*(ISNUMBER(LT_upb)*(LT_upb&gt;=$V149)*(LT_upb&lt;$W149)),LT_upb,LT_eff)/SUMPRODUCT(LT_incl*(ISNUMBER(LT_upb)*(LT_upb&gt;=$V149)*(LT_upb&lt;$W149))*ISNUMBER(LT_eff),LT_upb),0)</f>
        <v>0.0586109877137982</v>
      </c>
      <c r="M149" s="33" t="n">
        <f aca="false">IFERROR(SUMPRODUCT(LT_incl*(ISNUMBER(LT_upb)*(LT_upb&gt;=$V149)*(LT_upb&lt;$W149)),LT_upb,LT_coupon)/SUMPRODUCT(LT_incl*(ISNUMBER(LT_upb)*(LT_upb&gt;=$V149)*(LT_upb&lt;$W149))*ISNUMBER(LT_coupon),LT_upb),0)</f>
        <v>0.0951109877137982</v>
      </c>
      <c r="N149" s="32" t="n">
        <f aca="false">IFERROR(SUMPRODUCT(LT_incl*(ISNUMBER(LT_upb)*(LT_upb&gt;=$V149)*(LT_upb&lt;$W149)),LT_upb,LT_ltv_asis)/SUMPRODUCT(LT_incl*(ISNUMBER(LT_upb)*(LT_upb&gt;=$V149)*(LT_upb&lt;$W149))*ISNUMBER(LT_ltv_asis),LT_upb),0)</f>
        <v>0.681238634403812</v>
      </c>
      <c r="O149" s="32" t="n">
        <f aca="false">IFERROR(SUMPRODUCT(LT_incl*(ISNUMBER(LT_upb)*(LT_upb&gt;=$V149)*(LT_upb&lt;$W149)),LT_upb,LT_ltv_stab)/SUMPRODUCT(LT_incl*(ISNUMBER(LT_upb)*(LT_upb&gt;=$V149)*(LT_upb&lt;$W149))*ISNUMBER(LT_ltv_stab),LT_upb),0)</f>
        <v>0.617818018403049</v>
      </c>
      <c r="P149" s="34" t="n">
        <f aca="false">IFERROR(SUMPRODUCT(LT_incl*(ISNUMBER(LT_upb)*(LT_upb&gt;=$V149)*(LT_upb&lt;$W149)),LT_upb,LT_seas)/SUMPRODUCT(LT_incl*(ISNUMBER(LT_upb)*(LT_upb&gt;=$V149)*(LT_upb&lt;$W149))*ISNUMBER(LT_seas),LT_upb),0)</f>
        <v>20.7845995348348</v>
      </c>
      <c r="Q149" s="34" t="n">
        <f aca="false">IFERROR(SUMPRODUCT(LT_incl*(ISNUMBER(LT_upb)*(LT_upb&gt;=$V149)*(LT_upb&lt;$W149)),LT_upb,LT_rti)/SUMPRODUCT(LT_incl*(ISNUMBER(LT_upb)*(LT_upb&gt;=$V149)*(LT_upb&lt;$W149))*ISNUMBER(LT_rti),LT_upb),0)</f>
        <v>18.0771160269146</v>
      </c>
      <c r="R149" s="34" t="n">
        <f aca="false">IFERROR(SUMPRODUCT(LT_incl*(ISNUMBER(LT_upb)*(LT_upb&gt;=$V149)*(LT_upb&lt;$W149)),LT_upb,LT_rte)/SUMPRODUCT(LT_incl*(ISNUMBER(LT_upb)*(LT_upb&gt;=$V149)*(LT_upb&lt;$W149))*ISNUMBER(LT_rte),LT_upb),0)</f>
        <v>28.238433168656</v>
      </c>
      <c r="S149" s="32" t="n">
        <f aca="false">IFERROR(SUMPRODUCT(LT_incl*(ISNUMBER(LT_upb)*(LT_upb&gt;=$V149)*(LT_upb&lt;$W149)),LT_backdebt)/G149,0)</f>
        <v>0.504907086689581</v>
      </c>
      <c r="T149" s="32" t="n">
        <f aca="false">IFERROR(SUMPRODUCT(LT_incl*(ISNUMBER(LT_upb)*(LT_upb&gt;=$V149)*(LT_upb&lt;$W149)),LT_equity,LT_roe)/SUMPRODUCT(LT_incl*(ISNUMBER(LT_upb)*(LT_upb&gt;=$V149)*(LT_upb&lt;$W149))*ISNUMBER(LT_roe),LT_equity),0)</f>
        <v>0.133466281889658</v>
      </c>
      <c r="V149" s="46" t="n">
        <v>5000000</v>
      </c>
      <c r="W149" s="46" t="n">
        <v>10000000</v>
      </c>
    </row>
    <row r="150" customFormat="false" ht="15" hidden="false" customHeight="false" outlineLevel="0" collapsed="false">
      <c r="B150" s="18" t="s">
        <v>152</v>
      </c>
      <c r="C150" s="26" t="n">
        <f aca="false">SUMPRODUCT(LT_incl*(ISNUMBER(LT_upb)*(LT_upb&gt;=$V150)*(LT_upb&lt;$W150)))</f>
        <v>44</v>
      </c>
      <c r="D150" s="23" t="n">
        <f aca="false">IFERROR(C150/StratLoans,0)</f>
        <v>0.33587786259542</v>
      </c>
      <c r="E150" s="26" t="n">
        <f aca="false">SUMPRODUCT(LT_incl*(ISNUMBER(LT_upb)*(LT_upb&gt;=$V150)*(LT_upb&lt;$W150)),LT_units)</f>
        <v>4759</v>
      </c>
      <c r="F150" s="26" t="n">
        <f aca="false">SUMPRODUCT(LT_incl*(ISNUMBER(LT_upb)*(LT_upb&gt;=$V150)*(LT_upb&lt;$W150)),LT_beds)</f>
        <v>2140</v>
      </c>
      <c r="G150" s="22" t="n">
        <f aca="false">SUMPRODUCT(LT_incl*(ISNUMBER(LT_upb)*(LT_upb&gt;=$V150)*(LT_upb&lt;$W150)),LT_upb)</f>
        <v>771180652.12</v>
      </c>
      <c r="H150" s="23" t="n">
        <f aca="false">IFERROR(G150/StratUPB,0)</f>
        <v>0.207519167079826</v>
      </c>
      <c r="I150" s="22" t="n">
        <f aca="false">IFERROR(G150/C150,0)</f>
        <v>17526833.0027273</v>
      </c>
      <c r="J150" s="22" t="n">
        <f aca="false">SUMPRODUCT(LT_incl*(ISNUMBER(LT_upb)*(LT_upb&gt;=$V150)*(LT_upb&lt;$W150)),LT_unfunded)</f>
        <v>18624642.92</v>
      </c>
      <c r="K150" s="22" t="n">
        <f aca="false">SUMPRODUCT(LT_incl*(ISNUMBER(LT_upb)*(LT_upb&gt;=$V150)*(LT_upb&lt;$W150)),LT_navres)</f>
        <v>-6301234.30442771</v>
      </c>
      <c r="L150" s="24" t="n">
        <f aca="false">IFERROR(SUMPRODUCT(LT_incl*(ISNUMBER(LT_upb)*(LT_upb&gt;=$V150)*(LT_upb&lt;$W150)),LT_upb,LT_eff)/SUMPRODUCT(LT_incl*(ISNUMBER(LT_upb)*(LT_upb&gt;=$V150)*(LT_upb&lt;$W150))*ISNUMBER(LT_eff),LT_upb),0)</f>
        <v>0.0401330405894883</v>
      </c>
      <c r="M150" s="24" t="n">
        <f aca="false">IFERROR(SUMPRODUCT(LT_incl*(ISNUMBER(LT_upb)*(LT_upb&gt;=$V150)*(LT_upb&lt;$W150)),LT_upb,LT_coupon)/SUMPRODUCT(LT_incl*(ISNUMBER(LT_upb)*(LT_upb&gt;=$V150)*(LT_upb&lt;$W150))*ISNUMBER(LT_coupon),LT_upb),0)</f>
        <v>0.0766330405894883</v>
      </c>
      <c r="N150" s="23" t="n">
        <f aca="false">IFERROR(SUMPRODUCT(LT_incl*(ISNUMBER(LT_upb)*(LT_upb&gt;=$V150)*(LT_upb&lt;$W150)),LT_upb,LT_ltv_asis)/SUMPRODUCT(LT_incl*(ISNUMBER(LT_upb)*(LT_upb&gt;=$V150)*(LT_upb&lt;$W150))*ISNUMBER(LT_ltv_asis),LT_upb),0)</f>
        <v>0.687456608318539</v>
      </c>
      <c r="O150" s="23" t="n">
        <f aca="false">IFERROR(SUMPRODUCT(LT_incl*(ISNUMBER(LT_upb)*(LT_upb&gt;=$V150)*(LT_upb&lt;$W150)),LT_upb,LT_ltv_stab)/SUMPRODUCT(LT_incl*(ISNUMBER(LT_upb)*(LT_upb&gt;=$V150)*(LT_upb&lt;$W150))*ISNUMBER(LT_ltv_stab),LT_upb),0)</f>
        <v>0.66821789170697</v>
      </c>
      <c r="P150" s="25" t="n">
        <f aca="false">IFERROR(SUMPRODUCT(LT_incl*(ISNUMBER(LT_upb)*(LT_upb&gt;=$V150)*(LT_upb&lt;$W150)),LT_upb,LT_seas)/SUMPRODUCT(LT_incl*(ISNUMBER(LT_upb)*(LT_upb&gt;=$V150)*(LT_upb&lt;$W150))*ISNUMBER(LT_seas),LT_upb),0)</f>
        <v>25.2850313661119</v>
      </c>
      <c r="Q150" s="25" t="n">
        <f aca="false">IFERROR(SUMPRODUCT(LT_incl*(ISNUMBER(LT_upb)*(LT_upb&gt;=$V150)*(LT_upb&lt;$W150)),LT_upb,LT_rti)/SUMPRODUCT(LT_incl*(ISNUMBER(LT_upb)*(LT_upb&gt;=$V150)*(LT_upb&lt;$W150))*ISNUMBER(LT_rti),LT_upb),0)</f>
        <v>10.0410360287469</v>
      </c>
      <c r="R150" s="25" t="n">
        <f aca="false">IFERROR(SUMPRODUCT(LT_incl*(ISNUMBER(LT_upb)*(LT_upb&gt;=$V150)*(LT_upb&lt;$W150)),LT_upb,LT_rte)/SUMPRODUCT(LT_incl*(ISNUMBER(LT_upb)*(LT_upb&gt;=$V150)*(LT_upb&lt;$W150))*ISNUMBER(LT_rte),LT_upb),0)</f>
        <v>20.5623714930436</v>
      </c>
      <c r="S150" s="23" t="n">
        <f aca="false">IFERROR(SUMPRODUCT(LT_incl*(ISNUMBER(LT_upb)*(LT_upb&gt;=$V150)*(LT_upb&lt;$W150)),LT_backdebt)/G150,0)</f>
        <v>0.57984314022761</v>
      </c>
      <c r="T150" s="23" t="n">
        <f aca="false">IFERROR(SUMPRODUCT(LT_incl*(ISNUMBER(LT_upb)*(LT_upb&gt;=$V150)*(LT_upb&lt;$W150)),LT_equity,LT_roe)/SUMPRODUCT(LT_incl*(ISNUMBER(LT_upb)*(LT_upb&gt;=$V150)*(LT_upb&lt;$W150))*ISNUMBER(LT_roe),LT_equity),0)</f>
        <v>0.105737458850646</v>
      </c>
      <c r="V150" s="46" t="n">
        <v>10000000</v>
      </c>
      <c r="W150" s="46" t="n">
        <v>25000000</v>
      </c>
    </row>
    <row r="151" customFormat="false" ht="15" hidden="false" customHeight="false" outlineLevel="0" collapsed="false">
      <c r="B151" s="27" t="s">
        <v>153</v>
      </c>
      <c r="C151" s="44" t="n">
        <f aca="false">SUMPRODUCT(LT_incl*(ISNUMBER(LT_upb)*(LT_upb&gt;=$V151)*(LT_upb&lt;$W151)))</f>
        <v>40</v>
      </c>
      <c r="D151" s="32" t="n">
        <f aca="false">IFERROR(C151/StratLoans,0)</f>
        <v>0.305343511450382</v>
      </c>
      <c r="E151" s="44" t="n">
        <f aca="false">SUMPRODUCT(LT_incl*(ISNUMBER(LT_upb)*(LT_upb&gt;=$V151)*(LT_upb&lt;$W151)),LT_units)</f>
        <v>6582</v>
      </c>
      <c r="F151" s="44" t="n">
        <f aca="false">SUMPRODUCT(LT_incl*(ISNUMBER(LT_upb)*(LT_upb&gt;=$V151)*(LT_upb&lt;$W151)),LT_beds)</f>
        <v>3874</v>
      </c>
      <c r="G151" s="31" t="n">
        <f aca="false">SUMPRODUCT(LT_incl*(ISNUMBER(LT_upb)*(LT_upb&gt;=$V151)*(LT_upb&lt;$W151)),LT_upb)</f>
        <v>1373162186.26</v>
      </c>
      <c r="H151" s="32" t="n">
        <f aca="false">IFERROR(G151/StratUPB,0)</f>
        <v>0.369508068407617</v>
      </c>
      <c r="I151" s="31" t="n">
        <f aca="false">IFERROR(G151/C151,0)</f>
        <v>34329054.6565</v>
      </c>
      <c r="J151" s="31" t="n">
        <f aca="false">SUMPRODUCT(LT_incl*(ISNUMBER(LT_upb)*(LT_upb&gt;=$V151)*(LT_upb&lt;$W151)),LT_unfunded)</f>
        <v>43991770.45</v>
      </c>
      <c r="K151" s="31" t="n">
        <f aca="false">SUMPRODUCT(LT_incl*(ISNUMBER(LT_upb)*(LT_upb&gt;=$V151)*(LT_upb&lt;$W151)),LT_navres)</f>
        <v>-14798342.6998498</v>
      </c>
      <c r="L151" s="33" t="n">
        <f aca="false">IFERROR(SUMPRODUCT(LT_incl*(ISNUMBER(LT_upb)*(LT_upb&gt;=$V151)*(LT_upb&lt;$W151)),LT_upb,LT_eff)/SUMPRODUCT(LT_incl*(ISNUMBER(LT_upb)*(LT_upb&gt;=$V151)*(LT_upb&lt;$W151))*ISNUMBER(LT_eff),LT_upb),0)</f>
        <v>0.0394010051418688</v>
      </c>
      <c r="M151" s="33" t="n">
        <f aca="false">IFERROR(SUMPRODUCT(LT_incl*(ISNUMBER(LT_upb)*(LT_upb&gt;=$V151)*(LT_upb&lt;$W151)),LT_upb,LT_coupon)/SUMPRODUCT(LT_incl*(ISNUMBER(LT_upb)*(LT_upb&gt;=$V151)*(LT_upb&lt;$W151))*ISNUMBER(LT_coupon),LT_upb),0)</f>
        <v>0.0759010051418688</v>
      </c>
      <c r="N151" s="32" t="n">
        <f aca="false">IFERROR(SUMPRODUCT(LT_incl*(ISNUMBER(LT_upb)*(LT_upb&gt;=$V151)*(LT_upb&lt;$W151)),LT_upb,LT_ltv_asis)/SUMPRODUCT(LT_incl*(ISNUMBER(LT_upb)*(LT_upb&gt;=$V151)*(LT_upb&lt;$W151))*ISNUMBER(LT_ltv_asis),LT_upb),0)</f>
        <v>0.657572146290074</v>
      </c>
      <c r="O151" s="32" t="n">
        <f aca="false">IFERROR(SUMPRODUCT(LT_incl*(ISNUMBER(LT_upb)*(LT_upb&gt;=$V151)*(LT_upb&lt;$W151)),LT_upb,LT_ltv_stab)/SUMPRODUCT(LT_incl*(ISNUMBER(LT_upb)*(LT_upb&gt;=$V151)*(LT_upb&lt;$W151))*ISNUMBER(LT_ltv_stab),LT_upb),0)</f>
        <v>0.654891810932616</v>
      </c>
      <c r="P151" s="34" t="n">
        <f aca="false">IFERROR(SUMPRODUCT(LT_incl*(ISNUMBER(LT_upb)*(LT_upb&gt;=$V151)*(LT_upb&lt;$W151)),LT_upb,LT_seas)/SUMPRODUCT(LT_incl*(ISNUMBER(LT_upb)*(LT_upb&gt;=$V151)*(LT_upb&lt;$W151))*ISNUMBER(LT_seas),LT_upb),0)</f>
        <v>26.6304740727634</v>
      </c>
      <c r="Q151" s="34" t="n">
        <f aca="false">IFERROR(SUMPRODUCT(LT_incl*(ISNUMBER(LT_upb)*(LT_upb&gt;=$V151)*(LT_upb&lt;$W151)),LT_upb,LT_rti)/SUMPRODUCT(LT_incl*(ISNUMBER(LT_upb)*(LT_upb&gt;=$V151)*(LT_upb&lt;$W151))*ISNUMBER(LT_rti),LT_upb),0)</f>
        <v>10.588559940942</v>
      </c>
      <c r="R151" s="34" t="n">
        <f aca="false">IFERROR(SUMPRODUCT(LT_incl*(ISNUMBER(LT_upb)*(LT_upb&gt;=$V151)*(LT_upb&lt;$W151)),LT_upb,LT_rte)/SUMPRODUCT(LT_incl*(ISNUMBER(LT_upb)*(LT_upb&gt;=$V151)*(LT_upb&lt;$W151))*ISNUMBER(LT_rte),LT_upb),0)</f>
        <v>21.3209536135257</v>
      </c>
      <c r="S151" s="32" t="n">
        <f aca="false">IFERROR(SUMPRODUCT(LT_incl*(ISNUMBER(LT_upb)*(LT_upb&gt;=$V151)*(LT_upb&lt;$W151)),LT_backdebt)/G151,0)</f>
        <v>0.61888526415996</v>
      </c>
      <c r="T151" s="32" t="n">
        <f aca="false">IFERROR(SUMPRODUCT(LT_incl*(ISNUMBER(LT_upb)*(LT_upb&gt;=$V151)*(LT_upb&lt;$W151)),LT_equity,LT_roe)/SUMPRODUCT(LT_incl*(ISNUMBER(LT_upb)*(LT_upb&gt;=$V151)*(LT_upb&lt;$W151))*ISNUMBER(LT_roe),LT_equity),0)</f>
        <v>0.107635816720959</v>
      </c>
      <c r="V151" s="46" t="n">
        <v>25000000</v>
      </c>
      <c r="W151" s="46" t="n">
        <v>50000000</v>
      </c>
    </row>
    <row r="152" customFormat="false" ht="15" hidden="false" customHeight="false" outlineLevel="0" collapsed="false">
      <c r="B152" s="18" t="s">
        <v>154</v>
      </c>
      <c r="C152" s="26" t="n">
        <f aca="false">SUMPRODUCT(LT_incl*(ISNUMBER(LT_upb)*(LT_upb&gt;=$V152)*(LT_upb&lt;$W152)))</f>
        <v>15</v>
      </c>
      <c r="D152" s="23" t="n">
        <f aca="false">IFERROR(C152/StratLoans,0)</f>
        <v>0.114503816793893</v>
      </c>
      <c r="E152" s="26" t="n">
        <f aca="false">SUMPRODUCT(LT_incl*(ISNUMBER(LT_upb)*(LT_upb&gt;=$V152)*(LT_upb&lt;$W152)),LT_units)</f>
        <v>4860</v>
      </c>
      <c r="F152" s="26" t="n">
        <f aca="false">SUMPRODUCT(LT_incl*(ISNUMBER(LT_upb)*(LT_upb&gt;=$V152)*(LT_upb&lt;$W152)),LT_beds)</f>
        <v>1032</v>
      </c>
      <c r="G152" s="22" t="n">
        <f aca="false">SUMPRODUCT(LT_incl*(ISNUMBER(LT_upb)*(LT_upb&gt;=$V152)*(LT_upb&lt;$W152)),LT_upb)</f>
        <v>922103669.52</v>
      </c>
      <c r="H152" s="23" t="n">
        <f aca="false">IFERROR(G152/StratUPB,0)</f>
        <v>0.248131465609261</v>
      </c>
      <c r="I152" s="22" t="n">
        <f aca="false">IFERROR(G152/C152,0)</f>
        <v>61473577.968</v>
      </c>
      <c r="J152" s="22" t="n">
        <f aca="false">SUMPRODUCT(LT_incl*(ISNUMBER(LT_upb)*(LT_upb&gt;=$V152)*(LT_upb&lt;$W152)),LT_unfunded)</f>
        <v>7809084.9</v>
      </c>
      <c r="K152" s="22" t="n">
        <f aca="false">SUMPRODUCT(LT_incl*(ISNUMBER(LT_upb)*(LT_upb&gt;=$V152)*(LT_upb&lt;$W152)),LT_navres)</f>
        <v>-14704294.9594391</v>
      </c>
      <c r="L152" s="24" t="n">
        <f aca="false">IFERROR(SUMPRODUCT(LT_incl*(ISNUMBER(LT_upb)*(LT_upb&gt;=$V152)*(LT_upb&lt;$W152)),LT_upb,LT_eff)/SUMPRODUCT(LT_incl*(ISNUMBER(LT_upb)*(LT_upb&gt;=$V152)*(LT_upb&lt;$W152))*ISNUMBER(LT_eff),LT_upb),0)</f>
        <v>0.0344710227705808</v>
      </c>
      <c r="M152" s="24" t="n">
        <f aca="false">IFERROR(SUMPRODUCT(LT_incl*(ISNUMBER(LT_upb)*(LT_upb&gt;=$V152)*(LT_upb&lt;$W152)),LT_upb,LT_coupon)/SUMPRODUCT(LT_incl*(ISNUMBER(LT_upb)*(LT_upb&gt;=$V152)*(LT_upb&lt;$W152))*ISNUMBER(LT_coupon),LT_upb),0)</f>
        <v>0.0709710227705808</v>
      </c>
      <c r="N152" s="23" t="n">
        <f aca="false">IFERROR(SUMPRODUCT(LT_incl*(ISNUMBER(LT_upb)*(LT_upb&gt;=$V152)*(LT_upb&lt;$W152)),LT_upb,LT_ltv_asis)/SUMPRODUCT(LT_incl*(ISNUMBER(LT_upb)*(LT_upb&gt;=$V152)*(LT_upb&lt;$W152))*ISNUMBER(LT_ltv_asis),LT_upb),0)</f>
        <v>0.723353119316382</v>
      </c>
      <c r="O152" s="23" t="n">
        <f aca="false">IFERROR(SUMPRODUCT(LT_incl*(ISNUMBER(LT_upb)*(LT_upb&gt;=$V152)*(LT_upb&lt;$W152)),LT_upb,LT_ltv_stab)/SUMPRODUCT(LT_incl*(ISNUMBER(LT_upb)*(LT_upb&gt;=$V152)*(LT_upb&lt;$W152))*ISNUMBER(LT_ltv_stab),LT_upb),0)</f>
        <v>0.669295984849475</v>
      </c>
      <c r="P152" s="25" t="n">
        <f aca="false">IFERROR(SUMPRODUCT(LT_incl*(ISNUMBER(LT_upb)*(LT_upb&gt;=$V152)*(LT_upb&lt;$W152)),LT_upb,LT_seas)/SUMPRODUCT(LT_incl*(ISNUMBER(LT_upb)*(LT_upb&gt;=$V152)*(LT_upb&lt;$W152))*ISNUMBER(LT_seas),LT_upb),0)</f>
        <v>29.1976404322217</v>
      </c>
      <c r="Q152" s="25" t="n">
        <f aca="false">IFERROR(SUMPRODUCT(LT_incl*(ISNUMBER(LT_upb)*(LT_upb&gt;=$V152)*(LT_upb&lt;$W152)),LT_upb,LT_rti)/SUMPRODUCT(LT_incl*(ISNUMBER(LT_upb)*(LT_upb&gt;=$V152)*(LT_upb&lt;$W152))*ISNUMBER(LT_rti),LT_upb),0)</f>
        <v>6.69197892629324</v>
      </c>
      <c r="R152" s="25" t="n">
        <f aca="false">IFERROR(SUMPRODUCT(LT_incl*(ISNUMBER(LT_upb)*(LT_upb&gt;=$V152)*(LT_upb&lt;$W152)),LT_upb,LT_rte)/SUMPRODUCT(LT_incl*(ISNUMBER(LT_upb)*(LT_upb&gt;=$V152)*(LT_upb&lt;$W152))*ISNUMBER(LT_rte),LT_upb),0)</f>
        <v>20.0589500073127</v>
      </c>
      <c r="S152" s="23" t="n">
        <f aca="false">IFERROR(SUMPRODUCT(LT_incl*(ISNUMBER(LT_upb)*(LT_upb&gt;=$V152)*(LT_upb&lt;$W152)),LT_backdebt)/G152,0)</f>
        <v>0.620595062193153</v>
      </c>
      <c r="T152" s="23" t="n">
        <f aca="false">IFERROR(SUMPRODUCT(LT_incl*(ISNUMBER(LT_upb)*(LT_upb&gt;=$V152)*(LT_upb&lt;$W152)),LT_equity,LT_roe)/SUMPRODUCT(LT_incl*(ISNUMBER(LT_upb)*(LT_upb&gt;=$V152)*(LT_upb&lt;$W152))*ISNUMBER(LT_roe),LT_equity),0)</f>
        <v>0.0979460781769037</v>
      </c>
      <c r="V152" s="46" t="n">
        <v>50000000</v>
      </c>
      <c r="W152" s="46" t="n">
        <v>75000000</v>
      </c>
    </row>
    <row r="153" customFormat="false" ht="15" hidden="false" customHeight="false" outlineLevel="0" collapsed="false">
      <c r="B153" s="27" t="s">
        <v>155</v>
      </c>
      <c r="C153" s="44" t="n">
        <f aca="false">SUMPRODUCT(LT_incl*(ISNUMBER(LT_upb)*(LT_upb&gt;=$V153)*(LT_upb&lt;$W153)))</f>
        <v>3</v>
      </c>
      <c r="D153" s="32" t="n">
        <f aca="false">IFERROR(C153/StratLoans,0)</f>
        <v>0.0229007633587786</v>
      </c>
      <c r="E153" s="44" t="n">
        <f aca="false">SUMPRODUCT(LT_incl*(ISNUMBER(LT_upb)*(LT_upb&gt;=$V153)*(LT_upb&lt;$W153)),LT_units)</f>
        <v>995</v>
      </c>
      <c r="F153" s="44" t="n">
        <f aca="false">SUMPRODUCT(LT_incl*(ISNUMBER(LT_upb)*(LT_upb&gt;=$V153)*(LT_upb&lt;$W153)),LT_beds)</f>
        <v>0</v>
      </c>
      <c r="G153" s="31" t="n">
        <f aca="false">SUMPRODUCT(LT_incl*(ISNUMBER(LT_upb)*(LT_upb&gt;=$V153)*(LT_upb&lt;$W153)),LT_upb)</f>
        <v>247000000</v>
      </c>
      <c r="H153" s="32" t="n">
        <f aca="false">IFERROR(G153/StratUPB,0)</f>
        <v>0.0664659235521654</v>
      </c>
      <c r="I153" s="31" t="n">
        <f aca="false">IFERROR(G153/C153,0)</f>
        <v>82333333.3333333</v>
      </c>
      <c r="J153" s="31" t="n">
        <f aca="false">SUMPRODUCT(LT_incl*(ISNUMBER(LT_upb)*(LT_upb&gt;=$V153)*(LT_upb&lt;$W153)),LT_unfunded)</f>
        <v>0</v>
      </c>
      <c r="K153" s="31" t="n">
        <f aca="false">SUMPRODUCT(LT_incl*(ISNUMBER(LT_upb)*(LT_upb&gt;=$V153)*(LT_upb&lt;$W153)),LT_navres)</f>
        <v>0</v>
      </c>
      <c r="L153" s="33" t="n">
        <f aca="false">IFERROR(SUMPRODUCT(LT_incl*(ISNUMBER(LT_upb)*(LT_upb&gt;=$V153)*(LT_upb&lt;$W153)),LT_upb,LT_eff)/SUMPRODUCT(LT_incl*(ISNUMBER(LT_upb)*(LT_upb&gt;=$V153)*(LT_upb&lt;$W153))*ISNUMBER(LT_eff),LT_upb),0)</f>
        <v>0.035668016194332</v>
      </c>
      <c r="M153" s="33" t="n">
        <f aca="false">IFERROR(SUMPRODUCT(LT_incl*(ISNUMBER(LT_upb)*(LT_upb&gt;=$V153)*(LT_upb&lt;$W153)),LT_upb,LT_coupon)/SUMPRODUCT(LT_incl*(ISNUMBER(LT_upb)*(LT_upb&gt;=$V153)*(LT_upb&lt;$W153))*ISNUMBER(LT_coupon),LT_upb),0)</f>
        <v>0.072168016194332</v>
      </c>
      <c r="N153" s="32" t="n">
        <f aca="false">IFERROR(SUMPRODUCT(LT_incl*(ISNUMBER(LT_upb)*(LT_upb&gt;=$V153)*(LT_upb&lt;$W153)),LT_upb,LT_ltv_asis)/SUMPRODUCT(LT_incl*(ISNUMBER(LT_upb)*(LT_upb&gt;=$V153)*(LT_upb&lt;$W153))*ISNUMBER(LT_ltv_asis),LT_upb),0)</f>
        <v>0.714155626806543</v>
      </c>
      <c r="O153" s="32" t="n">
        <f aca="false">IFERROR(SUMPRODUCT(LT_incl*(ISNUMBER(LT_upb)*(LT_upb&gt;=$V153)*(LT_upb&lt;$W153)),LT_upb,LT_ltv_stab)/SUMPRODUCT(LT_incl*(ISNUMBER(LT_upb)*(LT_upb&gt;=$V153)*(LT_upb&lt;$W153))*ISNUMBER(LT_ltv_stab),LT_upb),0)</f>
        <v>0.666866108427353</v>
      </c>
      <c r="P153" s="34" t="n">
        <f aca="false">IFERROR(SUMPRODUCT(LT_incl*(ISNUMBER(LT_upb)*(LT_upb&gt;=$V153)*(LT_upb&lt;$W153)),LT_upb,LT_seas)/SUMPRODUCT(LT_incl*(ISNUMBER(LT_upb)*(LT_upb&gt;=$V153)*(LT_upb&lt;$W153))*ISNUMBER(LT_seas),LT_upb),0)</f>
        <v>31.9425383867187</v>
      </c>
      <c r="Q153" s="34" t="n">
        <f aca="false">IFERROR(SUMPRODUCT(LT_incl*(ISNUMBER(LT_upb)*(LT_upb&gt;=$V153)*(LT_upb&lt;$W153)),LT_upb,LT_rti)/SUMPRODUCT(LT_incl*(ISNUMBER(LT_upb)*(LT_upb&gt;=$V153)*(LT_upb&lt;$W153))*ISNUMBER(LT_rti),LT_upb),0)</f>
        <v>8.54555279368853</v>
      </c>
      <c r="R153" s="34" t="n">
        <f aca="false">IFERROR(SUMPRODUCT(LT_incl*(ISNUMBER(LT_upb)*(LT_upb&gt;=$V153)*(LT_upb&lt;$W153)),LT_upb,LT_rte)/SUMPRODUCT(LT_incl*(ISNUMBER(LT_upb)*(LT_upb&gt;=$V153)*(LT_upb&lt;$W153))*ISNUMBER(LT_rte),LT_upb),0)</f>
        <v>22.5381206926652</v>
      </c>
      <c r="S153" s="32" t="n">
        <f aca="false">IFERROR(SUMPRODUCT(LT_incl*(ISNUMBER(LT_upb)*(LT_upb&gt;=$V153)*(LT_upb&lt;$W153)),LT_backdebt)/G153,0)</f>
        <v>0.817170896242915</v>
      </c>
      <c r="T153" s="32" t="n">
        <f aca="false">IFERROR(SUMPRODUCT(LT_incl*(ISNUMBER(LT_upb)*(LT_upb&gt;=$V153)*(LT_upb&lt;$W153)),LT_equity,LT_roe)/SUMPRODUCT(LT_incl*(ISNUMBER(LT_upb)*(LT_upb&gt;=$V153)*(LT_upb&lt;$W153))*ISNUMBER(LT_roe),LT_equity),0)</f>
        <v>0.154897902032679</v>
      </c>
      <c r="V153" s="46" t="n">
        <v>75000000</v>
      </c>
      <c r="W153" s="46" t="n">
        <v>100000000</v>
      </c>
    </row>
    <row r="154" customFormat="false" ht="15" hidden="false" customHeight="false" outlineLevel="0" collapsed="false">
      <c r="B154" s="18" t="s">
        <v>156</v>
      </c>
      <c r="C154" s="26" t="n">
        <f aca="false">SUMPRODUCT(LT_incl*(ISNUMBER(LT_upb)*(LT_upb&gt;=$V154)*(LT_upb&lt;$W154)))</f>
        <v>2</v>
      </c>
      <c r="D154" s="23" t="n">
        <f aca="false">IFERROR(C154/StratLoans,0)</f>
        <v>0.0152671755725191</v>
      </c>
      <c r="E154" s="26" t="n">
        <f aca="false">SUMPRODUCT(LT_incl*(ISNUMBER(LT_upb)*(LT_upb&gt;=$V154)*(LT_upb&lt;$W154)),LT_units)</f>
        <v>1067</v>
      </c>
      <c r="F154" s="26" t="n">
        <f aca="false">SUMPRODUCT(LT_incl*(ISNUMBER(LT_upb)*(LT_upb&gt;=$V154)*(LT_upb&lt;$W154)),LT_beds)</f>
        <v>0</v>
      </c>
      <c r="G154" s="22" t="n">
        <f aca="false">SUMPRODUCT(LT_incl*(ISNUMBER(LT_upb)*(LT_upb&gt;=$V154)*(LT_upb&lt;$W154)),LT_upb)</f>
        <v>240300000</v>
      </c>
      <c r="H154" s="23" t="n">
        <f aca="false">IFERROR(G154/StratUPB,0)</f>
        <v>0.064663001739212</v>
      </c>
      <c r="I154" s="22" t="n">
        <f aca="false">IFERROR(G154/C154,0)</f>
        <v>120150000</v>
      </c>
      <c r="J154" s="22" t="n">
        <f aca="false">SUMPRODUCT(LT_incl*(ISNUMBER(LT_upb)*(LT_upb&gt;=$V154)*(LT_upb&lt;$W154)),LT_unfunded)</f>
        <v>0</v>
      </c>
      <c r="K154" s="22" t="n">
        <f aca="false">SUMPRODUCT(LT_incl*(ISNUMBER(LT_upb)*(LT_upb&gt;=$V154)*(LT_upb&lt;$W154)),LT_navres)</f>
        <v>0</v>
      </c>
      <c r="L154" s="24" t="n">
        <f aca="false">IFERROR(SUMPRODUCT(LT_incl*(ISNUMBER(LT_upb)*(LT_upb&gt;=$V154)*(LT_upb&lt;$W154)),LT_upb,LT_eff)/SUMPRODUCT(LT_incl*(ISNUMBER(LT_upb)*(LT_upb&gt;=$V154)*(LT_upb&lt;$W154))*ISNUMBER(LT_eff),LT_upb),0)</f>
        <v>0.0302147315855181</v>
      </c>
      <c r="M154" s="24" t="n">
        <f aca="false">IFERROR(SUMPRODUCT(LT_incl*(ISNUMBER(LT_upb)*(LT_upb&gt;=$V154)*(LT_upb&lt;$W154)),LT_upb,LT_coupon)/SUMPRODUCT(LT_incl*(ISNUMBER(LT_upb)*(LT_upb&gt;=$V154)*(LT_upb&lt;$W154))*ISNUMBER(LT_coupon),LT_upb),0)</f>
        <v>0.0667147315855181</v>
      </c>
      <c r="N154" s="23" t="n">
        <f aca="false">IFERROR(SUMPRODUCT(LT_incl*(ISNUMBER(LT_upb)*(LT_upb&gt;=$V154)*(LT_upb&lt;$W154)),LT_upb,LT_ltv_asis)/SUMPRODUCT(LT_incl*(ISNUMBER(LT_upb)*(LT_upb&gt;=$V154)*(LT_upb&lt;$W154))*ISNUMBER(LT_ltv_asis),LT_upb),0)</f>
        <v>0.665674059435256</v>
      </c>
      <c r="O154" s="23" t="n">
        <f aca="false">IFERROR(SUMPRODUCT(LT_incl*(ISNUMBER(LT_upb)*(LT_upb&gt;=$V154)*(LT_upb&lt;$W154)),LT_upb,LT_ltv_stab)/SUMPRODUCT(LT_incl*(ISNUMBER(LT_upb)*(LT_upb&gt;=$V154)*(LT_upb&lt;$W154))*ISNUMBER(LT_ltv_stab),LT_upb),0)</f>
        <v>0.616441422210125</v>
      </c>
      <c r="P154" s="25" t="n">
        <f aca="false">IFERROR(SUMPRODUCT(LT_incl*(ISNUMBER(LT_upb)*(LT_upb&gt;=$V154)*(LT_upb&lt;$W154)),LT_upb,LT_seas)/SUMPRODUCT(LT_incl*(ISNUMBER(LT_upb)*(LT_upb&gt;=$V154)*(LT_upb&lt;$W154))*ISNUMBER(LT_seas),LT_upb),0)</f>
        <v>6.90154418544239</v>
      </c>
      <c r="Q154" s="25" t="n">
        <f aca="false">IFERROR(SUMPRODUCT(LT_incl*(ISNUMBER(LT_upb)*(LT_upb&gt;=$V154)*(LT_upb&lt;$W154)),LT_upb,LT_rti)/SUMPRODUCT(LT_incl*(ISNUMBER(LT_upb)*(LT_upb&gt;=$V154)*(LT_upb&lt;$W154))*ISNUMBER(LT_rti),LT_upb),0)</f>
        <v>23.4099299216158</v>
      </c>
      <c r="R154" s="25" t="n">
        <f aca="false">IFERROR(SUMPRODUCT(LT_incl*(ISNUMBER(LT_upb)*(LT_upb&gt;=$V154)*(LT_upb&lt;$W154)),LT_upb,LT_rte)/SUMPRODUCT(LT_incl*(ISNUMBER(LT_upb)*(LT_upb&gt;=$V154)*(LT_upb&lt;$W154))*ISNUMBER(LT_rte),LT_upb),0)</f>
        <v>47.3148878754398</v>
      </c>
      <c r="S154" s="23" t="n">
        <f aca="false">IFERROR(SUMPRODUCT(LT_incl*(ISNUMBER(LT_upb)*(LT_upb&gt;=$V154)*(LT_upb&lt;$W154)),LT_backdebt)/G154,0)</f>
        <v>0.8</v>
      </c>
      <c r="T154" s="23" t="n">
        <f aca="false">IFERROR(SUMPRODUCT(LT_incl*(ISNUMBER(LT_upb)*(LT_upb&gt;=$V154)*(LT_upb&lt;$W154)),LT_equity,LT_roe)/SUMPRODUCT(LT_incl*(ISNUMBER(LT_upb)*(LT_upb&gt;=$V154)*(LT_upb&lt;$W154))*ISNUMBER(LT_roe),LT_equity),0)</f>
        <v>0.118338535164378</v>
      </c>
      <c r="V154" s="46" t="n">
        <v>100000000</v>
      </c>
      <c r="W154" s="46" t="n">
        <v>1000000000000</v>
      </c>
    </row>
    <row r="155" customFormat="false" ht="15" hidden="false" customHeight="false" outlineLevel="0" collapsed="false">
      <c r="B155" s="35" t="s">
        <v>76</v>
      </c>
      <c r="C155" s="45" t="n">
        <f aca="false">SUMPRODUCT(LT_incl*(1))</f>
        <v>131</v>
      </c>
      <c r="D155" s="38" t="n">
        <f aca="false">IFERROR(C155/StratLoans,0)</f>
        <v>1</v>
      </c>
      <c r="E155" s="45" t="n">
        <f aca="false">SUMPRODUCT(LT_incl*(1),LT_units)</f>
        <v>22360</v>
      </c>
      <c r="F155" s="45" t="n">
        <f aca="false">SUMPRODUCT(LT_incl*(1),LT_beds)</f>
        <v>8726</v>
      </c>
      <c r="G155" s="37" t="n">
        <f aca="false">SUMPRODUCT(LT_incl*(1),LT_upb)</f>
        <v>3716189993.3</v>
      </c>
      <c r="H155" s="38" t="n">
        <f aca="false">IFERROR(G155/StratUPB,0)</f>
        <v>1</v>
      </c>
      <c r="I155" s="37" t="n">
        <f aca="false">IFERROR(G155/C155,0)</f>
        <v>28367862.5442748</v>
      </c>
      <c r="J155" s="37" t="n">
        <f aca="false">SUMPRODUCT(LT_incl*(1),LT_unfunded)</f>
        <v>70425498.27</v>
      </c>
      <c r="K155" s="37" t="n">
        <f aca="false">SUMPRODUCT(LT_incl*(1),LT_navres)</f>
        <v>-35761255.0310469</v>
      </c>
      <c r="L155" s="39" t="n">
        <f aca="false">IFERROR(SUMPRODUCT(LT_incl*(1),LT_upb,LT_eff)/SUMPRODUCT(LT_incl*(1)*ISNUMBER(LT_eff),LT_upb),0)</f>
        <v>0.0384104790702225</v>
      </c>
      <c r="M155" s="39" t="n">
        <f aca="false">IFERROR(SUMPRODUCT(LT_incl*(1),LT_upb,LT_coupon)/SUMPRODUCT(LT_incl*(1)*ISNUMBER(LT_coupon),LT_upb),0)</f>
        <v>0.0749104790702225</v>
      </c>
      <c r="N155" s="38" t="n">
        <f aca="false">IFERROR(SUMPRODUCT(LT_incl*(1),LT_upb,LT_ltv_asis)/SUMPRODUCT(LT_incl*(1)*ISNUMBER(LT_ltv_asis),LT_upb),0)</f>
        <v>0.685976245136614</v>
      </c>
      <c r="O155" s="38" t="n">
        <f aca="false">IFERROR(SUMPRODUCT(LT_incl*(1),LT_upb,LT_ltv_stab)/SUMPRODUCT(LT_incl*(1)*ISNUMBER(LT_ltv_stab),LT_upb),0)</f>
        <v>0.658970555756018</v>
      </c>
      <c r="P155" s="40" t="n">
        <f aca="false">IFERROR(SUMPRODUCT(LT_incl*(1),LT_upb,LT_seas)/SUMPRODUCT(LT_incl*(1)*ISNUMBER(LT_seas),LT_upb),0)</f>
        <v>26.0197171750702</v>
      </c>
      <c r="Q155" s="40" t="n">
        <f aca="false">IFERROR(SUMPRODUCT(LT_incl*(1),LT_upb,LT_rti)/SUMPRODUCT(LT_incl*(1)*ISNUMBER(LT_rti),LT_upb),0)</f>
        <v>10.7164396387939</v>
      </c>
      <c r="R155" s="40" t="n">
        <f aca="false">IFERROR(SUMPRODUCT(LT_incl*(1),LT_upb,LT_rte)/SUMPRODUCT(LT_incl*(1)*ISNUMBER(LT_rte),LT_upb),0)</f>
        <v>23.051497716819</v>
      </c>
      <c r="S155" s="38" t="n">
        <f aca="false">IFERROR(SUMPRODUCT(LT_incl*(1),LT_backdebt)/G155,0)</f>
        <v>0.628005362553862</v>
      </c>
      <c r="T155" s="38" t="n">
        <f aca="false">IFERROR(SUMPRODUCT(LT_incl*(1),LT_equity,LT_roe)/SUMPRODUCT(LT_incl*(1)*ISNUMBER(LT_roe),LT_equity),0)</f>
        <v>0.107961987212177</v>
      </c>
    </row>
    <row r="157" customFormat="false" ht="15" hidden="false" customHeight="false" outlineLevel="0" collapsed="false">
      <c r="B157" s="3" t="s">
        <v>157</v>
      </c>
      <c r="C157" s="4"/>
      <c r="D157" s="4"/>
      <c r="E157" s="4"/>
      <c r="F157" s="4"/>
      <c r="G157" s="4"/>
      <c r="H157" s="4"/>
      <c r="I157" s="4"/>
      <c r="J157" s="4"/>
      <c r="K157" s="4"/>
      <c r="L157" s="4"/>
      <c r="M157" s="4"/>
      <c r="N157" s="4"/>
      <c r="O157" s="4"/>
      <c r="P157" s="4"/>
      <c r="Q157" s="4"/>
      <c r="R157" s="4"/>
      <c r="S157" s="4"/>
      <c r="T157" s="4"/>
    </row>
    <row r="158" customFormat="false" ht="39.75" hidden="false" customHeight="true" outlineLevel="0" collapsed="false">
      <c r="B158" s="16" t="s">
        <v>147</v>
      </c>
      <c r="C158" s="17" t="s">
        <v>13</v>
      </c>
      <c r="D158" s="17" t="s">
        <v>64</v>
      </c>
      <c r="E158" s="17" t="s">
        <v>65</v>
      </c>
      <c r="F158" s="17" t="s">
        <v>66</v>
      </c>
      <c r="G158" s="17" t="s">
        <v>16</v>
      </c>
      <c r="H158" s="17" t="s">
        <v>46</v>
      </c>
      <c r="I158" s="17" t="s">
        <v>19</v>
      </c>
      <c r="J158" s="17" t="s">
        <v>28</v>
      </c>
      <c r="K158" s="17" t="s">
        <v>31</v>
      </c>
      <c r="L158" s="17" t="s">
        <v>7</v>
      </c>
      <c r="M158" s="17" t="s">
        <v>11</v>
      </c>
      <c r="N158" s="17" t="s">
        <v>23</v>
      </c>
      <c r="O158" s="17" t="s">
        <v>67</v>
      </c>
      <c r="P158" s="17" t="s">
        <v>5</v>
      </c>
      <c r="Q158" s="17" t="s">
        <v>68</v>
      </c>
      <c r="R158" s="17" t="s">
        <v>69</v>
      </c>
      <c r="S158" s="17" t="s">
        <v>56</v>
      </c>
      <c r="T158" s="17" t="s">
        <v>70</v>
      </c>
      <c r="V158" s="17" t="s">
        <v>148</v>
      </c>
      <c r="W158" s="17" t="s">
        <v>149</v>
      </c>
    </row>
    <row r="159" customFormat="false" ht="15" hidden="false" customHeight="false" outlineLevel="0" collapsed="false">
      <c r="B159" s="18" t="s">
        <v>158</v>
      </c>
      <c r="C159" s="26" t="n">
        <f aca="false">SUMPRODUCT(LT_incl*(ISNUMBER(LT_eff)*(LT_eff&gt;=$V159)*(LT_eff&lt;$W159)))</f>
        <v>1</v>
      </c>
      <c r="D159" s="23" t="n">
        <f aca="false">IFERROR(C159/StratLoans,0)</f>
        <v>0.00763358778625954</v>
      </c>
      <c r="E159" s="26" t="n">
        <f aca="false">SUMPRODUCT(LT_incl*(ISNUMBER(LT_eff)*(LT_eff&gt;=$V159)*(LT_eff&lt;$W159)),LT_units)</f>
        <v>332</v>
      </c>
      <c r="F159" s="26" t="n">
        <f aca="false">SUMPRODUCT(LT_incl*(ISNUMBER(LT_eff)*(LT_eff&gt;=$V159)*(LT_eff&lt;$W159)),LT_beds)</f>
        <v>0</v>
      </c>
      <c r="G159" s="22" t="n">
        <f aca="false">SUMPRODUCT(LT_incl*(ISNUMBER(LT_eff)*(LT_eff&gt;=$V159)*(LT_eff&lt;$W159)),LT_upb)</f>
        <v>51911535.08</v>
      </c>
      <c r="H159" s="23" t="n">
        <f aca="false">IFERROR(G159/StratUPB,0)</f>
        <v>0.0139690207372584</v>
      </c>
      <c r="I159" s="22" t="n">
        <f aca="false">IFERROR(G159/C159,0)</f>
        <v>51911535.08</v>
      </c>
      <c r="J159" s="22" t="n">
        <f aca="false">SUMPRODUCT(LT_incl*(ISNUMBER(LT_eff)*(LT_eff&gt;=$V159)*(LT_eff&lt;$W159)),LT_unfunded)</f>
        <v>615219.34</v>
      </c>
      <c r="K159" s="22" t="n">
        <f aca="false">SUMPRODUCT(LT_incl*(ISNUMBER(LT_eff)*(LT_eff&gt;=$V159)*(LT_eff&lt;$W159)),LT_navres)</f>
        <v>-2529654.06269062</v>
      </c>
      <c r="L159" s="24" t="n">
        <f aca="false">IFERROR(SUMPRODUCT(LT_incl*(ISNUMBER(LT_eff)*(LT_eff&gt;=$V159)*(LT_eff&lt;$W159)),LT_upb,LT_eff)/SUMPRODUCT(LT_incl*(ISNUMBER(LT_eff)*(LT_eff&gt;=$V159)*(LT_eff&lt;$W159))*ISNUMBER(LT_eff),LT_upb),0)</f>
        <v>0.015</v>
      </c>
      <c r="M159" s="24" t="n">
        <f aca="false">IFERROR(SUMPRODUCT(LT_incl*(ISNUMBER(LT_eff)*(LT_eff&gt;=$V159)*(LT_eff&lt;$W159)),LT_upb,LT_coupon)/SUMPRODUCT(LT_incl*(ISNUMBER(LT_eff)*(LT_eff&gt;=$V159)*(LT_eff&lt;$W159))*ISNUMBER(LT_coupon),LT_upb),0)</f>
        <v>0.0515</v>
      </c>
      <c r="N159" s="23" t="n">
        <f aca="false">IFERROR(SUMPRODUCT(LT_incl*(ISNUMBER(LT_eff)*(LT_eff&gt;=$V159)*(LT_eff&lt;$W159)),LT_upb,LT_ltv_asis)/SUMPRODUCT(LT_incl*(ISNUMBER(LT_eff)*(LT_eff&gt;=$V159)*(LT_eff&lt;$W159))*ISNUMBER(LT_ltv_asis),LT_upb),0)</f>
        <v>1.0365251727542</v>
      </c>
      <c r="O159" s="23" t="n">
        <f aca="false">IFERROR(SUMPRODUCT(LT_incl*(ISNUMBER(LT_eff)*(LT_eff&gt;=$V159)*(LT_eff&lt;$W159)),LT_upb,LT_ltv_stab)/SUMPRODUCT(LT_incl*(ISNUMBER(LT_eff)*(LT_eff&gt;=$V159)*(LT_eff&lt;$W159))*ISNUMBER(LT_ltv_stab),LT_upb),0)</f>
        <v>0.92128801431127</v>
      </c>
      <c r="P159" s="25" t="n">
        <f aca="false">IFERROR(SUMPRODUCT(LT_incl*(ISNUMBER(LT_eff)*(LT_eff&gt;=$V159)*(LT_eff&lt;$W159)),LT_upb,LT_seas)/SUMPRODUCT(LT_incl*(ISNUMBER(LT_eff)*(LT_eff&gt;=$V159)*(LT_eff&lt;$W159))*ISNUMBER(LT_seas),LT_upb),0)</f>
        <v>11.2032854209446</v>
      </c>
      <c r="Q159" s="25" t="n">
        <f aca="false">IFERROR(SUMPRODUCT(LT_incl*(ISNUMBER(LT_eff)*(LT_eff&gt;=$V159)*(LT_eff&lt;$W159)),LT_upb,LT_rti)/SUMPRODUCT(LT_incl*(ISNUMBER(LT_eff)*(LT_eff&gt;=$V159)*(LT_eff&lt;$W159))*ISNUMBER(LT_rti),LT_upb),0)</f>
        <v>25.0677618069815</v>
      </c>
      <c r="R159" s="25" t="n">
        <f aca="false">IFERROR(SUMPRODUCT(LT_incl*(ISNUMBER(LT_eff)*(LT_eff&gt;=$V159)*(LT_eff&lt;$W159)),LT_upb,LT_rte)/SUMPRODUCT(LT_incl*(ISNUMBER(LT_eff)*(LT_eff&gt;=$V159)*(LT_eff&lt;$W159))*ISNUMBER(LT_rte),LT_upb),0)</f>
        <v>49.0513347022587</v>
      </c>
      <c r="S159" s="23" t="n">
        <f aca="false">IFERROR(SUMPRODUCT(LT_incl*(ISNUMBER(LT_eff)*(LT_eff&gt;=$V159)*(LT_eff&lt;$W159)),LT_backdebt)/G159,0)</f>
        <v>0</v>
      </c>
      <c r="T159" s="23" t="n">
        <f aca="false">IFERROR(SUMPRODUCT(LT_incl*(ISNUMBER(LT_eff)*(LT_eff&gt;=$V159)*(LT_eff&lt;$W159)),LT_equity,LT_roe)/SUMPRODUCT(LT_incl*(ISNUMBER(LT_eff)*(LT_eff&gt;=$V159)*(LT_eff&lt;$W159))*ISNUMBER(LT_roe),LT_equity),0)</f>
        <v>0.0515</v>
      </c>
      <c r="V159" s="47" t="n">
        <v>-1000000000000</v>
      </c>
      <c r="W159" s="47" t="n">
        <v>0.025</v>
      </c>
    </row>
    <row r="160" customFormat="false" ht="15" hidden="false" customHeight="false" outlineLevel="0" collapsed="false">
      <c r="B160" s="27" t="s">
        <v>159</v>
      </c>
      <c r="C160" s="44" t="n">
        <f aca="false">SUMPRODUCT(LT_incl*(ISNUMBER(LT_eff)*(LT_eff&gt;=$V160)*(LT_eff&lt;$W160)))</f>
        <v>13</v>
      </c>
      <c r="D160" s="32" t="n">
        <f aca="false">IFERROR(C160/StratLoans,0)</f>
        <v>0.099236641221374</v>
      </c>
      <c r="E160" s="44" t="n">
        <f aca="false">SUMPRODUCT(LT_incl*(ISNUMBER(LT_eff)*(LT_eff&gt;=$V160)*(LT_eff&lt;$W160)),LT_units)</f>
        <v>3798</v>
      </c>
      <c r="F160" s="44" t="n">
        <f aca="false">SUMPRODUCT(LT_incl*(ISNUMBER(LT_eff)*(LT_eff&gt;=$V160)*(LT_eff&lt;$W160)),LT_beds)</f>
        <v>0</v>
      </c>
      <c r="G160" s="31" t="n">
        <f aca="false">SUMPRODUCT(LT_incl*(ISNUMBER(LT_eff)*(LT_eff&gt;=$V160)*(LT_eff&lt;$W160)),LT_upb)</f>
        <v>622106134.44</v>
      </c>
      <c r="H160" s="32" t="n">
        <f aca="false">IFERROR(G160/StratUPB,0)</f>
        <v>0.167404286530454</v>
      </c>
      <c r="I160" s="31" t="n">
        <f aca="false">IFERROR(G160/C160,0)</f>
        <v>47854318.0338462</v>
      </c>
      <c r="J160" s="31" t="n">
        <f aca="false">SUMPRODUCT(LT_incl*(ISNUMBER(LT_eff)*(LT_eff&gt;=$V160)*(LT_eff&lt;$W160)),LT_unfunded)</f>
        <v>11593865.56</v>
      </c>
      <c r="K160" s="31" t="n">
        <f aca="false">SUMPRODUCT(LT_incl*(ISNUMBER(LT_eff)*(LT_eff&gt;=$V160)*(LT_eff&lt;$W160)),LT_navres)</f>
        <v>-301538.687546179</v>
      </c>
      <c r="L160" s="33" t="n">
        <f aca="false">IFERROR(SUMPRODUCT(LT_incl*(ISNUMBER(LT_eff)*(LT_eff&gt;=$V160)*(LT_eff&lt;$W160)),LT_upb,LT_eff)/SUMPRODUCT(LT_incl*(ISNUMBER(LT_eff)*(LT_eff&gt;=$V160)*(LT_eff&lt;$W160))*ISNUMBER(LT_eff),LT_upb),0)</f>
        <v>0.0279867238061116</v>
      </c>
      <c r="M160" s="33" t="n">
        <f aca="false">IFERROR(SUMPRODUCT(LT_incl*(ISNUMBER(LT_eff)*(LT_eff&gt;=$V160)*(LT_eff&lt;$W160)),LT_upb,LT_coupon)/SUMPRODUCT(LT_incl*(ISNUMBER(LT_eff)*(LT_eff&gt;=$V160)*(LT_eff&lt;$W160))*ISNUMBER(LT_coupon),LT_upb),0)</f>
        <v>0.0644867238061116</v>
      </c>
      <c r="N160" s="32" t="n">
        <f aca="false">IFERROR(SUMPRODUCT(LT_incl*(ISNUMBER(LT_eff)*(LT_eff&gt;=$V160)*(LT_eff&lt;$W160)),LT_upb,LT_ltv_asis)/SUMPRODUCT(LT_incl*(ISNUMBER(LT_eff)*(LT_eff&gt;=$V160)*(LT_eff&lt;$W160))*ISNUMBER(LT_ltv_asis),LT_upb),0)</f>
        <v>0.704393627143083</v>
      </c>
      <c r="O160" s="32" t="n">
        <f aca="false">IFERROR(SUMPRODUCT(LT_incl*(ISNUMBER(LT_eff)*(LT_eff&gt;=$V160)*(LT_eff&lt;$W160)),LT_upb,LT_ltv_stab)/SUMPRODUCT(LT_incl*(ISNUMBER(LT_eff)*(LT_eff&gt;=$V160)*(LT_eff&lt;$W160))*ISNUMBER(LT_ltv_stab),LT_upb),0)</f>
        <v>0.667869160526743</v>
      </c>
      <c r="P160" s="34" t="n">
        <f aca="false">IFERROR(SUMPRODUCT(LT_incl*(ISNUMBER(LT_eff)*(LT_eff&gt;=$V160)*(LT_eff&lt;$W160)),LT_upb,LT_seas)/SUMPRODUCT(LT_incl*(ISNUMBER(LT_eff)*(LT_eff&gt;=$V160)*(LT_eff&lt;$W160))*ISNUMBER(LT_seas),LT_upb),0)</f>
        <v>10.219474615702</v>
      </c>
      <c r="Q160" s="34" t="n">
        <f aca="false">IFERROR(SUMPRODUCT(LT_incl*(ISNUMBER(LT_eff)*(LT_eff&gt;=$V160)*(LT_eff&lt;$W160)),LT_upb,LT_rti)/SUMPRODUCT(LT_incl*(ISNUMBER(LT_eff)*(LT_eff&gt;=$V160)*(LT_eff&lt;$W160))*ISNUMBER(LT_rti),LT_upb),0)</f>
        <v>22.4008062440779</v>
      </c>
      <c r="R160" s="34" t="n">
        <f aca="false">IFERROR(SUMPRODUCT(LT_incl*(ISNUMBER(LT_eff)*(LT_eff&gt;=$V160)*(LT_eff&lt;$W160)),LT_upb,LT_rte)/SUMPRODUCT(LT_incl*(ISNUMBER(LT_eff)*(LT_eff&gt;=$V160)*(LT_eff&lt;$W160))*ISNUMBER(LT_rte),LT_upb),0)</f>
        <v>36.7636857059884</v>
      </c>
      <c r="S160" s="32" t="n">
        <f aca="false">IFERROR(SUMPRODUCT(LT_incl*(ISNUMBER(LT_eff)*(LT_eff&gt;=$V160)*(LT_eff&lt;$W160)),LT_backdebt)/G160,0)</f>
        <v>0.786883415706316</v>
      </c>
      <c r="T160" s="32" t="n">
        <f aca="false">IFERROR(SUMPRODUCT(LT_incl*(ISNUMBER(LT_eff)*(LT_eff&gt;=$V160)*(LT_eff&lt;$W160)),LT_equity,LT_roe)/SUMPRODUCT(LT_incl*(ISNUMBER(LT_eff)*(LT_eff&gt;=$V160)*(LT_eff&lt;$W160))*ISNUMBER(LT_roe),LT_equity),0)</f>
        <v>0.10912047578132</v>
      </c>
      <c r="V160" s="47" t="n">
        <v>0.025</v>
      </c>
      <c r="W160" s="47" t="n">
        <v>0.03</v>
      </c>
    </row>
    <row r="161" customFormat="false" ht="15" hidden="false" customHeight="false" outlineLevel="0" collapsed="false">
      <c r="B161" s="18" t="s">
        <v>160</v>
      </c>
      <c r="C161" s="26" t="n">
        <f aca="false">SUMPRODUCT(LT_incl*(ISNUMBER(LT_eff)*(LT_eff&gt;=$V161)*(LT_eff&lt;$W161)))</f>
        <v>38</v>
      </c>
      <c r="D161" s="23" t="n">
        <f aca="false">IFERROR(C161/StratLoans,0)</f>
        <v>0.290076335877863</v>
      </c>
      <c r="E161" s="26" t="n">
        <f aca="false">SUMPRODUCT(LT_incl*(ISNUMBER(LT_eff)*(LT_eff&gt;=$V161)*(LT_eff&lt;$W161)),LT_units)</f>
        <v>9543</v>
      </c>
      <c r="F161" s="26" t="n">
        <f aca="false">SUMPRODUCT(LT_incl*(ISNUMBER(LT_eff)*(LT_eff&gt;=$V161)*(LT_eff&lt;$W161)),LT_beds)</f>
        <v>0</v>
      </c>
      <c r="G161" s="22" t="n">
        <f aca="false">SUMPRODUCT(LT_incl*(ISNUMBER(LT_eff)*(LT_eff&gt;=$V161)*(LT_eff&lt;$W161)),LT_upb)</f>
        <v>1347515794.57</v>
      </c>
      <c r="H161" s="23" t="n">
        <f aca="false">IFERROR(G161/StratUPB,0)</f>
        <v>0.362606808855162</v>
      </c>
      <c r="I161" s="22" t="n">
        <f aca="false">IFERROR(G161/C161,0)</f>
        <v>35460941.9623684</v>
      </c>
      <c r="J161" s="22" t="n">
        <f aca="false">SUMPRODUCT(LT_incl*(ISNUMBER(LT_eff)*(LT_eff&gt;=$V161)*(LT_eff&lt;$W161)),LT_unfunded)</f>
        <v>16334705.46</v>
      </c>
      <c r="K161" s="22" t="n">
        <f aca="false">SUMPRODUCT(LT_incl*(ISNUMBER(LT_eff)*(LT_eff&gt;=$V161)*(LT_eff&lt;$W161)),LT_navres)</f>
        <v>-14082211.3634798</v>
      </c>
      <c r="L161" s="24" t="n">
        <f aca="false">IFERROR(SUMPRODUCT(LT_incl*(ISNUMBER(LT_eff)*(LT_eff&gt;=$V161)*(LT_eff&lt;$W161)),LT_upb,LT_eff)/SUMPRODUCT(LT_incl*(ISNUMBER(LT_eff)*(LT_eff&gt;=$V161)*(LT_eff&lt;$W161))*ISNUMBER(LT_eff),LT_upb),0)</f>
        <v>0.0324358198782244</v>
      </c>
      <c r="M161" s="24" t="n">
        <f aca="false">IFERROR(SUMPRODUCT(LT_incl*(ISNUMBER(LT_eff)*(LT_eff&gt;=$V161)*(LT_eff&lt;$W161)),LT_upb,LT_coupon)/SUMPRODUCT(LT_incl*(ISNUMBER(LT_eff)*(LT_eff&gt;=$V161)*(LT_eff&lt;$W161))*ISNUMBER(LT_coupon),LT_upb),0)</f>
        <v>0.0689358198782245</v>
      </c>
      <c r="N161" s="23" t="n">
        <f aca="false">IFERROR(SUMPRODUCT(LT_incl*(ISNUMBER(LT_eff)*(LT_eff&gt;=$V161)*(LT_eff&lt;$W161)),LT_upb,LT_ltv_asis)/SUMPRODUCT(LT_incl*(ISNUMBER(LT_eff)*(LT_eff&gt;=$V161)*(LT_eff&lt;$W161))*ISNUMBER(LT_ltv_asis),LT_upb),0)</f>
        <v>0.691154062414016</v>
      </c>
      <c r="O161" s="23" t="n">
        <f aca="false">IFERROR(SUMPRODUCT(LT_incl*(ISNUMBER(LT_eff)*(LT_eff&gt;=$V161)*(LT_eff&lt;$W161)),LT_upb,LT_ltv_stab)/SUMPRODUCT(LT_incl*(ISNUMBER(LT_eff)*(LT_eff&gt;=$V161)*(LT_eff&lt;$W161))*ISNUMBER(LT_ltv_stab),LT_upb),0)</f>
        <v>0.644888236238003</v>
      </c>
      <c r="P161" s="25" t="n">
        <f aca="false">IFERROR(SUMPRODUCT(LT_incl*(ISNUMBER(LT_eff)*(LT_eff&gt;=$V161)*(LT_eff&lt;$W161)),LT_upb,LT_seas)/SUMPRODUCT(LT_incl*(ISNUMBER(LT_eff)*(LT_eff&gt;=$V161)*(LT_eff&lt;$W161))*ISNUMBER(LT_seas),LT_upb),0)</f>
        <v>35.2257904111495</v>
      </c>
      <c r="Q161" s="25" t="n">
        <f aca="false">IFERROR(SUMPRODUCT(LT_incl*(ISNUMBER(LT_eff)*(LT_eff&gt;=$V161)*(LT_eff&lt;$W161)),LT_upb,LT_rti)/SUMPRODUCT(LT_incl*(ISNUMBER(LT_eff)*(LT_eff&gt;=$V161)*(LT_eff&lt;$W161))*ISNUMBER(LT_rti),LT_upb),0)</f>
        <v>5.32742246371662</v>
      </c>
      <c r="R161" s="25" t="n">
        <f aca="false">IFERROR(SUMPRODUCT(LT_incl*(ISNUMBER(LT_eff)*(LT_eff&gt;=$V161)*(LT_eff&lt;$W161)),LT_upb,LT_rte)/SUMPRODUCT(LT_incl*(ISNUMBER(LT_eff)*(LT_eff&gt;=$V161)*(LT_eff&lt;$W161))*ISNUMBER(LT_rte),LT_upb),0)</f>
        <v>20.4146751488444</v>
      </c>
      <c r="S161" s="23" t="n">
        <f aca="false">IFERROR(SUMPRODUCT(LT_incl*(ISNUMBER(LT_eff)*(LT_eff&gt;=$V161)*(LT_eff&lt;$W161)),LT_backdebt)/G161,0)</f>
        <v>0.670195476697482</v>
      </c>
      <c r="T161" s="23" t="n">
        <f aca="false">IFERROR(SUMPRODUCT(LT_incl*(ISNUMBER(LT_eff)*(LT_eff&gt;=$V161)*(LT_eff&lt;$W161)),LT_equity,LT_roe)/SUMPRODUCT(LT_incl*(ISNUMBER(LT_eff)*(LT_eff&gt;=$V161)*(LT_eff&lt;$W161))*ISNUMBER(LT_roe),LT_equity),0)</f>
        <v>0.0991074277386381</v>
      </c>
      <c r="V161" s="47" t="n">
        <v>0.03</v>
      </c>
      <c r="W161" s="47" t="n">
        <v>0.035</v>
      </c>
    </row>
    <row r="162" customFormat="false" ht="15" hidden="false" customHeight="false" outlineLevel="0" collapsed="false">
      <c r="B162" s="27" t="s">
        <v>161</v>
      </c>
      <c r="C162" s="44" t="n">
        <f aca="false">SUMPRODUCT(LT_incl*(ISNUMBER(LT_eff)*(LT_eff&gt;=$V162)*(LT_eff&lt;$W162)))</f>
        <v>19</v>
      </c>
      <c r="D162" s="32" t="n">
        <f aca="false">IFERROR(C162/StratLoans,0)</f>
        <v>0.145038167938931</v>
      </c>
      <c r="E162" s="44" t="n">
        <f aca="false">SUMPRODUCT(LT_incl*(ISNUMBER(LT_eff)*(LT_eff&gt;=$V162)*(LT_eff&lt;$W162)),LT_units)</f>
        <v>3474</v>
      </c>
      <c r="F162" s="44" t="n">
        <f aca="false">SUMPRODUCT(LT_incl*(ISNUMBER(LT_eff)*(LT_eff&gt;=$V162)*(LT_eff&lt;$W162)),LT_beds)</f>
        <v>0</v>
      </c>
      <c r="G162" s="31" t="n">
        <f aca="false">SUMPRODUCT(LT_incl*(ISNUMBER(LT_eff)*(LT_eff&gt;=$V162)*(LT_eff&lt;$W162)),LT_upb)</f>
        <v>517584639.74</v>
      </c>
      <c r="H162" s="32" t="n">
        <f aca="false">IFERROR(G162/StratUPB,0)</f>
        <v>0.13927830403536</v>
      </c>
      <c r="I162" s="31" t="n">
        <f aca="false">IFERROR(G162/C162,0)</f>
        <v>27241296.8284211</v>
      </c>
      <c r="J162" s="31" t="n">
        <f aca="false">SUMPRODUCT(LT_incl*(ISNUMBER(LT_eff)*(LT_eff&gt;=$V162)*(LT_eff&lt;$W162)),LT_unfunded)</f>
        <v>4160000</v>
      </c>
      <c r="K162" s="31" t="n">
        <f aca="false">SUMPRODUCT(LT_incl*(ISNUMBER(LT_eff)*(LT_eff&gt;=$V162)*(LT_eff&lt;$W162)),LT_navres)</f>
        <v>-11160467.85</v>
      </c>
      <c r="L162" s="33" t="n">
        <f aca="false">IFERROR(SUMPRODUCT(LT_incl*(ISNUMBER(LT_eff)*(LT_eff&gt;=$V162)*(LT_eff&lt;$W162)),LT_upb,LT_eff)/SUMPRODUCT(LT_incl*(ISNUMBER(LT_eff)*(LT_eff&gt;=$V162)*(LT_eff&lt;$W162))*ISNUMBER(LT_eff),LT_upb),0)</f>
        <v>0.0375079000822012</v>
      </c>
      <c r="M162" s="33" t="n">
        <f aca="false">IFERROR(SUMPRODUCT(LT_incl*(ISNUMBER(LT_eff)*(LT_eff&gt;=$V162)*(LT_eff&lt;$W162)),LT_upb,LT_coupon)/SUMPRODUCT(LT_incl*(ISNUMBER(LT_eff)*(LT_eff&gt;=$V162)*(LT_eff&lt;$W162))*ISNUMBER(LT_coupon),LT_upb),0)</f>
        <v>0.0740079000822012</v>
      </c>
      <c r="N162" s="32" t="n">
        <f aca="false">IFERROR(SUMPRODUCT(LT_incl*(ISNUMBER(LT_eff)*(LT_eff&gt;=$V162)*(LT_eff&lt;$W162)),LT_upb,LT_ltv_asis)/SUMPRODUCT(LT_incl*(ISNUMBER(LT_eff)*(LT_eff&gt;=$V162)*(LT_eff&lt;$W162))*ISNUMBER(LT_ltv_asis),LT_upb),0)</f>
        <v>0.693791179156735</v>
      </c>
      <c r="O162" s="32" t="n">
        <f aca="false">IFERROR(SUMPRODUCT(LT_incl*(ISNUMBER(LT_eff)*(LT_eff&gt;=$V162)*(LT_eff&lt;$W162)),LT_upb,LT_ltv_stab)/SUMPRODUCT(LT_incl*(ISNUMBER(LT_eff)*(LT_eff&gt;=$V162)*(LT_eff&lt;$W162))*ISNUMBER(LT_ltv_stab),LT_upb),0)</f>
        <v>0.664510833130292</v>
      </c>
      <c r="P162" s="34" t="n">
        <f aca="false">IFERROR(SUMPRODUCT(LT_incl*(ISNUMBER(LT_eff)*(LT_eff&gt;=$V162)*(LT_eff&lt;$W162)),LT_upb,LT_seas)/SUMPRODUCT(LT_incl*(ISNUMBER(LT_eff)*(LT_eff&gt;=$V162)*(LT_eff&lt;$W162))*ISNUMBER(LT_seas),LT_upb),0)</f>
        <v>37.2115470916376</v>
      </c>
      <c r="Q162" s="34" t="n">
        <f aca="false">IFERROR(SUMPRODUCT(LT_incl*(ISNUMBER(LT_eff)*(LT_eff&gt;=$V162)*(LT_eff&lt;$W162)),LT_upb,LT_rti)/SUMPRODUCT(LT_incl*(ISNUMBER(LT_eff)*(LT_eff&gt;=$V162)*(LT_eff&lt;$W162))*ISNUMBER(LT_rti),LT_upb),0)</f>
        <v>3.31617011128562</v>
      </c>
      <c r="R162" s="34" t="n">
        <f aca="false">IFERROR(SUMPRODUCT(LT_incl*(ISNUMBER(LT_eff)*(LT_eff&gt;=$V162)*(LT_eff&lt;$W162)),LT_upb,LT_rte)/SUMPRODUCT(LT_incl*(ISNUMBER(LT_eff)*(LT_eff&gt;=$V162)*(LT_eff&lt;$W162))*ISNUMBER(LT_rte),LT_upb),0)</f>
        <v>10.7884314670767</v>
      </c>
      <c r="S162" s="32" t="n">
        <f aca="false">IFERROR(SUMPRODUCT(LT_incl*(ISNUMBER(LT_eff)*(LT_eff&gt;=$V162)*(LT_eff&lt;$W162)),LT_backdebt)/G162,0)</f>
        <v>0.651559519927514</v>
      </c>
      <c r="T162" s="32" t="n">
        <f aca="false">IFERROR(SUMPRODUCT(LT_incl*(ISNUMBER(LT_eff)*(LT_eff&gt;=$V162)*(LT_eff&lt;$W162)),LT_equity,LT_roe)/SUMPRODUCT(LT_incl*(ISNUMBER(LT_eff)*(LT_eff&gt;=$V162)*(LT_eff&lt;$W162))*ISNUMBER(LT_roe),LT_equity),0)</f>
        <v>0.108436335650125</v>
      </c>
      <c r="V162" s="47" t="n">
        <v>0.035</v>
      </c>
      <c r="W162" s="47" t="n">
        <v>0.04</v>
      </c>
    </row>
    <row r="163" customFormat="false" ht="15" hidden="false" customHeight="false" outlineLevel="0" collapsed="false">
      <c r="B163" s="18" t="s">
        <v>162</v>
      </c>
      <c r="C163" s="26" t="n">
        <f aca="false">SUMPRODUCT(LT_incl*(ISNUMBER(LT_eff)*(LT_eff&gt;=$V163)*(LT_eff&lt;$W163)))</f>
        <v>26</v>
      </c>
      <c r="D163" s="23" t="n">
        <f aca="false">IFERROR(C163/StratLoans,0)</f>
        <v>0.198473282442748</v>
      </c>
      <c r="E163" s="26" t="n">
        <f aca="false">SUMPRODUCT(LT_incl*(ISNUMBER(LT_eff)*(LT_eff&gt;=$V163)*(LT_eff&lt;$W163)),LT_units)</f>
        <v>1500</v>
      </c>
      <c r="F163" s="26" t="n">
        <f aca="false">SUMPRODUCT(LT_incl*(ISNUMBER(LT_eff)*(LT_eff&gt;=$V163)*(LT_eff&lt;$W163)),LT_beds)</f>
        <v>3380</v>
      </c>
      <c r="G163" s="22" t="n">
        <f aca="false">SUMPRODUCT(LT_incl*(ISNUMBER(LT_eff)*(LT_eff&gt;=$V163)*(LT_eff&lt;$W163)),LT_upb)</f>
        <v>623611330.84</v>
      </c>
      <c r="H163" s="23" t="n">
        <f aca="false">IFERROR(G163/StratUPB,0)</f>
        <v>0.167809324056177</v>
      </c>
      <c r="I163" s="22" t="n">
        <f aca="false">IFERROR(G163/C163,0)</f>
        <v>23985051.1861538</v>
      </c>
      <c r="J163" s="22" t="n">
        <f aca="false">SUMPRODUCT(LT_incl*(ISNUMBER(LT_eff)*(LT_eff&gt;=$V163)*(LT_eff&lt;$W163)),LT_unfunded)</f>
        <v>26523881.16</v>
      </c>
      <c r="K163" s="22" t="n">
        <f aca="false">SUMPRODUCT(LT_incl*(ISNUMBER(LT_eff)*(LT_eff&gt;=$V163)*(LT_eff&lt;$W163)),LT_navres)</f>
        <v>-7730000</v>
      </c>
      <c r="L163" s="24" t="n">
        <f aca="false">IFERROR(SUMPRODUCT(LT_incl*(ISNUMBER(LT_eff)*(LT_eff&gt;=$V163)*(LT_eff&lt;$W163)),LT_upb,LT_eff)/SUMPRODUCT(LT_incl*(ISNUMBER(LT_eff)*(LT_eff&gt;=$V163)*(LT_eff&lt;$W163))*ISNUMBER(LT_eff),LT_upb),0)</f>
        <v>0.0449971316611942</v>
      </c>
      <c r="M163" s="24" t="n">
        <f aca="false">IFERROR(SUMPRODUCT(LT_incl*(ISNUMBER(LT_eff)*(LT_eff&gt;=$V163)*(LT_eff&lt;$W163)),LT_upb,LT_coupon)/SUMPRODUCT(LT_incl*(ISNUMBER(LT_eff)*(LT_eff&gt;=$V163)*(LT_eff&lt;$W163))*ISNUMBER(LT_coupon),LT_upb),0)</f>
        <v>0.0814971316611942</v>
      </c>
      <c r="N163" s="23" t="n">
        <f aca="false">IFERROR(SUMPRODUCT(LT_incl*(ISNUMBER(LT_eff)*(LT_eff&gt;=$V163)*(LT_eff&lt;$W163)),LT_upb,LT_ltv_asis)/SUMPRODUCT(LT_incl*(ISNUMBER(LT_eff)*(LT_eff&gt;=$V163)*(LT_eff&lt;$W163))*ISNUMBER(LT_ltv_asis),LT_upb),0)</f>
        <v>0.683125277925453</v>
      </c>
      <c r="O163" s="23" t="n">
        <f aca="false">IFERROR(SUMPRODUCT(LT_incl*(ISNUMBER(LT_eff)*(LT_eff&gt;=$V163)*(LT_eff&lt;$W163)),LT_upb,LT_ltv_stab)/SUMPRODUCT(LT_incl*(ISNUMBER(LT_eff)*(LT_eff&gt;=$V163)*(LT_eff&lt;$W163))*ISNUMBER(LT_ltv_stab),LT_upb),0)</f>
        <v>0.666185702369912</v>
      </c>
      <c r="P163" s="25" t="n">
        <f aca="false">IFERROR(SUMPRODUCT(LT_incl*(ISNUMBER(LT_eff)*(LT_eff&gt;=$V163)*(LT_eff&lt;$W163)),LT_upb,LT_seas)/SUMPRODUCT(LT_incl*(ISNUMBER(LT_eff)*(LT_eff&gt;=$V163)*(LT_eff&lt;$W163))*ISNUMBER(LT_seas),LT_upb),0)</f>
        <v>15.8482372032999</v>
      </c>
      <c r="Q163" s="25" t="n">
        <f aca="false">IFERROR(SUMPRODUCT(LT_incl*(ISNUMBER(LT_eff)*(LT_eff&gt;=$V163)*(LT_eff&lt;$W163)),LT_upb,LT_rti)/SUMPRODUCT(LT_incl*(ISNUMBER(LT_eff)*(LT_eff&gt;=$V163)*(LT_eff&lt;$W163))*ISNUMBER(LT_rti),LT_upb),0)</f>
        <v>13.5553038552169</v>
      </c>
      <c r="R163" s="25" t="n">
        <f aca="false">IFERROR(SUMPRODUCT(LT_incl*(ISNUMBER(LT_eff)*(LT_eff&gt;=$V163)*(LT_eff&lt;$W163)),LT_upb,LT_rte)/SUMPRODUCT(LT_incl*(ISNUMBER(LT_eff)*(LT_eff&gt;=$V163)*(LT_eff&lt;$W163))*ISNUMBER(LT_rte),LT_upb),0)</f>
        <v>24.7789733688953</v>
      </c>
      <c r="S163" s="23" t="n">
        <f aca="false">IFERROR(SUMPRODUCT(LT_incl*(ISNUMBER(LT_eff)*(LT_eff&gt;=$V163)*(LT_eff&lt;$W163)),LT_backdebt)/G163,0)</f>
        <v>0.544745630521641</v>
      </c>
      <c r="T163" s="23" t="n">
        <f aca="false">IFERROR(SUMPRODUCT(LT_incl*(ISNUMBER(LT_eff)*(LT_eff&gt;=$V163)*(LT_eff&lt;$W163)),LT_equity,LT_roe)/SUMPRODUCT(LT_incl*(ISNUMBER(LT_eff)*(LT_eff&gt;=$V163)*(LT_eff&lt;$W163))*ISNUMBER(LT_roe),LT_equity),0)</f>
        <v>0.11093125402472</v>
      </c>
      <c r="V163" s="47" t="n">
        <v>0.04</v>
      </c>
      <c r="W163" s="47" t="n">
        <v>0.05</v>
      </c>
    </row>
    <row r="164" customFormat="false" ht="15" hidden="false" customHeight="false" outlineLevel="0" collapsed="false">
      <c r="B164" s="27" t="s">
        <v>163</v>
      </c>
      <c r="C164" s="44" t="n">
        <f aca="false">SUMPRODUCT(LT_incl*(ISNUMBER(LT_eff)*(LT_eff&gt;=$V164)*(LT_eff&lt;$W164)))</f>
        <v>22</v>
      </c>
      <c r="D164" s="32" t="n">
        <f aca="false">IFERROR(C164/StratLoans,0)</f>
        <v>0.16793893129771</v>
      </c>
      <c r="E164" s="44" t="n">
        <f aca="false">SUMPRODUCT(LT_incl*(ISNUMBER(LT_eff)*(LT_eff&gt;=$V164)*(LT_eff&lt;$W164)),LT_units)</f>
        <v>732</v>
      </c>
      <c r="F164" s="44" t="n">
        <f aca="false">SUMPRODUCT(LT_incl*(ISNUMBER(LT_eff)*(LT_eff&gt;=$V164)*(LT_eff&lt;$W164)),LT_beds)</f>
        <v>4399</v>
      </c>
      <c r="G164" s="31" t="n">
        <f aca="false">SUMPRODUCT(LT_incl*(ISNUMBER(LT_eff)*(LT_eff&gt;=$V164)*(LT_eff&lt;$W164)),LT_upb)</f>
        <v>502921303.23</v>
      </c>
      <c r="H164" s="32" t="n">
        <f aca="false">IFERROR(G164/StratUPB,0)</f>
        <v>0.13533250564065</v>
      </c>
      <c r="I164" s="31" t="n">
        <f aca="false">IFERROR(G164/C164,0)</f>
        <v>22860059.2377273</v>
      </c>
      <c r="J164" s="31" t="n">
        <f aca="false">SUMPRODUCT(LT_incl*(ISNUMBER(LT_eff)*(LT_eff&gt;=$V164)*(LT_eff&lt;$W164)),LT_unfunded)</f>
        <v>11197826.75</v>
      </c>
      <c r="K164" s="31" t="n">
        <f aca="false">SUMPRODUCT(LT_incl*(ISNUMBER(LT_eff)*(LT_eff&gt;=$V164)*(LT_eff&lt;$W164)),LT_navres)</f>
        <v>0</v>
      </c>
      <c r="L164" s="33" t="n">
        <f aca="false">IFERROR(SUMPRODUCT(LT_incl*(ISNUMBER(LT_eff)*(LT_eff&gt;=$V164)*(LT_eff&lt;$W164)),LT_upb,LT_eff)/SUMPRODUCT(LT_incl*(ISNUMBER(LT_eff)*(LT_eff&gt;=$V164)*(LT_eff&lt;$W164))*ISNUMBER(LT_eff),LT_upb),0)</f>
        <v>0.0570310078121464</v>
      </c>
      <c r="M164" s="33" t="n">
        <f aca="false">IFERROR(SUMPRODUCT(LT_incl*(ISNUMBER(LT_eff)*(LT_eff&gt;=$V164)*(LT_eff&lt;$W164)),LT_upb,LT_coupon)/SUMPRODUCT(LT_incl*(ISNUMBER(LT_eff)*(LT_eff&gt;=$V164)*(LT_eff&lt;$W164))*ISNUMBER(LT_coupon),LT_upb),0)</f>
        <v>0.0935310078121465</v>
      </c>
      <c r="N164" s="32" t="n">
        <f aca="false">IFERROR(SUMPRODUCT(LT_incl*(ISNUMBER(LT_eff)*(LT_eff&gt;=$V164)*(LT_eff&lt;$W164)),LT_upb,LT_ltv_asis)/SUMPRODUCT(LT_incl*(ISNUMBER(LT_eff)*(LT_eff&gt;=$V164)*(LT_eff&lt;$W164))*ISNUMBER(LT_ltv_asis),LT_upb),0)</f>
        <v>0.604656583377052</v>
      </c>
      <c r="O164" s="32" t="n">
        <f aca="false">IFERROR(SUMPRODUCT(LT_incl*(ISNUMBER(LT_eff)*(LT_eff&gt;=$V164)*(LT_eff&lt;$W164)),LT_upb,LT_ltv_stab)/SUMPRODUCT(LT_incl*(ISNUMBER(LT_eff)*(LT_eff&gt;=$V164)*(LT_eff&lt;$W164))*ISNUMBER(LT_ltv_stab),LT_upb),0)</f>
        <v>0.643130662895291</v>
      </c>
      <c r="P164" s="34" t="n">
        <f aca="false">IFERROR(SUMPRODUCT(LT_incl*(ISNUMBER(LT_eff)*(LT_eff&gt;=$V164)*(LT_eff&lt;$W164)),LT_upb,LT_seas)/SUMPRODUCT(LT_incl*(ISNUMBER(LT_eff)*(LT_eff&gt;=$V164)*(LT_eff&lt;$W164))*ISNUMBER(LT_seas),LT_upb),0)</f>
        <v>21.1347657185886</v>
      </c>
      <c r="Q164" s="34" t="n">
        <f aca="false">IFERROR(SUMPRODUCT(LT_incl*(ISNUMBER(LT_eff)*(LT_eff&gt;=$V164)*(LT_eff&lt;$W164)),LT_upb,LT_rti)/SUMPRODUCT(LT_incl*(ISNUMBER(LT_eff)*(LT_eff&gt;=$V164)*(LT_eff&lt;$W164))*ISNUMBER(LT_rti),LT_upb),0)</f>
        <v>11.0471150960655</v>
      </c>
      <c r="R164" s="34" t="n">
        <f aca="false">IFERROR(SUMPRODUCT(LT_incl*(ISNUMBER(LT_eff)*(LT_eff&gt;=$V164)*(LT_eff&lt;$W164)),LT_upb,LT_rte)/SUMPRODUCT(LT_incl*(ISNUMBER(LT_eff)*(LT_eff&gt;=$V164)*(LT_eff&lt;$W164))*ISNUMBER(LT_rte),LT_upb),0)</f>
        <v>19.7282534838265</v>
      </c>
      <c r="S164" s="32" t="n">
        <f aca="false">IFERROR(SUMPRODUCT(LT_incl*(ISNUMBER(LT_eff)*(LT_eff&gt;=$V164)*(LT_eff&lt;$W164)),LT_backdebt)/G164,0)</f>
        <v>0.504988979965161</v>
      </c>
      <c r="T164" s="32" t="n">
        <f aca="false">IFERROR(SUMPRODUCT(LT_incl*(ISNUMBER(LT_eff)*(LT_eff&gt;=$V164)*(LT_eff&lt;$W164)),LT_equity,LT_roe)/SUMPRODUCT(LT_incl*(ISNUMBER(LT_eff)*(LT_eff&gt;=$V164)*(LT_eff&lt;$W164))*ISNUMBER(LT_roe),LT_equity),0)</f>
        <v>0.124786062805697</v>
      </c>
      <c r="V164" s="47" t="n">
        <v>0.05</v>
      </c>
      <c r="W164" s="47" t="n">
        <v>0.07</v>
      </c>
    </row>
    <row r="165" customFormat="false" ht="15" hidden="false" customHeight="false" outlineLevel="0" collapsed="false">
      <c r="B165" s="18" t="s">
        <v>164</v>
      </c>
      <c r="C165" s="26" t="n">
        <f aca="false">SUMPRODUCT(LT_incl*(ISNUMBER(LT_eff)*(LT_eff&gt;=$V165)*(LT_eff&lt;$W165)))</f>
        <v>12</v>
      </c>
      <c r="D165" s="23" t="n">
        <f aca="false">IFERROR(C165/StratLoans,0)</f>
        <v>0.0916030534351145</v>
      </c>
      <c r="E165" s="26" t="n">
        <f aca="false">SUMPRODUCT(LT_incl*(ISNUMBER(LT_eff)*(LT_eff&gt;=$V165)*(LT_eff&lt;$W165)),LT_units)</f>
        <v>2981</v>
      </c>
      <c r="F165" s="26" t="n">
        <f aca="false">SUMPRODUCT(LT_incl*(ISNUMBER(LT_eff)*(LT_eff&gt;=$V165)*(LT_eff&lt;$W165)),LT_beds)</f>
        <v>947</v>
      </c>
      <c r="G165" s="22" t="n">
        <f aca="false">SUMPRODUCT(LT_incl*(ISNUMBER(LT_eff)*(LT_eff&gt;=$V165)*(LT_eff&lt;$W165)),LT_upb)</f>
        <v>50539255.4</v>
      </c>
      <c r="H165" s="23" t="n">
        <f aca="false">IFERROR(G165/StratUPB,0)</f>
        <v>0.0135997501449383</v>
      </c>
      <c r="I165" s="22" t="n">
        <f aca="false">IFERROR(G165/C165,0)</f>
        <v>4211604.61666667</v>
      </c>
      <c r="J165" s="22" t="n">
        <f aca="false">SUMPRODUCT(LT_incl*(ISNUMBER(LT_eff)*(LT_eff&gt;=$V165)*(LT_eff&lt;$W165)),LT_unfunded)</f>
        <v>0</v>
      </c>
      <c r="K165" s="22" t="n">
        <f aca="false">SUMPRODUCT(LT_incl*(ISNUMBER(LT_eff)*(LT_eff&gt;=$V165)*(LT_eff&lt;$W165)),LT_navres)</f>
        <v>42616.9326696957</v>
      </c>
      <c r="L165" s="24" t="n">
        <f aca="false">IFERROR(SUMPRODUCT(LT_incl*(ISNUMBER(LT_eff)*(LT_eff&gt;=$V165)*(LT_eff&lt;$W165)),LT_upb,LT_eff)/SUMPRODUCT(LT_incl*(ISNUMBER(LT_eff)*(LT_eff&gt;=$V165)*(LT_eff&lt;$W165))*ISNUMBER(LT_eff),LT_upb),0)</f>
        <v>0.0927423614149646</v>
      </c>
      <c r="M165" s="24" t="n">
        <f aca="false">IFERROR(SUMPRODUCT(LT_incl*(ISNUMBER(LT_eff)*(LT_eff&gt;=$V165)*(LT_eff&lt;$W165)),LT_upb,LT_coupon)/SUMPRODUCT(LT_incl*(ISNUMBER(LT_eff)*(LT_eff&gt;=$V165)*(LT_eff&lt;$W165))*ISNUMBER(LT_coupon),LT_upb),0)</f>
        <v>0.129242361414965</v>
      </c>
      <c r="N165" s="23" t="n">
        <f aca="false">IFERROR(SUMPRODUCT(LT_incl*(ISNUMBER(LT_eff)*(LT_eff&gt;=$V165)*(LT_eff&lt;$W165)),LT_upb,LT_ltv_asis)/SUMPRODUCT(LT_incl*(ISNUMBER(LT_eff)*(LT_eff&gt;=$V165)*(LT_eff&lt;$W165))*ISNUMBER(LT_ltv_asis),LT_upb),0)</f>
        <v>0.732401445958222</v>
      </c>
      <c r="O165" s="23" t="n">
        <f aca="false">IFERROR(SUMPRODUCT(LT_incl*(ISNUMBER(LT_eff)*(LT_eff&gt;=$V165)*(LT_eff&lt;$W165)),LT_upb,LT_ltv_stab)/SUMPRODUCT(LT_incl*(ISNUMBER(LT_eff)*(LT_eff&gt;=$V165)*(LT_eff&lt;$W165))*ISNUMBER(LT_ltv_stab),LT_upb),0)</f>
        <v>0.668779724448477</v>
      </c>
      <c r="P165" s="25" t="n">
        <f aca="false">IFERROR(SUMPRODUCT(LT_incl*(ISNUMBER(LT_eff)*(LT_eff&gt;=$V165)*(LT_eff&lt;$W165)),LT_upb,LT_seas)/SUMPRODUCT(LT_incl*(ISNUMBER(LT_eff)*(LT_eff&gt;=$V165)*(LT_eff&lt;$W165))*ISNUMBER(LT_seas),LT_upb),0)</f>
        <v>49.769958381073</v>
      </c>
      <c r="Q165" s="25" t="n">
        <f aca="false">IFERROR(SUMPRODUCT(LT_incl*(ISNUMBER(LT_eff)*(LT_eff&gt;=$V165)*(LT_eff&lt;$W165)),LT_upb,LT_rti)/SUMPRODUCT(LT_incl*(ISNUMBER(LT_eff)*(LT_eff&gt;=$V165)*(LT_eff&lt;$W165))*ISNUMBER(LT_rti),LT_upb),0)</f>
        <v>33.3025394655374</v>
      </c>
      <c r="R165" s="25" t="n">
        <f aca="false">IFERROR(SUMPRODUCT(LT_incl*(ISNUMBER(LT_eff)*(LT_eff&gt;=$V165)*(LT_eff&lt;$W165)),LT_upb,LT_rte)/SUMPRODUCT(LT_incl*(ISNUMBER(LT_eff)*(LT_eff&gt;=$V165)*(LT_eff&lt;$W165))*ISNUMBER(LT_rte),LT_upb),0)</f>
        <v>35.2056934160978</v>
      </c>
      <c r="S165" s="23" t="n">
        <f aca="false">IFERROR(SUMPRODUCT(LT_incl*(ISNUMBER(LT_eff)*(LT_eff&gt;=$V165)*(LT_eff&lt;$W165)),LT_backdebt)/G165,0)</f>
        <v>0.202749145203673</v>
      </c>
      <c r="T165" s="23" t="n">
        <f aca="false">IFERROR(SUMPRODUCT(LT_incl*(ISNUMBER(LT_eff)*(LT_eff&gt;=$V165)*(LT_eff&lt;$W165)),LT_equity,LT_roe)/SUMPRODUCT(LT_incl*(ISNUMBER(LT_eff)*(LT_eff&gt;=$V165)*(LT_eff&lt;$W165))*ISNUMBER(LT_roe),LT_equity),0)</f>
        <v>0.147563479677133</v>
      </c>
      <c r="V165" s="47" t="n">
        <v>0.07</v>
      </c>
      <c r="W165" s="47" t="n">
        <v>1000000000000</v>
      </c>
    </row>
    <row r="166" customFormat="false" ht="15" hidden="false" customHeight="false" outlineLevel="0" collapsed="false">
      <c r="B166" s="35" t="s">
        <v>76</v>
      </c>
      <c r="C166" s="45" t="n">
        <f aca="false">SUMPRODUCT(LT_incl*(1))</f>
        <v>131</v>
      </c>
      <c r="D166" s="38" t="n">
        <f aca="false">IFERROR(C166/StratLoans,0)</f>
        <v>1</v>
      </c>
      <c r="E166" s="45" t="n">
        <f aca="false">SUMPRODUCT(LT_incl*(1),LT_units)</f>
        <v>22360</v>
      </c>
      <c r="F166" s="45" t="n">
        <f aca="false">SUMPRODUCT(LT_incl*(1),LT_beds)</f>
        <v>8726</v>
      </c>
      <c r="G166" s="37" t="n">
        <f aca="false">SUMPRODUCT(LT_incl*(1),LT_upb)</f>
        <v>3716189993.3</v>
      </c>
      <c r="H166" s="38" t="n">
        <f aca="false">IFERROR(G166/StratUPB,0)</f>
        <v>1</v>
      </c>
      <c r="I166" s="37" t="n">
        <f aca="false">IFERROR(G166/C166,0)</f>
        <v>28367862.5442748</v>
      </c>
      <c r="J166" s="37" t="n">
        <f aca="false">SUMPRODUCT(LT_incl*(1),LT_unfunded)</f>
        <v>70425498.27</v>
      </c>
      <c r="K166" s="37" t="n">
        <f aca="false">SUMPRODUCT(LT_incl*(1),LT_navres)</f>
        <v>-35761255.0310469</v>
      </c>
      <c r="L166" s="39" t="n">
        <f aca="false">IFERROR(SUMPRODUCT(LT_incl*(1),LT_upb,LT_eff)/SUMPRODUCT(LT_incl*(1)*ISNUMBER(LT_eff),LT_upb),0)</f>
        <v>0.0384104790702225</v>
      </c>
      <c r="M166" s="39" t="n">
        <f aca="false">IFERROR(SUMPRODUCT(LT_incl*(1),LT_upb,LT_coupon)/SUMPRODUCT(LT_incl*(1)*ISNUMBER(LT_coupon),LT_upb),0)</f>
        <v>0.0749104790702225</v>
      </c>
      <c r="N166" s="38" t="n">
        <f aca="false">IFERROR(SUMPRODUCT(LT_incl*(1),LT_upb,LT_ltv_asis)/SUMPRODUCT(LT_incl*(1)*ISNUMBER(LT_ltv_asis),LT_upb),0)</f>
        <v>0.685976245136614</v>
      </c>
      <c r="O166" s="38" t="n">
        <f aca="false">IFERROR(SUMPRODUCT(LT_incl*(1),LT_upb,LT_ltv_stab)/SUMPRODUCT(LT_incl*(1)*ISNUMBER(LT_ltv_stab),LT_upb),0)</f>
        <v>0.658970555756018</v>
      </c>
      <c r="P166" s="40" t="n">
        <f aca="false">IFERROR(SUMPRODUCT(LT_incl*(1),LT_upb,LT_seas)/SUMPRODUCT(LT_incl*(1)*ISNUMBER(LT_seas),LT_upb),0)</f>
        <v>26.0197171750702</v>
      </c>
      <c r="Q166" s="40" t="n">
        <f aca="false">IFERROR(SUMPRODUCT(LT_incl*(1),LT_upb,LT_rti)/SUMPRODUCT(LT_incl*(1)*ISNUMBER(LT_rti),LT_upb),0)</f>
        <v>10.7164396387939</v>
      </c>
      <c r="R166" s="40" t="n">
        <f aca="false">IFERROR(SUMPRODUCT(LT_incl*(1),LT_upb,LT_rte)/SUMPRODUCT(LT_incl*(1)*ISNUMBER(LT_rte),LT_upb),0)</f>
        <v>23.051497716819</v>
      </c>
      <c r="S166" s="38" t="n">
        <f aca="false">IFERROR(SUMPRODUCT(LT_incl*(1),LT_backdebt)/G166,0)</f>
        <v>0.628005362553862</v>
      </c>
      <c r="T166" s="38" t="n">
        <f aca="false">IFERROR(SUMPRODUCT(LT_incl*(1),LT_equity,LT_roe)/SUMPRODUCT(LT_incl*(1)*ISNUMBER(LT_roe),LT_equity),0)</f>
        <v>0.107961987212177</v>
      </c>
    </row>
    <row r="168" customFormat="false" ht="15" hidden="false" customHeight="false" outlineLevel="0" collapsed="false">
      <c r="B168" s="3" t="s">
        <v>165</v>
      </c>
      <c r="C168" s="4"/>
      <c r="D168" s="4"/>
      <c r="E168" s="4"/>
      <c r="F168" s="4"/>
      <c r="G168" s="4"/>
      <c r="H168" s="4"/>
      <c r="I168" s="4"/>
      <c r="J168" s="4"/>
      <c r="K168" s="4"/>
      <c r="L168" s="4"/>
      <c r="M168" s="4"/>
      <c r="N168" s="4"/>
      <c r="O168" s="4"/>
      <c r="P168" s="4"/>
      <c r="Q168" s="4"/>
      <c r="R168" s="4"/>
      <c r="S168" s="4"/>
      <c r="T168" s="4"/>
    </row>
    <row r="169" customFormat="false" ht="39.75" hidden="false" customHeight="true" outlineLevel="0" collapsed="false">
      <c r="B169" s="16" t="s">
        <v>147</v>
      </c>
      <c r="C169" s="17" t="s">
        <v>13</v>
      </c>
      <c r="D169" s="17" t="s">
        <v>64</v>
      </c>
      <c r="E169" s="17" t="s">
        <v>65</v>
      </c>
      <c r="F169" s="17" t="s">
        <v>66</v>
      </c>
      <c r="G169" s="17" t="s">
        <v>16</v>
      </c>
      <c r="H169" s="17" t="s">
        <v>46</v>
      </c>
      <c r="I169" s="17" t="s">
        <v>19</v>
      </c>
      <c r="J169" s="17" t="s">
        <v>28</v>
      </c>
      <c r="K169" s="17" t="s">
        <v>31</v>
      </c>
      <c r="L169" s="17" t="s">
        <v>7</v>
      </c>
      <c r="M169" s="17" t="s">
        <v>11</v>
      </c>
      <c r="N169" s="17" t="s">
        <v>23</v>
      </c>
      <c r="O169" s="17" t="s">
        <v>67</v>
      </c>
      <c r="P169" s="17" t="s">
        <v>5</v>
      </c>
      <c r="Q169" s="17" t="s">
        <v>68</v>
      </c>
      <c r="R169" s="17" t="s">
        <v>69</v>
      </c>
      <c r="S169" s="17" t="s">
        <v>56</v>
      </c>
      <c r="T169" s="17" t="s">
        <v>70</v>
      </c>
      <c r="V169" s="17" t="s">
        <v>148</v>
      </c>
      <c r="W169" s="17" t="s">
        <v>149</v>
      </c>
    </row>
    <row r="170" customFormat="false" ht="15" hidden="false" customHeight="false" outlineLevel="0" collapsed="false">
      <c r="B170" s="18" t="s">
        <v>166</v>
      </c>
      <c r="C170" s="26" t="n">
        <f aca="false">SUMPRODUCT(LT_incl*(ISNUMBER(LT_coupon)*(LT_coupon&gt;=$V170)*(LT_coupon&lt;$W170)))</f>
        <v>6</v>
      </c>
      <c r="D170" s="23" t="n">
        <f aca="false">IFERROR(C170/StratLoans,0)</f>
        <v>0.0458015267175573</v>
      </c>
      <c r="E170" s="26" t="n">
        <f aca="false">SUMPRODUCT(LT_incl*(ISNUMBER(LT_coupon)*(LT_coupon&gt;=$V170)*(LT_coupon&lt;$W170)),LT_units)</f>
        <v>2087</v>
      </c>
      <c r="F170" s="26" t="n">
        <f aca="false">SUMPRODUCT(LT_incl*(ISNUMBER(LT_coupon)*(LT_coupon&gt;=$V170)*(LT_coupon&lt;$W170)),LT_beds)</f>
        <v>0</v>
      </c>
      <c r="G170" s="22" t="n">
        <f aca="false">SUMPRODUCT(LT_incl*(ISNUMBER(LT_coupon)*(LT_coupon&gt;=$V170)*(LT_coupon&lt;$W170)),LT_upb)</f>
        <v>274217669.52</v>
      </c>
      <c r="H170" s="23" t="n">
        <f aca="false">IFERROR(G170/StratUPB,0)</f>
        <v>0.0737900026678919</v>
      </c>
      <c r="I170" s="22" t="n">
        <f aca="false">IFERROR(G170/C170,0)</f>
        <v>45702944.92</v>
      </c>
      <c r="J170" s="22" t="n">
        <f aca="false">SUMPRODUCT(LT_incl*(ISNUMBER(LT_coupon)*(LT_coupon&gt;=$V170)*(LT_coupon&lt;$W170)),LT_unfunded)</f>
        <v>6709084.9</v>
      </c>
      <c r="K170" s="22" t="n">
        <f aca="false">SUMPRODUCT(LT_incl*(ISNUMBER(LT_coupon)*(LT_coupon&gt;=$V170)*(LT_coupon&lt;$W170)),LT_navres)</f>
        <v>-2529654.06269062</v>
      </c>
      <c r="L170" s="24" t="n">
        <f aca="false">IFERROR(SUMPRODUCT(LT_incl*(ISNUMBER(LT_coupon)*(LT_coupon&gt;=$V170)*(LT_coupon&lt;$W170)),LT_upb,LT_eff)/SUMPRODUCT(LT_incl*(ISNUMBER(LT_coupon)*(LT_coupon&gt;=$V170)*(LT_coupon&lt;$W170))*ISNUMBER(LT_eff),LT_upb),0)</f>
        <v>0.0238379445070123</v>
      </c>
      <c r="M170" s="24" t="n">
        <f aca="false">IFERROR(SUMPRODUCT(LT_incl*(ISNUMBER(LT_coupon)*(LT_coupon&gt;=$V170)*(LT_coupon&lt;$W170)),LT_upb,LT_coupon)/SUMPRODUCT(LT_incl*(ISNUMBER(LT_coupon)*(LT_coupon&gt;=$V170)*(LT_coupon&lt;$W170))*ISNUMBER(LT_coupon),LT_upb),0)</f>
        <v>0.0603379445070123</v>
      </c>
      <c r="N170" s="23" t="n">
        <f aca="false">IFERROR(SUMPRODUCT(LT_incl*(ISNUMBER(LT_coupon)*(LT_coupon&gt;=$V170)*(LT_coupon&lt;$W170)),LT_upb,LT_ltv_asis)/SUMPRODUCT(LT_incl*(ISNUMBER(LT_coupon)*(LT_coupon&gt;=$V170)*(LT_coupon&lt;$W170))*ISNUMBER(LT_ltv_asis),LT_upb),0)</f>
        <v>0.794997121726533</v>
      </c>
      <c r="O170" s="23" t="n">
        <f aca="false">IFERROR(SUMPRODUCT(LT_incl*(ISNUMBER(LT_coupon)*(LT_coupon&gt;=$V170)*(LT_coupon&lt;$W170)),LT_upb,LT_ltv_stab)/SUMPRODUCT(LT_incl*(ISNUMBER(LT_coupon)*(LT_coupon&gt;=$V170)*(LT_coupon&lt;$W170))*ISNUMBER(LT_ltv_stab),LT_upb),0)</f>
        <v>0.730480565780444</v>
      </c>
      <c r="P170" s="25" t="n">
        <f aca="false">IFERROR(SUMPRODUCT(LT_incl*(ISNUMBER(LT_coupon)*(LT_coupon&gt;=$V170)*(LT_coupon&lt;$W170)),LT_upb,LT_seas)/SUMPRODUCT(LT_incl*(ISNUMBER(LT_coupon)*(LT_coupon&gt;=$V170)*(LT_coupon&lt;$W170))*ISNUMBER(LT_seas),LT_upb),0)</f>
        <v>5.58658314638662</v>
      </c>
      <c r="Q170" s="25" t="n">
        <f aca="false">IFERROR(SUMPRODUCT(LT_incl*(ISNUMBER(LT_coupon)*(LT_coupon&gt;=$V170)*(LT_coupon&lt;$W170)),LT_upb,LT_rti)/SUMPRODUCT(LT_incl*(ISNUMBER(LT_coupon)*(LT_coupon&gt;=$V170)*(LT_coupon&lt;$W170))*ISNUMBER(LT_rti),LT_upb),0)</f>
        <v>27.660506979489</v>
      </c>
      <c r="R170" s="25" t="n">
        <f aca="false">IFERROR(SUMPRODUCT(LT_incl*(ISNUMBER(LT_coupon)*(LT_coupon&gt;=$V170)*(LT_coupon&lt;$W170)),LT_upb,LT_rte)/SUMPRODUCT(LT_incl*(ISNUMBER(LT_coupon)*(LT_coupon&gt;=$V170)*(LT_coupon&lt;$W170))*ISNUMBER(LT_rte),LT_upb),0)</f>
        <v>46.1118809588443</v>
      </c>
      <c r="S170" s="23" t="n">
        <f aca="false">IFERROR(SUMPRODUCT(LT_incl*(ISNUMBER(LT_coupon)*(LT_coupon&gt;=$V170)*(LT_coupon&lt;$W170)),LT_backdebt)/G170,0)</f>
        <v>0.648244149660951</v>
      </c>
      <c r="T170" s="23" t="n">
        <f aca="false">IFERROR(SUMPRODUCT(LT_incl*(ISNUMBER(LT_coupon)*(LT_coupon&gt;=$V170)*(LT_coupon&lt;$W170)),LT_equity,LT_roe)/SUMPRODUCT(LT_incl*(ISNUMBER(LT_coupon)*(LT_coupon&gt;=$V170)*(LT_coupon&lt;$W170))*ISNUMBER(LT_roe),LT_equity),0)</f>
        <v>0.0782831532621088</v>
      </c>
      <c r="V170" s="47" t="n">
        <v>-1000000000000</v>
      </c>
      <c r="W170" s="47" t="n">
        <v>0.065</v>
      </c>
    </row>
    <row r="171" customFormat="false" ht="15" hidden="false" customHeight="false" outlineLevel="0" collapsed="false">
      <c r="B171" s="27" t="s">
        <v>167</v>
      </c>
      <c r="C171" s="44" t="n">
        <f aca="false">SUMPRODUCT(LT_incl*(ISNUMBER(LT_coupon)*(LT_coupon&gt;=$V171)*(LT_coupon&lt;$W171)))</f>
        <v>32</v>
      </c>
      <c r="D171" s="32" t="n">
        <f aca="false">IFERROR(C171/StratLoans,0)</f>
        <v>0.244274809160305</v>
      </c>
      <c r="E171" s="44" t="n">
        <f aca="false">SUMPRODUCT(LT_incl*(ISNUMBER(LT_coupon)*(LT_coupon&gt;=$V171)*(LT_coupon&lt;$W171)),LT_units)</f>
        <v>8022</v>
      </c>
      <c r="F171" s="44" t="n">
        <f aca="false">SUMPRODUCT(LT_incl*(ISNUMBER(LT_coupon)*(LT_coupon&gt;=$V171)*(LT_coupon&lt;$W171)),LT_beds)</f>
        <v>0</v>
      </c>
      <c r="G171" s="31" t="n">
        <f aca="false">SUMPRODUCT(LT_incl*(ISNUMBER(LT_coupon)*(LT_coupon&gt;=$V171)*(LT_coupon&lt;$W171)),LT_upb)</f>
        <v>1344590926.57</v>
      </c>
      <c r="H171" s="32" t="n">
        <f aca="false">IFERROR(G171/StratUPB,0)</f>
        <v>0.361819747912295</v>
      </c>
      <c r="I171" s="31" t="n">
        <f aca="false">IFERROR(G171/C171,0)</f>
        <v>42018466.4553125</v>
      </c>
      <c r="J171" s="31" t="n">
        <f aca="false">SUMPRODUCT(LT_incl*(ISNUMBER(LT_coupon)*(LT_coupon&gt;=$V171)*(LT_coupon&lt;$W171)),LT_unfunded)</f>
        <v>19343073.16</v>
      </c>
      <c r="K171" s="31" t="n">
        <f aca="false">SUMPRODUCT(LT_incl*(ISNUMBER(LT_coupon)*(LT_coupon&gt;=$V171)*(LT_coupon&lt;$W171)),LT_navres)</f>
        <v>-658228.596598275</v>
      </c>
      <c r="L171" s="33" t="n">
        <f aca="false">IFERROR(SUMPRODUCT(LT_incl*(ISNUMBER(LT_coupon)*(LT_coupon&gt;=$V171)*(LT_coupon&lt;$W171)),LT_upb,LT_eff)/SUMPRODUCT(LT_incl*(ISNUMBER(LT_coupon)*(LT_coupon&gt;=$V171)*(LT_coupon&lt;$W171))*ISNUMBER(LT_eff),LT_upb),0)</f>
        <v>0.0309020545421417</v>
      </c>
      <c r="M171" s="33" t="n">
        <f aca="false">IFERROR(SUMPRODUCT(LT_incl*(ISNUMBER(LT_coupon)*(LT_coupon&gt;=$V171)*(LT_coupon&lt;$W171)),LT_upb,LT_coupon)/SUMPRODUCT(LT_incl*(ISNUMBER(LT_coupon)*(LT_coupon&gt;=$V171)*(LT_coupon&lt;$W171))*ISNUMBER(LT_coupon),LT_upb),0)</f>
        <v>0.0674020545421417</v>
      </c>
      <c r="N171" s="32" t="n">
        <f aca="false">IFERROR(SUMPRODUCT(LT_incl*(ISNUMBER(LT_coupon)*(LT_coupon&gt;=$V171)*(LT_coupon&lt;$W171)),LT_upb,LT_ltv_asis)/SUMPRODUCT(LT_incl*(ISNUMBER(LT_coupon)*(LT_coupon&gt;=$V171)*(LT_coupon&lt;$W171))*ISNUMBER(LT_ltv_asis),LT_upb),0)</f>
        <v>0.6753720584674</v>
      </c>
      <c r="O171" s="32" t="n">
        <f aca="false">IFERROR(SUMPRODUCT(LT_incl*(ISNUMBER(LT_coupon)*(LT_coupon&gt;=$V171)*(LT_coupon&lt;$W171)),LT_upb,LT_ltv_stab)/SUMPRODUCT(LT_incl*(ISNUMBER(LT_coupon)*(LT_coupon&gt;=$V171)*(LT_coupon&lt;$W171))*ISNUMBER(LT_ltv_stab),LT_upb),0)</f>
        <v>0.641083838309659</v>
      </c>
      <c r="P171" s="34" t="n">
        <f aca="false">IFERROR(SUMPRODUCT(LT_incl*(ISNUMBER(LT_coupon)*(LT_coupon&gt;=$V171)*(LT_coupon&lt;$W171)),LT_upb,LT_seas)/SUMPRODUCT(LT_incl*(ISNUMBER(LT_coupon)*(LT_coupon&gt;=$V171)*(LT_coupon&lt;$W171))*ISNUMBER(LT_seas),LT_upb),0)</f>
        <v>25.4618884514815</v>
      </c>
      <c r="Q171" s="34" t="n">
        <f aca="false">IFERROR(SUMPRODUCT(LT_incl*(ISNUMBER(LT_coupon)*(LT_coupon&gt;=$V171)*(LT_coupon&lt;$W171)),LT_upb,LT_rti)/SUMPRODUCT(LT_incl*(ISNUMBER(LT_coupon)*(LT_coupon&gt;=$V171)*(LT_coupon&lt;$W171))*ISNUMBER(LT_rti),LT_upb),0)</f>
        <v>10.5498006859708</v>
      </c>
      <c r="R171" s="34" t="n">
        <f aca="false">IFERROR(SUMPRODUCT(LT_incl*(ISNUMBER(LT_coupon)*(LT_coupon&gt;=$V171)*(LT_coupon&lt;$W171)),LT_upb,LT_rte)/SUMPRODUCT(LT_incl*(ISNUMBER(LT_coupon)*(LT_coupon&gt;=$V171)*(LT_coupon&lt;$W171))*ISNUMBER(LT_rte),LT_upb),0)</f>
        <v>27.5069486580353</v>
      </c>
      <c r="S171" s="32" t="n">
        <f aca="false">IFERROR(SUMPRODUCT(LT_incl*(ISNUMBER(LT_coupon)*(LT_coupon&gt;=$V171)*(LT_coupon&lt;$W171)),LT_backdebt)/G171,0)</f>
        <v>0.744831595479218</v>
      </c>
      <c r="T171" s="32" t="n">
        <f aca="false">IFERROR(SUMPRODUCT(LT_incl*(ISNUMBER(LT_coupon)*(LT_coupon&gt;=$V171)*(LT_coupon&lt;$W171)),LT_equity,LT_roe)/SUMPRODUCT(LT_incl*(ISNUMBER(LT_coupon)*(LT_coupon&gt;=$V171)*(LT_coupon&lt;$W171))*ISNUMBER(LT_roe),LT_equity),0)</f>
        <v>0.106924963606081</v>
      </c>
      <c r="V171" s="47" t="n">
        <v>0.065</v>
      </c>
      <c r="W171" s="47" t="n">
        <v>0.07</v>
      </c>
    </row>
    <row r="172" customFormat="false" ht="15" hidden="false" customHeight="false" outlineLevel="0" collapsed="false">
      <c r="B172" s="18" t="s">
        <v>168</v>
      </c>
      <c r="C172" s="26" t="n">
        <f aca="false">SUMPRODUCT(LT_incl*(ISNUMBER(LT_coupon)*(LT_coupon&gt;=$V172)*(LT_coupon&lt;$W172)))</f>
        <v>26</v>
      </c>
      <c r="D172" s="23" t="n">
        <f aca="false">IFERROR(C172/StratLoans,0)</f>
        <v>0.198473282442748</v>
      </c>
      <c r="E172" s="26" t="n">
        <f aca="false">SUMPRODUCT(LT_incl*(ISNUMBER(LT_coupon)*(LT_coupon&gt;=$V172)*(LT_coupon&lt;$W172)),LT_units)</f>
        <v>5405</v>
      </c>
      <c r="F172" s="26" t="n">
        <f aca="false">SUMPRODUCT(LT_incl*(ISNUMBER(LT_coupon)*(LT_coupon&gt;=$V172)*(LT_coupon&lt;$W172)),LT_beds)</f>
        <v>0</v>
      </c>
      <c r="G172" s="22" t="n">
        <f aca="false">SUMPRODUCT(LT_incl*(ISNUMBER(LT_coupon)*(LT_coupon&gt;=$V172)*(LT_coupon&lt;$W172)),LT_upb)</f>
        <v>679919507.74</v>
      </c>
      <c r="H172" s="23" t="n">
        <f aca="false">IFERROR(G172/StratUPB,0)</f>
        <v>0.182961449486125</v>
      </c>
      <c r="I172" s="22" t="n">
        <f aca="false">IFERROR(G172/C172,0)</f>
        <v>26150750.2976923</v>
      </c>
      <c r="J172" s="22" t="n">
        <f aca="false">SUMPRODUCT(LT_incl*(ISNUMBER(LT_coupon)*(LT_coupon&gt;=$V172)*(LT_coupon&lt;$W172)),LT_unfunded)</f>
        <v>5491632.3</v>
      </c>
      <c r="K172" s="22" t="n">
        <f aca="false">SUMPRODUCT(LT_incl*(ISNUMBER(LT_coupon)*(LT_coupon&gt;=$V172)*(LT_coupon&lt;$W172)),LT_navres)</f>
        <v>-24885989.3044277</v>
      </c>
      <c r="L172" s="24" t="n">
        <f aca="false">IFERROR(SUMPRODUCT(LT_incl*(ISNUMBER(LT_coupon)*(LT_coupon&gt;=$V172)*(LT_coupon&lt;$W172)),LT_upb,LT_eff)/SUMPRODUCT(LT_incl*(ISNUMBER(LT_coupon)*(LT_coupon&gt;=$V172)*(LT_coupon&lt;$W172))*ISNUMBER(LT_eff),LT_upb),0)</f>
        <v>0.0350315222997811</v>
      </c>
      <c r="M172" s="24" t="n">
        <f aca="false">IFERROR(SUMPRODUCT(LT_incl*(ISNUMBER(LT_coupon)*(LT_coupon&gt;=$V172)*(LT_coupon&lt;$W172)),LT_upb,LT_coupon)/SUMPRODUCT(LT_incl*(ISNUMBER(LT_coupon)*(LT_coupon&gt;=$V172)*(LT_coupon&lt;$W172))*ISNUMBER(LT_coupon),LT_upb),0)</f>
        <v>0.0715315222997811</v>
      </c>
      <c r="N172" s="23" t="n">
        <f aca="false">IFERROR(SUMPRODUCT(LT_incl*(ISNUMBER(LT_coupon)*(LT_coupon&gt;=$V172)*(LT_coupon&lt;$W172)),LT_upb,LT_ltv_asis)/SUMPRODUCT(LT_incl*(ISNUMBER(LT_coupon)*(LT_coupon&gt;=$V172)*(LT_coupon&lt;$W172))*ISNUMBER(LT_ltv_asis),LT_upb),0)</f>
        <v>0.738398803139717</v>
      </c>
      <c r="O172" s="23" t="n">
        <f aca="false">IFERROR(SUMPRODUCT(LT_incl*(ISNUMBER(LT_coupon)*(LT_coupon&gt;=$V172)*(LT_coupon&lt;$W172)),LT_upb,LT_ltv_stab)/SUMPRODUCT(LT_incl*(ISNUMBER(LT_coupon)*(LT_coupon&gt;=$V172)*(LT_coupon&lt;$W172))*ISNUMBER(LT_ltv_stab),LT_upb),0)</f>
        <v>0.67715988787916</v>
      </c>
      <c r="P172" s="25" t="n">
        <f aca="false">IFERROR(SUMPRODUCT(LT_incl*(ISNUMBER(LT_coupon)*(LT_coupon&gt;=$V172)*(LT_coupon&lt;$W172)),LT_upb,LT_seas)/SUMPRODUCT(LT_incl*(ISNUMBER(LT_coupon)*(LT_coupon&gt;=$V172)*(LT_coupon&lt;$W172))*ISNUMBER(LT_seas),LT_upb),0)</f>
        <v>43.2222167910283</v>
      </c>
      <c r="Q172" s="25" t="n">
        <f aca="false">IFERROR(SUMPRODUCT(LT_incl*(ISNUMBER(LT_coupon)*(LT_coupon&gt;=$V172)*(LT_coupon&lt;$W172)),LT_upb,LT_rti)/SUMPRODUCT(LT_incl*(ISNUMBER(LT_coupon)*(LT_coupon&gt;=$V172)*(LT_coupon&lt;$W172))*ISNUMBER(LT_rti),LT_upb),0)</f>
        <v>3.01407744310375</v>
      </c>
      <c r="R172" s="25" t="n">
        <f aca="false">IFERROR(SUMPRODUCT(LT_incl*(ISNUMBER(LT_coupon)*(LT_coupon&gt;=$V172)*(LT_coupon&lt;$W172)),LT_upb,LT_rte)/SUMPRODUCT(LT_incl*(ISNUMBER(LT_coupon)*(LT_coupon&gt;=$V172)*(LT_coupon&lt;$W172))*ISNUMBER(LT_rte),LT_upb),0)</f>
        <v>9.78400494460772</v>
      </c>
      <c r="S172" s="23" t="n">
        <f aca="false">IFERROR(SUMPRODUCT(LT_incl*(ISNUMBER(LT_coupon)*(LT_coupon&gt;=$V172)*(LT_coupon&lt;$W172)),LT_backdebt)/G172,0)</f>
        <v>0.550327574941634</v>
      </c>
      <c r="T172" s="23" t="n">
        <f aca="false">IFERROR(SUMPRODUCT(LT_incl*(ISNUMBER(LT_coupon)*(LT_coupon&gt;=$V172)*(LT_coupon&lt;$W172)),LT_equity,LT_roe)/SUMPRODUCT(LT_incl*(ISNUMBER(LT_coupon)*(LT_coupon&gt;=$V172)*(LT_coupon&lt;$W172))*ISNUMBER(LT_roe),LT_equity),0)</f>
        <v>0.0916814347044323</v>
      </c>
      <c r="V172" s="47" t="n">
        <v>0.07</v>
      </c>
      <c r="W172" s="47" t="n">
        <v>0.075</v>
      </c>
    </row>
    <row r="173" customFormat="false" ht="15" hidden="false" customHeight="false" outlineLevel="0" collapsed="false">
      <c r="B173" s="27" t="s">
        <v>169</v>
      </c>
      <c r="C173" s="44" t="n">
        <f aca="false">SUMPRODUCT(LT_incl*(ISNUMBER(LT_coupon)*(LT_coupon&gt;=$V173)*(LT_coupon&lt;$W173)))</f>
        <v>15</v>
      </c>
      <c r="D173" s="32" t="n">
        <f aca="false">IFERROR(C173/StratLoans,0)</f>
        <v>0.114503816793893</v>
      </c>
      <c r="E173" s="44" t="n">
        <f aca="false">SUMPRODUCT(LT_incl*(ISNUMBER(LT_coupon)*(LT_coupon&gt;=$V173)*(LT_coupon&lt;$W173)),LT_units)</f>
        <v>2556</v>
      </c>
      <c r="F173" s="44" t="n">
        <f aca="false">SUMPRODUCT(LT_incl*(ISNUMBER(LT_coupon)*(LT_coupon&gt;=$V173)*(LT_coupon&lt;$W173)),LT_beds)</f>
        <v>486</v>
      </c>
      <c r="G173" s="31" t="n">
        <f aca="false">SUMPRODUCT(LT_incl*(ISNUMBER(LT_coupon)*(LT_coupon&gt;=$V173)*(LT_coupon&lt;$W173)),LT_upb)</f>
        <v>470474500</v>
      </c>
      <c r="H173" s="32" t="n">
        <f aca="false">IFERROR(G173/StratUPB,0)</f>
        <v>0.126601304251997</v>
      </c>
      <c r="I173" s="31" t="n">
        <f aca="false">IFERROR(G173/C173,0)</f>
        <v>31364966.6666667</v>
      </c>
      <c r="J173" s="31" t="n">
        <f aca="false">SUMPRODUCT(LT_incl*(ISNUMBER(LT_coupon)*(LT_coupon&gt;=$V173)*(LT_coupon&lt;$W173)),LT_unfunded)</f>
        <v>8850000</v>
      </c>
      <c r="K173" s="31" t="n">
        <f aca="false">SUMPRODUCT(LT_incl*(ISNUMBER(LT_coupon)*(LT_coupon&gt;=$V173)*(LT_coupon&lt;$W173)),LT_navres)</f>
        <v>-4130000</v>
      </c>
      <c r="L173" s="33" t="n">
        <f aca="false">IFERROR(SUMPRODUCT(LT_incl*(ISNUMBER(LT_coupon)*(LT_coupon&gt;=$V173)*(LT_coupon&lt;$W173)),LT_upb,LT_eff)/SUMPRODUCT(LT_incl*(ISNUMBER(LT_coupon)*(LT_coupon&gt;=$V173)*(LT_coupon&lt;$W173))*ISNUMBER(LT_eff),LT_upb),0)</f>
        <v>0.0404582182456222</v>
      </c>
      <c r="M173" s="33" t="n">
        <f aca="false">IFERROR(SUMPRODUCT(LT_incl*(ISNUMBER(LT_coupon)*(LT_coupon&gt;=$V173)*(LT_coupon&lt;$W173)),LT_upb,LT_coupon)/SUMPRODUCT(LT_incl*(ISNUMBER(LT_coupon)*(LT_coupon&gt;=$V173)*(LT_coupon&lt;$W173))*ISNUMBER(LT_coupon),LT_upb),0)</f>
        <v>0.0769582182456222</v>
      </c>
      <c r="N173" s="32" t="n">
        <f aca="false">IFERROR(SUMPRODUCT(LT_incl*(ISNUMBER(LT_coupon)*(LT_coupon&gt;=$V173)*(LT_coupon&lt;$W173)),LT_upb,LT_ltv_asis)/SUMPRODUCT(LT_incl*(ISNUMBER(LT_coupon)*(LT_coupon&gt;=$V173)*(LT_coupon&lt;$W173))*ISNUMBER(LT_ltv_asis),LT_upb),0)</f>
        <v>0.651912357554866</v>
      </c>
      <c r="O173" s="32" t="n">
        <f aca="false">IFERROR(SUMPRODUCT(LT_incl*(ISNUMBER(LT_coupon)*(LT_coupon&gt;=$V173)*(LT_coupon&lt;$W173)),LT_upb,LT_ltv_stab)/SUMPRODUCT(LT_incl*(ISNUMBER(LT_coupon)*(LT_coupon&gt;=$V173)*(LT_coupon&lt;$W173))*ISNUMBER(LT_ltv_stab),LT_upb),0)</f>
        <v>0.632867089012085</v>
      </c>
      <c r="P173" s="34" t="n">
        <f aca="false">IFERROR(SUMPRODUCT(LT_incl*(ISNUMBER(LT_coupon)*(LT_coupon&gt;=$V173)*(LT_coupon&lt;$W173)),LT_upb,LT_seas)/SUMPRODUCT(LT_incl*(ISNUMBER(LT_coupon)*(LT_coupon&gt;=$V173)*(LT_coupon&lt;$W173))*ISNUMBER(LT_seas),LT_upb),0)</f>
        <v>25.4627342792112</v>
      </c>
      <c r="Q173" s="34" t="n">
        <f aca="false">IFERROR(SUMPRODUCT(LT_incl*(ISNUMBER(LT_coupon)*(LT_coupon&gt;=$V173)*(LT_coupon&lt;$W173)),LT_upb,LT_rti)/SUMPRODUCT(LT_incl*(ISNUMBER(LT_coupon)*(LT_coupon&gt;=$V173)*(LT_coupon&lt;$W173))*ISNUMBER(LT_rti),LT_upb),0)</f>
        <v>7.99497151465742</v>
      </c>
      <c r="R173" s="34" t="n">
        <f aca="false">IFERROR(SUMPRODUCT(LT_incl*(ISNUMBER(LT_coupon)*(LT_coupon&gt;=$V173)*(LT_coupon&lt;$W173)),LT_upb,LT_rte)/SUMPRODUCT(LT_incl*(ISNUMBER(LT_coupon)*(LT_coupon&gt;=$V173)*(LT_coupon&lt;$W173))*ISNUMBER(LT_rte),LT_upb),0)</f>
        <v>16.8479575896206</v>
      </c>
      <c r="S173" s="32" t="n">
        <f aca="false">IFERROR(SUMPRODUCT(LT_incl*(ISNUMBER(LT_coupon)*(LT_coupon&gt;=$V173)*(LT_coupon&lt;$W173)),LT_backdebt)/G173,0)</f>
        <v>0.70056591275829</v>
      </c>
      <c r="T173" s="32" t="n">
        <f aca="false">IFERROR(SUMPRODUCT(LT_incl*(ISNUMBER(LT_coupon)*(LT_coupon&gt;=$V173)*(LT_coupon&lt;$W173)),LT_equity,LT_roe)/SUMPRODUCT(LT_incl*(ISNUMBER(LT_coupon)*(LT_coupon&gt;=$V173)*(LT_coupon&lt;$W173))*ISNUMBER(LT_roe),LT_equity),0)</f>
        <v>0.127556089568851</v>
      </c>
      <c r="V173" s="47" t="n">
        <v>0.075</v>
      </c>
      <c r="W173" s="47" t="n">
        <v>0.08</v>
      </c>
    </row>
    <row r="174" customFormat="false" ht="15" hidden="false" customHeight="false" outlineLevel="0" collapsed="false">
      <c r="B174" s="18" t="s">
        <v>170</v>
      </c>
      <c r="C174" s="26" t="n">
        <f aca="false">SUMPRODUCT(LT_incl*(ISNUMBER(LT_coupon)*(LT_coupon&gt;=$V174)*(LT_coupon&lt;$W174)))</f>
        <v>25</v>
      </c>
      <c r="D174" s="23" t="n">
        <f aca="false">IFERROR(C174/StratLoans,0)</f>
        <v>0.190839694656489</v>
      </c>
      <c r="E174" s="26" t="n">
        <f aca="false">SUMPRODUCT(LT_incl*(ISNUMBER(LT_coupon)*(LT_coupon&gt;=$V174)*(LT_coupon&lt;$W174)),LT_units)</f>
        <v>577</v>
      </c>
      <c r="F174" s="26" t="n">
        <f aca="false">SUMPRODUCT(LT_incl*(ISNUMBER(LT_coupon)*(LT_coupon&gt;=$V174)*(LT_coupon&lt;$W174)),LT_beds)</f>
        <v>3816</v>
      </c>
      <c r="G174" s="22" t="n">
        <f aca="false">SUMPRODUCT(LT_incl*(ISNUMBER(LT_coupon)*(LT_coupon&gt;=$V174)*(LT_coupon&lt;$W174)),LT_upb)</f>
        <v>508722830.84</v>
      </c>
      <c r="H174" s="23" t="n">
        <f aca="false">IFERROR(G174/StratUPB,0)</f>
        <v>0.136893654995355</v>
      </c>
      <c r="I174" s="22" t="n">
        <f aca="false">IFERROR(G174/C174,0)</f>
        <v>20348913.2336</v>
      </c>
      <c r="J174" s="22" t="n">
        <f aca="false">SUMPRODUCT(LT_incl*(ISNUMBER(LT_coupon)*(LT_coupon&gt;=$V174)*(LT_coupon&lt;$W174)),LT_unfunded)</f>
        <v>18833881.16</v>
      </c>
      <c r="K174" s="22" t="n">
        <f aca="false">SUMPRODUCT(LT_incl*(ISNUMBER(LT_coupon)*(LT_coupon&gt;=$V174)*(LT_coupon&lt;$W174)),LT_navres)</f>
        <v>-3600000</v>
      </c>
      <c r="L174" s="24" t="n">
        <f aca="false">IFERROR(SUMPRODUCT(LT_incl*(ISNUMBER(LT_coupon)*(LT_coupon&gt;=$V174)*(LT_coupon&lt;$W174)),LT_upb,LT_eff)/SUMPRODUCT(LT_incl*(ISNUMBER(LT_coupon)*(LT_coupon&gt;=$V174)*(LT_coupon&lt;$W174))*ISNUMBER(LT_eff),LT_upb),0)</f>
        <v>0.0479339311722171</v>
      </c>
      <c r="M174" s="24" t="n">
        <f aca="false">IFERROR(SUMPRODUCT(LT_incl*(ISNUMBER(LT_coupon)*(LT_coupon&gt;=$V174)*(LT_coupon&lt;$W174)),LT_upb,LT_coupon)/SUMPRODUCT(LT_incl*(ISNUMBER(LT_coupon)*(LT_coupon&gt;=$V174)*(LT_coupon&lt;$W174))*ISNUMBER(LT_coupon),LT_upb),0)</f>
        <v>0.0844339311722171</v>
      </c>
      <c r="N174" s="23" t="n">
        <f aca="false">IFERROR(SUMPRODUCT(LT_incl*(ISNUMBER(LT_coupon)*(LT_coupon&gt;=$V174)*(LT_coupon&lt;$W174)),LT_upb,LT_ltv_asis)/SUMPRODUCT(LT_incl*(ISNUMBER(LT_coupon)*(LT_coupon&gt;=$V174)*(LT_coupon&lt;$W174))*ISNUMBER(LT_ltv_asis),LT_upb),0)</f>
        <v>0.679059243997651</v>
      </c>
      <c r="O174" s="23" t="n">
        <f aca="false">IFERROR(SUMPRODUCT(LT_incl*(ISNUMBER(LT_coupon)*(LT_coupon&gt;=$V174)*(LT_coupon&lt;$W174)),LT_upb,LT_ltv_stab)/SUMPRODUCT(LT_incl*(ISNUMBER(LT_coupon)*(LT_coupon&gt;=$V174)*(LT_coupon&lt;$W174))*ISNUMBER(LT_ltv_stab),LT_upb),0)</f>
        <v>0.670148730305382</v>
      </c>
      <c r="P174" s="25" t="n">
        <f aca="false">IFERROR(SUMPRODUCT(LT_incl*(ISNUMBER(LT_coupon)*(LT_coupon&gt;=$V174)*(LT_coupon&lt;$W174)),LT_upb,LT_seas)/SUMPRODUCT(LT_incl*(ISNUMBER(LT_coupon)*(LT_coupon&gt;=$V174)*(LT_coupon&lt;$W174))*ISNUMBER(LT_seas),LT_upb),0)</f>
        <v>14.2961103093016</v>
      </c>
      <c r="Q174" s="25" t="n">
        <f aca="false">IFERROR(SUMPRODUCT(LT_incl*(ISNUMBER(LT_coupon)*(LT_coupon&gt;=$V174)*(LT_coupon&lt;$W174)),LT_upb,LT_rti)/SUMPRODUCT(LT_incl*(ISNUMBER(LT_coupon)*(LT_coupon&gt;=$V174)*(LT_coupon&lt;$W174))*ISNUMBER(LT_rti),LT_upb),0)</f>
        <v>13.7050519615438</v>
      </c>
      <c r="R174" s="25" t="n">
        <f aca="false">IFERROR(SUMPRODUCT(LT_incl*(ISNUMBER(LT_coupon)*(LT_coupon&gt;=$V174)*(LT_coupon&lt;$W174)),LT_upb,LT_rte)/SUMPRODUCT(LT_incl*(ISNUMBER(LT_coupon)*(LT_coupon&gt;=$V174)*(LT_coupon&lt;$W174))*ISNUMBER(LT_rte),LT_upb),0)</f>
        <v>25.759240618802</v>
      </c>
      <c r="S174" s="23" t="n">
        <f aca="false">IFERROR(SUMPRODUCT(LT_incl*(ISNUMBER(LT_coupon)*(LT_coupon&gt;=$V174)*(LT_coupon&lt;$W174)),LT_backdebt)/G174,0)</f>
        <v>0.530532204779432</v>
      </c>
      <c r="T174" s="23" t="n">
        <f aca="false">IFERROR(SUMPRODUCT(LT_incl*(ISNUMBER(LT_coupon)*(LT_coupon&gt;=$V174)*(LT_coupon&lt;$W174)),LT_equity,LT_roe)/SUMPRODUCT(LT_incl*(ISNUMBER(LT_coupon)*(LT_coupon&gt;=$V174)*(LT_coupon&lt;$W174))*ISNUMBER(LT_roe),LT_equity),0)</f>
        <v>0.112770230301373</v>
      </c>
      <c r="V174" s="47" t="n">
        <v>0.08</v>
      </c>
      <c r="W174" s="47" t="n">
        <v>0.09</v>
      </c>
    </row>
    <row r="175" customFormat="false" ht="15" hidden="false" customHeight="false" outlineLevel="0" collapsed="false">
      <c r="B175" s="27" t="s">
        <v>171</v>
      </c>
      <c r="C175" s="44" t="n">
        <f aca="false">SUMPRODUCT(LT_incl*(ISNUMBER(LT_coupon)*(LT_coupon&gt;=$V175)*(LT_coupon&lt;$W175)))</f>
        <v>10</v>
      </c>
      <c r="D175" s="32" t="n">
        <f aca="false">IFERROR(C175/StratLoans,0)</f>
        <v>0.0763358778625954</v>
      </c>
      <c r="E175" s="44" t="n">
        <f aca="false">SUMPRODUCT(LT_incl*(ISNUMBER(LT_coupon)*(LT_coupon&gt;=$V175)*(LT_coupon&lt;$W175)),LT_units)</f>
        <v>0</v>
      </c>
      <c r="F175" s="44" t="n">
        <f aca="false">SUMPRODUCT(LT_incl*(ISNUMBER(LT_coupon)*(LT_coupon&gt;=$V175)*(LT_coupon&lt;$W175)),LT_beds)</f>
        <v>3175</v>
      </c>
      <c r="G175" s="31" t="n">
        <f aca="false">SUMPRODUCT(LT_incl*(ISNUMBER(LT_coupon)*(LT_coupon&gt;=$V175)*(LT_coupon&lt;$W175)),LT_upb)</f>
        <v>314015991.43</v>
      </c>
      <c r="H175" s="32" t="n">
        <f aca="false">IFERROR(G175/StratUPB,0)</f>
        <v>0.0844994448605013</v>
      </c>
      <c r="I175" s="31" t="n">
        <f aca="false">IFERROR(G175/C175,0)</f>
        <v>31401599.143</v>
      </c>
      <c r="J175" s="31" t="n">
        <f aca="false">SUMPRODUCT(LT_incl*(ISNUMBER(LT_coupon)*(LT_coupon&gt;=$V175)*(LT_coupon&lt;$W175)),LT_unfunded)</f>
        <v>9000000</v>
      </c>
      <c r="K175" s="31" t="n">
        <f aca="false">SUMPRODUCT(LT_incl*(ISNUMBER(LT_coupon)*(LT_coupon&gt;=$V175)*(LT_coupon&lt;$W175)),LT_navres)</f>
        <v>0</v>
      </c>
      <c r="L175" s="33" t="n">
        <f aca="false">IFERROR(SUMPRODUCT(LT_incl*(ISNUMBER(LT_coupon)*(LT_coupon&gt;=$V175)*(LT_coupon&lt;$W175)),LT_upb,LT_eff)/SUMPRODUCT(LT_incl*(ISNUMBER(LT_coupon)*(LT_coupon&gt;=$V175)*(LT_coupon&lt;$W175))*ISNUMBER(LT_eff),LT_upb),0)</f>
        <v>0.0567101617361252</v>
      </c>
      <c r="M175" s="33" t="n">
        <f aca="false">IFERROR(SUMPRODUCT(LT_incl*(ISNUMBER(LT_coupon)*(LT_coupon&gt;=$V175)*(LT_coupon&lt;$W175)),LT_upb,LT_coupon)/SUMPRODUCT(LT_incl*(ISNUMBER(LT_coupon)*(LT_coupon&gt;=$V175)*(LT_coupon&lt;$W175))*ISNUMBER(LT_coupon),LT_upb),0)</f>
        <v>0.0932101617361252</v>
      </c>
      <c r="N175" s="32" t="n">
        <f aca="false">IFERROR(SUMPRODUCT(LT_incl*(ISNUMBER(LT_coupon)*(LT_coupon&gt;=$V175)*(LT_coupon&lt;$W175)),LT_upb,LT_ltv_asis)/SUMPRODUCT(LT_incl*(ISNUMBER(LT_coupon)*(LT_coupon&gt;=$V175)*(LT_coupon&lt;$W175))*ISNUMBER(LT_ltv_asis),LT_upb),0)</f>
        <v>0.628908060523026</v>
      </c>
      <c r="O175" s="32" t="n">
        <f aca="false">IFERROR(SUMPRODUCT(LT_incl*(ISNUMBER(LT_coupon)*(LT_coupon&gt;=$V175)*(LT_coupon&lt;$W175)),LT_upb,LT_ltv_stab)/SUMPRODUCT(LT_incl*(ISNUMBER(LT_coupon)*(LT_coupon&gt;=$V175)*(LT_coupon&lt;$W175))*ISNUMBER(LT_ltv_stab),LT_upb),0)</f>
        <v>0.650546486127407</v>
      </c>
      <c r="P175" s="34" t="n">
        <f aca="false">IFERROR(SUMPRODUCT(LT_incl*(ISNUMBER(LT_coupon)*(LT_coupon&gt;=$V175)*(LT_coupon&lt;$W175)),LT_upb,LT_seas)/SUMPRODUCT(LT_incl*(ISNUMBER(LT_coupon)*(LT_coupon&gt;=$V175)*(LT_coupon&lt;$W175))*ISNUMBER(LT_seas),LT_upb),0)</f>
        <v>23.0886265301365</v>
      </c>
      <c r="Q175" s="34" t="n">
        <f aca="false">IFERROR(SUMPRODUCT(LT_incl*(ISNUMBER(LT_coupon)*(LT_coupon&gt;=$V175)*(LT_coupon&lt;$W175)),LT_upb,LT_rti)/SUMPRODUCT(LT_incl*(ISNUMBER(LT_coupon)*(LT_coupon&gt;=$V175)*(LT_coupon&lt;$W175))*ISNUMBER(LT_rti),LT_upb),0)</f>
        <v>7.86434654158638</v>
      </c>
      <c r="R175" s="34" t="n">
        <f aca="false">IFERROR(SUMPRODUCT(LT_incl*(ISNUMBER(LT_coupon)*(LT_coupon&gt;=$V175)*(LT_coupon&lt;$W175)),LT_upb,LT_rte)/SUMPRODUCT(LT_incl*(ISNUMBER(LT_coupon)*(LT_coupon&gt;=$V175)*(LT_coupon&lt;$W175))*ISNUMBER(LT_rte),LT_upb),0)</f>
        <v>14.7168972681488</v>
      </c>
      <c r="S175" s="32" t="n">
        <f aca="false">IFERROR(SUMPRODUCT(LT_incl*(ISNUMBER(LT_coupon)*(LT_coupon&gt;=$V175)*(LT_coupon&lt;$W175)),LT_backdebt)/G175,0)</f>
        <v>0.468873190203067</v>
      </c>
      <c r="T175" s="32" t="n">
        <f aca="false">IFERROR(SUMPRODUCT(LT_incl*(ISNUMBER(LT_coupon)*(LT_coupon&gt;=$V175)*(LT_coupon&lt;$W175)),LT_equity,LT_roe)/SUMPRODUCT(LT_incl*(ISNUMBER(LT_coupon)*(LT_coupon&gt;=$V175)*(LT_coupon&lt;$W175))*ISNUMBER(LT_roe),LT_equity),0)</f>
        <v>0.123148365254611</v>
      </c>
      <c r="V175" s="47" t="n">
        <v>0.09</v>
      </c>
      <c r="W175" s="47" t="n">
        <v>0.1</v>
      </c>
    </row>
    <row r="176" customFormat="false" ht="15" hidden="false" customHeight="false" outlineLevel="0" collapsed="false">
      <c r="B176" s="18" t="s">
        <v>172</v>
      </c>
      <c r="C176" s="26" t="n">
        <f aca="false">SUMPRODUCT(LT_incl*(ISNUMBER(LT_coupon)*(LT_coupon&gt;=$V176)*(LT_coupon&lt;$W176)))</f>
        <v>17</v>
      </c>
      <c r="D176" s="23" t="n">
        <f aca="false">IFERROR(C176/StratLoans,0)</f>
        <v>0.129770992366412</v>
      </c>
      <c r="E176" s="26" t="n">
        <f aca="false">SUMPRODUCT(LT_incl*(ISNUMBER(LT_coupon)*(LT_coupon&gt;=$V176)*(LT_coupon&lt;$W176)),LT_units)</f>
        <v>3713</v>
      </c>
      <c r="F176" s="26" t="n">
        <f aca="false">SUMPRODUCT(LT_incl*(ISNUMBER(LT_coupon)*(LT_coupon&gt;=$V176)*(LT_coupon&lt;$W176)),LT_beds)</f>
        <v>1249</v>
      </c>
      <c r="G176" s="22" t="n">
        <f aca="false">SUMPRODUCT(LT_incl*(ISNUMBER(LT_coupon)*(LT_coupon&gt;=$V176)*(LT_coupon&lt;$W176)),LT_upb)</f>
        <v>124248567.2</v>
      </c>
      <c r="H176" s="23" t="n">
        <f aca="false">IFERROR(G176/StratUPB,0)</f>
        <v>0.0334343958258352</v>
      </c>
      <c r="I176" s="22" t="n">
        <f aca="false">IFERROR(G176/C176,0)</f>
        <v>7308739.24705882</v>
      </c>
      <c r="J176" s="22" t="n">
        <f aca="false">SUMPRODUCT(LT_incl*(ISNUMBER(LT_coupon)*(LT_coupon&gt;=$V176)*(LT_coupon&lt;$W176)),LT_unfunded)</f>
        <v>2197826.74999999</v>
      </c>
      <c r="K176" s="22" t="n">
        <f aca="false">SUMPRODUCT(LT_incl*(ISNUMBER(LT_coupon)*(LT_coupon&gt;=$V176)*(LT_coupon&lt;$W176)),LT_navres)</f>
        <v>42616.9326696957</v>
      </c>
      <c r="L176" s="24" t="n">
        <f aca="false">IFERROR(SUMPRODUCT(LT_incl*(ISNUMBER(LT_coupon)*(LT_coupon&gt;=$V176)*(LT_coupon&lt;$W176)),LT_upb,LT_eff)/SUMPRODUCT(LT_incl*(ISNUMBER(LT_coupon)*(LT_coupon&gt;=$V176)*(LT_coupon&lt;$W176))*ISNUMBER(LT_eff),LT_upb),0)</f>
        <v>0.0773213906456219</v>
      </c>
      <c r="M176" s="24" t="n">
        <f aca="false">IFERROR(SUMPRODUCT(LT_incl*(ISNUMBER(LT_coupon)*(LT_coupon&gt;=$V176)*(LT_coupon&lt;$W176)),LT_upb,LT_coupon)/SUMPRODUCT(LT_incl*(ISNUMBER(LT_coupon)*(LT_coupon&gt;=$V176)*(LT_coupon&lt;$W176))*ISNUMBER(LT_coupon),LT_upb),0)</f>
        <v>0.113821390645622</v>
      </c>
      <c r="N176" s="23" t="n">
        <f aca="false">IFERROR(SUMPRODUCT(LT_incl*(ISNUMBER(LT_coupon)*(LT_coupon&gt;=$V176)*(LT_coupon&lt;$W176)),LT_upb,LT_ltv_asis)/SUMPRODUCT(LT_incl*(ISNUMBER(LT_coupon)*(LT_coupon&gt;=$V176)*(LT_coupon&lt;$W176))*ISNUMBER(LT_ltv_asis),LT_upb),0)</f>
        <v>0.567645645946075</v>
      </c>
      <c r="O176" s="23" t="n">
        <f aca="false">IFERROR(SUMPRODUCT(LT_incl*(ISNUMBER(LT_coupon)*(LT_coupon&gt;=$V176)*(LT_coupon&lt;$W176)),LT_upb,LT_ltv_stab)/SUMPRODUCT(LT_incl*(ISNUMBER(LT_coupon)*(LT_coupon&gt;=$V176)*(LT_coupon&lt;$W176))*ISNUMBER(LT_ltv_stab),LT_upb),0)</f>
        <v>0.670220744233772</v>
      </c>
      <c r="P176" s="25" t="n">
        <f aca="false">IFERROR(SUMPRODUCT(LT_incl*(ISNUMBER(LT_coupon)*(LT_coupon&gt;=$V176)*(LT_coupon&lt;$W176)),LT_upb,LT_seas)/SUMPRODUCT(LT_incl*(ISNUMBER(LT_coupon)*(LT_coupon&gt;=$V176)*(LT_coupon&lt;$W176))*ISNUMBER(LT_seas),LT_upb),0)</f>
        <v>40.5340480941313</v>
      </c>
      <c r="Q176" s="25" t="n">
        <f aca="false">IFERROR(SUMPRODUCT(LT_incl*(ISNUMBER(LT_coupon)*(LT_coupon&gt;=$V176)*(LT_coupon&lt;$W176)),LT_upb,LT_rti)/SUMPRODUCT(LT_incl*(ISNUMBER(LT_coupon)*(LT_coupon&gt;=$V176)*(LT_coupon&lt;$W176))*ISNUMBER(LT_rti),LT_upb),0)</f>
        <v>22.5499262271142</v>
      </c>
      <c r="R176" s="25" t="n">
        <f aca="false">IFERROR(SUMPRODUCT(LT_incl*(ISNUMBER(LT_coupon)*(LT_coupon&gt;=$V176)*(LT_coupon&lt;$W176)),LT_upb,LT_rte)/SUMPRODUCT(LT_incl*(ISNUMBER(LT_coupon)*(LT_coupon&gt;=$V176)*(LT_coupon&lt;$W176))*ISNUMBER(LT_rte),LT_upb),0)</f>
        <v>30.0118864139565</v>
      </c>
      <c r="S176" s="23" t="n">
        <f aca="false">IFERROR(SUMPRODUCT(LT_incl*(ISNUMBER(LT_coupon)*(LT_coupon&gt;=$V176)*(LT_coupon&lt;$W176)),LT_backdebt)/G176,0)</f>
        <v>0.270659562515906</v>
      </c>
      <c r="T176" s="23" t="n">
        <f aca="false">IFERROR(SUMPRODUCT(LT_incl*(ISNUMBER(LT_coupon)*(LT_coupon&gt;=$V176)*(LT_coupon&lt;$W176)),LT_equity,LT_roe)/SUMPRODUCT(LT_incl*(ISNUMBER(LT_coupon)*(LT_coupon&gt;=$V176)*(LT_coupon&lt;$W176))*ISNUMBER(LT_roe),LT_equity),0)</f>
        <v>0.127325108166171</v>
      </c>
      <c r="V176" s="47" t="n">
        <v>0.1</v>
      </c>
      <c r="W176" s="47" t="n">
        <v>1000000000000</v>
      </c>
    </row>
    <row r="177" customFormat="false" ht="15" hidden="false" customHeight="false" outlineLevel="0" collapsed="false">
      <c r="B177" s="35" t="s">
        <v>76</v>
      </c>
      <c r="C177" s="45" t="n">
        <f aca="false">SUMPRODUCT(LT_incl*(1))</f>
        <v>131</v>
      </c>
      <c r="D177" s="38" t="n">
        <f aca="false">IFERROR(C177/StratLoans,0)</f>
        <v>1</v>
      </c>
      <c r="E177" s="45" t="n">
        <f aca="false">SUMPRODUCT(LT_incl*(1),LT_units)</f>
        <v>22360</v>
      </c>
      <c r="F177" s="45" t="n">
        <f aca="false">SUMPRODUCT(LT_incl*(1),LT_beds)</f>
        <v>8726</v>
      </c>
      <c r="G177" s="37" t="n">
        <f aca="false">SUMPRODUCT(LT_incl*(1),LT_upb)</f>
        <v>3716189993.3</v>
      </c>
      <c r="H177" s="38" t="n">
        <f aca="false">IFERROR(G177/StratUPB,0)</f>
        <v>1</v>
      </c>
      <c r="I177" s="37" t="n">
        <f aca="false">IFERROR(G177/C177,0)</f>
        <v>28367862.5442748</v>
      </c>
      <c r="J177" s="37" t="n">
        <f aca="false">SUMPRODUCT(LT_incl*(1),LT_unfunded)</f>
        <v>70425498.27</v>
      </c>
      <c r="K177" s="37" t="n">
        <f aca="false">SUMPRODUCT(LT_incl*(1),LT_navres)</f>
        <v>-35761255.0310469</v>
      </c>
      <c r="L177" s="39" t="n">
        <f aca="false">IFERROR(SUMPRODUCT(LT_incl*(1),LT_upb,LT_eff)/SUMPRODUCT(LT_incl*(1)*ISNUMBER(LT_eff),LT_upb),0)</f>
        <v>0.0384104790702225</v>
      </c>
      <c r="M177" s="39" t="n">
        <f aca="false">IFERROR(SUMPRODUCT(LT_incl*(1),LT_upb,LT_coupon)/SUMPRODUCT(LT_incl*(1)*ISNUMBER(LT_coupon),LT_upb),0)</f>
        <v>0.0749104790702225</v>
      </c>
      <c r="N177" s="38" t="n">
        <f aca="false">IFERROR(SUMPRODUCT(LT_incl*(1),LT_upb,LT_ltv_asis)/SUMPRODUCT(LT_incl*(1)*ISNUMBER(LT_ltv_asis),LT_upb),0)</f>
        <v>0.685976245136614</v>
      </c>
      <c r="O177" s="38" t="n">
        <f aca="false">IFERROR(SUMPRODUCT(LT_incl*(1),LT_upb,LT_ltv_stab)/SUMPRODUCT(LT_incl*(1)*ISNUMBER(LT_ltv_stab),LT_upb),0)</f>
        <v>0.658970555756018</v>
      </c>
      <c r="P177" s="40" t="n">
        <f aca="false">IFERROR(SUMPRODUCT(LT_incl*(1),LT_upb,LT_seas)/SUMPRODUCT(LT_incl*(1)*ISNUMBER(LT_seas),LT_upb),0)</f>
        <v>26.0197171750702</v>
      </c>
      <c r="Q177" s="40" t="n">
        <f aca="false">IFERROR(SUMPRODUCT(LT_incl*(1),LT_upb,LT_rti)/SUMPRODUCT(LT_incl*(1)*ISNUMBER(LT_rti),LT_upb),0)</f>
        <v>10.7164396387939</v>
      </c>
      <c r="R177" s="40" t="n">
        <f aca="false">IFERROR(SUMPRODUCT(LT_incl*(1),LT_upb,LT_rte)/SUMPRODUCT(LT_incl*(1)*ISNUMBER(LT_rte),LT_upb),0)</f>
        <v>23.051497716819</v>
      </c>
      <c r="S177" s="38" t="n">
        <f aca="false">IFERROR(SUMPRODUCT(LT_incl*(1),LT_backdebt)/G177,0)</f>
        <v>0.628005362553862</v>
      </c>
      <c r="T177" s="38" t="n">
        <f aca="false">IFERROR(SUMPRODUCT(LT_incl*(1),LT_equity,LT_roe)/SUMPRODUCT(LT_incl*(1)*ISNUMBER(LT_roe),LT_equity),0)</f>
        <v>0.107961987212177</v>
      </c>
    </row>
    <row r="179" customFormat="false" ht="15" hidden="false" customHeight="false" outlineLevel="0" collapsed="false">
      <c r="B179" s="3" t="s">
        <v>173</v>
      </c>
      <c r="C179" s="4"/>
      <c r="D179" s="4"/>
      <c r="E179" s="4"/>
      <c r="F179" s="4"/>
      <c r="G179" s="4"/>
      <c r="H179" s="4"/>
      <c r="I179" s="4"/>
      <c r="J179" s="4"/>
      <c r="K179" s="4"/>
      <c r="L179" s="4"/>
      <c r="M179" s="4"/>
      <c r="N179" s="4"/>
      <c r="O179" s="4"/>
      <c r="P179" s="4"/>
      <c r="Q179" s="4"/>
      <c r="R179" s="4"/>
      <c r="S179" s="4"/>
      <c r="T179" s="4"/>
    </row>
    <row r="180" customFormat="false" ht="39.75" hidden="false" customHeight="true" outlineLevel="0" collapsed="false">
      <c r="B180" s="16" t="s">
        <v>147</v>
      </c>
      <c r="C180" s="17" t="s">
        <v>13</v>
      </c>
      <c r="D180" s="17" t="s">
        <v>64</v>
      </c>
      <c r="E180" s="17" t="s">
        <v>65</v>
      </c>
      <c r="F180" s="17" t="s">
        <v>66</v>
      </c>
      <c r="G180" s="17" t="s">
        <v>16</v>
      </c>
      <c r="H180" s="17" t="s">
        <v>46</v>
      </c>
      <c r="I180" s="17" t="s">
        <v>19</v>
      </c>
      <c r="J180" s="17" t="s">
        <v>28</v>
      </c>
      <c r="K180" s="17" t="s">
        <v>31</v>
      </c>
      <c r="L180" s="17" t="s">
        <v>7</v>
      </c>
      <c r="M180" s="17" t="s">
        <v>11</v>
      </c>
      <c r="N180" s="17" t="s">
        <v>23</v>
      </c>
      <c r="O180" s="17" t="s">
        <v>67</v>
      </c>
      <c r="P180" s="17" t="s">
        <v>5</v>
      </c>
      <c r="Q180" s="17" t="s">
        <v>68</v>
      </c>
      <c r="R180" s="17" t="s">
        <v>69</v>
      </c>
      <c r="S180" s="17" t="s">
        <v>56</v>
      </c>
      <c r="T180" s="17" t="s">
        <v>70</v>
      </c>
      <c r="V180" s="17" t="s">
        <v>148</v>
      </c>
      <c r="W180" s="17" t="s">
        <v>149</v>
      </c>
    </row>
    <row r="181" customFormat="false" ht="15" hidden="false" customHeight="false" outlineLevel="0" collapsed="false">
      <c r="B181" s="18" t="s">
        <v>174</v>
      </c>
      <c r="C181" s="26" t="n">
        <f aca="false">SUMPRODUCT(LT_incl*(ISNUMBER(LT_floor)*(LT_floor&gt;=$V181)*(LT_floor&lt;$W181)))</f>
        <v>29</v>
      </c>
      <c r="D181" s="23" t="n">
        <f aca="false">IFERROR(C181/StratLoans,0)</f>
        <v>0.221374045801527</v>
      </c>
      <c r="E181" s="26" t="n">
        <f aca="false">SUMPRODUCT(LT_incl*(ISNUMBER(LT_floor)*(LT_floor&gt;=$V181)*(LT_floor&lt;$W181)),LT_units)</f>
        <v>6572</v>
      </c>
      <c r="F181" s="26" t="n">
        <f aca="false">SUMPRODUCT(LT_incl*(ISNUMBER(LT_floor)*(LT_floor&gt;=$V181)*(LT_floor&lt;$W181)),LT_beds)</f>
        <v>422</v>
      </c>
      <c r="G181" s="22" t="n">
        <f aca="false">SUMPRODUCT(LT_incl*(ISNUMBER(LT_floor)*(LT_floor&gt;=$V181)*(LT_floor&lt;$W181)),LT_upb)</f>
        <v>907233501.74</v>
      </c>
      <c r="H181" s="23" t="n">
        <f aca="false">IFERROR(G181/StratUPB,0)</f>
        <v>0.244130010407345</v>
      </c>
      <c r="I181" s="22" t="n">
        <f aca="false">IFERROR(G181/C181,0)</f>
        <v>31283913.8531034</v>
      </c>
      <c r="J181" s="22" t="n">
        <f aca="false">SUMPRODUCT(LT_incl*(ISNUMBER(LT_floor)*(LT_floor&gt;=$V181)*(LT_floor&lt;$W181)),LT_unfunded)</f>
        <v>7826685.11</v>
      </c>
      <c r="K181" s="22" t="n">
        <f aca="false">SUMPRODUCT(LT_incl*(ISNUMBER(LT_floor)*(LT_floor&gt;=$V181)*(LT_floor&lt;$W181)),LT_navres)</f>
        <v>-23972898.2134798</v>
      </c>
      <c r="L181" s="24" t="n">
        <f aca="false">IFERROR(SUMPRODUCT(LT_incl*(ISNUMBER(LT_floor)*(LT_floor&gt;=$V181)*(LT_floor&lt;$W181)),LT_upb,LT_eff)/SUMPRODUCT(LT_incl*(ISNUMBER(LT_floor)*(LT_floor&gt;=$V181)*(LT_floor&lt;$W181))*ISNUMBER(LT_eff),LT_upb),0)</f>
        <v>0.0362484917991042</v>
      </c>
      <c r="M181" s="24" t="n">
        <f aca="false">IFERROR(SUMPRODUCT(LT_incl*(ISNUMBER(LT_floor)*(LT_floor&gt;=$V181)*(LT_floor&lt;$W181)),LT_upb,LT_coupon)/SUMPRODUCT(LT_incl*(ISNUMBER(LT_floor)*(LT_floor&gt;=$V181)*(LT_floor&lt;$W181))*ISNUMBER(LT_coupon),LT_upb),0)</f>
        <v>0.0727484917991042</v>
      </c>
      <c r="N181" s="23" t="n">
        <f aca="false">IFERROR(SUMPRODUCT(LT_incl*(ISNUMBER(LT_floor)*(LT_floor&gt;=$V181)*(LT_floor&lt;$W181)),LT_upb,LT_ltv_asis)/SUMPRODUCT(LT_incl*(ISNUMBER(LT_floor)*(LT_floor&gt;=$V181)*(LT_floor&lt;$W181))*ISNUMBER(LT_ltv_asis),LT_upb),0)</f>
        <v>0.753571583572265</v>
      </c>
      <c r="O181" s="23" t="n">
        <f aca="false">IFERROR(SUMPRODUCT(LT_incl*(ISNUMBER(LT_floor)*(LT_floor&gt;=$V181)*(LT_floor&lt;$W181)),LT_upb,LT_ltv_stab)/SUMPRODUCT(LT_incl*(ISNUMBER(LT_floor)*(LT_floor&gt;=$V181)*(LT_floor&lt;$W181))*ISNUMBER(LT_ltv_stab),LT_upb),0)</f>
        <v>0.682260580379307</v>
      </c>
      <c r="P181" s="25" t="n">
        <f aca="false">IFERROR(SUMPRODUCT(LT_incl*(ISNUMBER(LT_floor)*(LT_floor&gt;=$V181)*(LT_floor&lt;$W181)),LT_upb,LT_seas)/SUMPRODUCT(LT_incl*(ISNUMBER(LT_floor)*(LT_floor&gt;=$V181)*(LT_floor&lt;$W181))*ISNUMBER(LT_seas),LT_upb),0)</f>
        <v>56.0494955755595</v>
      </c>
      <c r="Q181" s="25" t="n">
        <f aca="false">IFERROR(SUMPRODUCT(LT_incl*(ISNUMBER(LT_floor)*(LT_floor&gt;=$V181)*(LT_floor&lt;$W181)),LT_upb,LT_rti)/SUMPRODUCT(LT_incl*(ISNUMBER(LT_floor)*(LT_floor&gt;=$V181)*(LT_floor&lt;$W181))*ISNUMBER(LT_rti),LT_upb),0)</f>
        <v>0</v>
      </c>
      <c r="R181" s="25" t="n">
        <f aca="false">IFERROR(SUMPRODUCT(LT_incl*(ISNUMBER(LT_floor)*(LT_floor&gt;=$V181)*(LT_floor&lt;$W181)),LT_upb,LT_rte)/SUMPRODUCT(LT_incl*(ISNUMBER(LT_floor)*(LT_floor&gt;=$V181)*(LT_floor&lt;$W181))*ISNUMBER(LT_rte),LT_upb),0)</f>
        <v>3.13097940059411</v>
      </c>
      <c r="S181" s="23" t="n">
        <f aca="false">IFERROR(SUMPRODUCT(LT_incl*(ISNUMBER(LT_floor)*(LT_floor&gt;=$V181)*(LT_floor&lt;$W181)),LT_backdebt)/G181,0)</f>
        <v>0.47367034962423</v>
      </c>
      <c r="T181" s="23" t="n">
        <f aca="false">IFERROR(SUMPRODUCT(LT_incl*(ISNUMBER(LT_floor)*(LT_floor&gt;=$V181)*(LT_floor&lt;$W181)),LT_equity,LT_roe)/SUMPRODUCT(LT_incl*(ISNUMBER(LT_floor)*(LT_floor&gt;=$V181)*(LT_floor&lt;$W181))*ISNUMBER(LT_roe),LT_equity),0)</f>
        <v>0.0886308548008626</v>
      </c>
      <c r="V181" s="47" t="n">
        <v>-1000000000000</v>
      </c>
      <c r="W181" s="47" t="n">
        <v>0.01</v>
      </c>
    </row>
    <row r="182" customFormat="false" ht="15" hidden="false" customHeight="false" outlineLevel="0" collapsed="false">
      <c r="B182" s="27" t="s">
        <v>175</v>
      </c>
      <c r="C182" s="44" t="n">
        <f aca="false">SUMPRODUCT(LT_incl*(ISNUMBER(LT_floor)*(LT_floor&gt;=$V182)*(LT_floor&lt;$W182)))</f>
        <v>5</v>
      </c>
      <c r="D182" s="32" t="n">
        <f aca="false">IFERROR(C182/StratLoans,0)</f>
        <v>0.0381679389312977</v>
      </c>
      <c r="E182" s="44" t="n">
        <f aca="false">SUMPRODUCT(LT_incl*(ISNUMBER(LT_floor)*(LT_floor&gt;=$V182)*(LT_floor&lt;$W182)),LT_units)</f>
        <v>687</v>
      </c>
      <c r="F182" s="44" t="n">
        <f aca="false">SUMPRODUCT(LT_incl*(ISNUMBER(LT_floor)*(LT_floor&gt;=$V182)*(LT_floor&lt;$W182)),LT_beds)</f>
        <v>102</v>
      </c>
      <c r="G182" s="31" t="n">
        <f aca="false">SUMPRODUCT(LT_incl*(ISNUMBER(LT_floor)*(LT_floor&gt;=$V182)*(LT_floor&lt;$W182)),LT_upb)</f>
        <v>134262519.01</v>
      </c>
      <c r="H182" s="32" t="n">
        <f aca="false">IFERROR(G182/StratUPB,0)</f>
        <v>0.0361290782365985</v>
      </c>
      <c r="I182" s="31" t="n">
        <f aca="false">IFERROR(G182/C182,0)</f>
        <v>26852503.802</v>
      </c>
      <c r="J182" s="31" t="n">
        <f aca="false">SUMPRODUCT(LT_incl*(ISNUMBER(LT_floor)*(LT_floor&gt;=$V182)*(LT_floor&lt;$W182)),LT_unfunded)</f>
        <v>6812480.72</v>
      </c>
      <c r="K182" s="31" t="n">
        <f aca="false">SUMPRODUCT(LT_incl*(ISNUMBER(LT_floor)*(LT_floor&gt;=$V182)*(LT_floor&lt;$W182)),LT_navres)</f>
        <v>-9301319.68754618</v>
      </c>
      <c r="L182" s="33" t="n">
        <f aca="false">IFERROR(SUMPRODUCT(LT_incl*(ISNUMBER(LT_floor)*(LT_floor&gt;=$V182)*(LT_floor&lt;$W182)),LT_upb,LT_eff)/SUMPRODUCT(LT_incl*(ISNUMBER(LT_floor)*(LT_floor&gt;=$V182)*(LT_floor&lt;$W182))*ISNUMBER(LT_eff),LT_upb),0)</f>
        <v>0.0346025693662427</v>
      </c>
      <c r="M182" s="33" t="n">
        <f aca="false">IFERROR(SUMPRODUCT(LT_incl*(ISNUMBER(LT_floor)*(LT_floor&gt;=$V182)*(LT_floor&lt;$W182)),LT_upb,LT_coupon)/SUMPRODUCT(LT_incl*(ISNUMBER(LT_floor)*(LT_floor&gt;=$V182)*(LT_floor&lt;$W182))*ISNUMBER(LT_coupon),LT_upb),0)</f>
        <v>0.0711025693662427</v>
      </c>
      <c r="N182" s="32" t="n">
        <f aca="false">IFERROR(SUMPRODUCT(LT_incl*(ISNUMBER(LT_floor)*(LT_floor&gt;=$V182)*(LT_floor&lt;$W182)),LT_upb,LT_ltv_asis)/SUMPRODUCT(LT_incl*(ISNUMBER(LT_floor)*(LT_floor&gt;=$V182)*(LT_floor&lt;$W182))*ISNUMBER(LT_ltv_asis),LT_upb),0)</f>
        <v>0.628469673609491</v>
      </c>
      <c r="O182" s="32" t="n">
        <f aca="false">IFERROR(SUMPRODUCT(LT_incl*(ISNUMBER(LT_floor)*(LT_floor&gt;=$V182)*(LT_floor&lt;$W182)),LT_upb,LT_ltv_stab)/SUMPRODUCT(LT_incl*(ISNUMBER(LT_floor)*(LT_floor&gt;=$V182)*(LT_floor&lt;$W182))*ISNUMBER(LT_ltv_stab),LT_upb),0)</f>
        <v>0.676497714628351</v>
      </c>
      <c r="P182" s="34" t="n">
        <f aca="false">IFERROR(SUMPRODUCT(LT_incl*(ISNUMBER(LT_floor)*(LT_floor&gt;=$V182)*(LT_floor&lt;$W182)),LT_upb,LT_seas)/SUMPRODUCT(LT_incl*(ISNUMBER(LT_floor)*(LT_floor&gt;=$V182)*(LT_floor&lt;$W182))*ISNUMBER(LT_seas),LT_upb),0)</f>
        <v>44.6745041674563</v>
      </c>
      <c r="Q182" s="34" t="n">
        <f aca="false">IFERROR(SUMPRODUCT(LT_incl*(ISNUMBER(LT_floor)*(LT_floor&gt;=$V182)*(LT_floor&lt;$W182)),LT_upb,LT_rti)/SUMPRODUCT(LT_incl*(ISNUMBER(LT_floor)*(LT_floor&gt;=$V182)*(LT_floor&lt;$W182))*ISNUMBER(LT_rti),LT_upb),0)</f>
        <v>9.60501343043338</v>
      </c>
      <c r="R182" s="34" t="n">
        <f aca="false">IFERROR(SUMPRODUCT(LT_incl*(ISNUMBER(LT_floor)*(LT_floor&gt;=$V182)*(LT_floor&lt;$W182)),LT_upb,LT_rte)/SUMPRODUCT(LT_incl*(ISNUMBER(LT_floor)*(LT_floor&gt;=$V182)*(LT_floor&lt;$W182))*ISNUMBER(LT_rte),LT_upb),0)</f>
        <v>20.5367740144611</v>
      </c>
      <c r="S182" s="32" t="n">
        <f aca="false">IFERROR(SUMPRODUCT(LT_incl*(ISNUMBER(LT_floor)*(LT_floor&gt;=$V182)*(LT_floor&lt;$W182)),LT_backdebt)/G182,0)</f>
        <v>0.524874066587557</v>
      </c>
      <c r="T182" s="32" t="n">
        <f aca="false">IFERROR(SUMPRODUCT(LT_incl*(ISNUMBER(LT_floor)*(LT_floor&gt;=$V182)*(LT_floor&lt;$W182)),LT_equity,LT_roe)/SUMPRODUCT(LT_incl*(ISNUMBER(LT_floor)*(LT_floor&gt;=$V182)*(LT_floor&lt;$W182))*ISNUMBER(LT_roe),LT_equity),0)</f>
        <v>0.087833852031933</v>
      </c>
      <c r="V182" s="47" t="n">
        <v>0.01</v>
      </c>
      <c r="W182" s="47" t="n">
        <v>0.03</v>
      </c>
    </row>
    <row r="183" customFormat="false" ht="15" hidden="false" customHeight="false" outlineLevel="0" collapsed="false">
      <c r="B183" s="18" t="s">
        <v>176</v>
      </c>
      <c r="C183" s="26" t="n">
        <f aca="false">SUMPRODUCT(LT_incl*(ISNUMBER(LT_floor)*(LT_floor&gt;=$V183)*(LT_floor&lt;$W183)))</f>
        <v>43</v>
      </c>
      <c r="D183" s="23" t="n">
        <f aca="false">IFERROR(C183/StratLoans,0)</f>
        <v>0.32824427480916</v>
      </c>
      <c r="E183" s="26" t="n">
        <f aca="false">SUMPRODUCT(LT_incl*(ISNUMBER(LT_floor)*(LT_floor&gt;=$V183)*(LT_floor&lt;$W183)),LT_units)</f>
        <v>7509</v>
      </c>
      <c r="F183" s="26" t="n">
        <f aca="false">SUMPRODUCT(LT_incl*(ISNUMBER(LT_floor)*(LT_floor&gt;=$V183)*(LT_floor&lt;$W183)),LT_beds)</f>
        <v>2351</v>
      </c>
      <c r="G183" s="22" t="n">
        <f aca="false">SUMPRODUCT(LT_incl*(ISNUMBER(LT_floor)*(LT_floor&gt;=$V183)*(LT_floor&lt;$W183)),LT_upb)</f>
        <v>1425331183.09</v>
      </c>
      <c r="H183" s="23" t="n">
        <f aca="false">IFERROR(G183/StratUPB,0)</f>
        <v>0.383546370250111</v>
      </c>
      <c r="I183" s="22" t="n">
        <f aca="false">IFERROR(G183/C183,0)</f>
        <v>33147236.8160465</v>
      </c>
      <c r="J183" s="22" t="n">
        <f aca="false">SUMPRODUCT(LT_incl*(ISNUMBER(LT_floor)*(LT_floor&gt;=$V183)*(LT_floor&lt;$W183)),LT_unfunded)</f>
        <v>29749524.52</v>
      </c>
      <c r="K183" s="22" t="n">
        <f aca="false">SUMPRODUCT(LT_incl*(ISNUMBER(LT_floor)*(LT_floor&gt;=$V183)*(LT_floor&lt;$W183)),LT_navres)</f>
        <v>-2529654.06269062</v>
      </c>
      <c r="L183" s="24" t="n">
        <f aca="false">IFERROR(SUMPRODUCT(LT_incl*(ISNUMBER(LT_floor)*(LT_floor&gt;=$V183)*(LT_floor&lt;$W183)),LT_upb,LT_eff)/SUMPRODUCT(LT_incl*(ISNUMBER(LT_floor)*(LT_floor&gt;=$V183)*(LT_floor&lt;$W183))*ISNUMBER(LT_eff),LT_upb),0)</f>
        <v>0.0329155094920193</v>
      </c>
      <c r="M183" s="24" t="n">
        <f aca="false">IFERROR(SUMPRODUCT(LT_incl*(ISNUMBER(LT_floor)*(LT_floor&gt;=$V183)*(LT_floor&lt;$W183)),LT_upb,LT_coupon)/SUMPRODUCT(LT_incl*(ISNUMBER(LT_floor)*(LT_floor&gt;=$V183)*(LT_floor&lt;$W183))*ISNUMBER(LT_coupon),LT_upb),0)</f>
        <v>0.0694155094920193</v>
      </c>
      <c r="N183" s="23" t="n">
        <f aca="false">IFERROR(SUMPRODUCT(LT_incl*(ISNUMBER(LT_floor)*(LT_floor&gt;=$V183)*(LT_floor&lt;$W183)),LT_upb,LT_ltv_asis)/SUMPRODUCT(LT_incl*(ISNUMBER(LT_floor)*(LT_floor&gt;=$V183)*(LT_floor&lt;$W183))*ISNUMBER(LT_ltv_asis),LT_upb),0)</f>
        <v>0.68822220554844</v>
      </c>
      <c r="O183" s="23" t="n">
        <f aca="false">IFERROR(SUMPRODUCT(LT_incl*(ISNUMBER(LT_floor)*(LT_floor&gt;=$V183)*(LT_floor&lt;$W183)),LT_upb,LT_ltv_stab)/SUMPRODUCT(LT_incl*(ISNUMBER(LT_floor)*(LT_floor&gt;=$V183)*(LT_floor&lt;$W183))*ISNUMBER(LT_ltv_stab),LT_upb),0)</f>
        <v>0.656111043665321</v>
      </c>
      <c r="P183" s="25" t="n">
        <f aca="false">IFERROR(SUMPRODUCT(LT_incl*(ISNUMBER(LT_floor)*(LT_floor&gt;=$V183)*(LT_floor&lt;$W183)),LT_upb,LT_seas)/SUMPRODUCT(LT_incl*(ISNUMBER(LT_floor)*(LT_floor&gt;=$V183)*(LT_floor&lt;$W183))*ISNUMBER(LT_seas),LT_upb),0)</f>
        <v>10.8075745528504</v>
      </c>
      <c r="Q183" s="25" t="n">
        <f aca="false">IFERROR(SUMPRODUCT(LT_incl*(ISNUMBER(LT_floor)*(LT_floor&gt;=$V183)*(LT_floor&lt;$W183)),LT_upb,LT_rti)/SUMPRODUCT(LT_incl*(ISNUMBER(LT_floor)*(LT_floor&gt;=$V183)*(LT_floor&lt;$W183))*ISNUMBER(LT_rti),LT_upb),0)</f>
        <v>17.1983716912518</v>
      </c>
      <c r="R183" s="25" t="n">
        <f aca="false">IFERROR(SUMPRODUCT(LT_incl*(ISNUMBER(LT_floor)*(LT_floor&gt;=$V183)*(LT_floor&lt;$W183)),LT_upb,LT_rte)/SUMPRODUCT(LT_incl*(ISNUMBER(LT_floor)*(LT_floor&gt;=$V183)*(LT_floor&lt;$W183))*ISNUMBER(LT_rte),LT_upb),0)</f>
        <v>35.4076174529327</v>
      </c>
      <c r="S183" s="23" t="n">
        <f aca="false">IFERROR(SUMPRODUCT(LT_incl*(ISNUMBER(LT_floor)*(LT_floor&gt;=$V183)*(LT_floor&lt;$W183)),LT_backdebt)/G183,0)</f>
        <v>0.708795214874081</v>
      </c>
      <c r="T183" s="23" t="n">
        <f aca="false">IFERROR(SUMPRODUCT(LT_incl*(ISNUMBER(LT_floor)*(LT_floor&gt;=$V183)*(LT_floor&lt;$W183)),LT_equity,LT_roe)/SUMPRODUCT(LT_incl*(ISNUMBER(LT_floor)*(LT_floor&gt;=$V183)*(LT_floor&lt;$W183))*ISNUMBER(LT_roe),LT_equity),0)</f>
        <v>0.107529038427047</v>
      </c>
      <c r="V183" s="47" t="n">
        <v>0.03</v>
      </c>
      <c r="W183" s="24" t="n">
        <f aca="false">SOFR</f>
        <v>0.0365</v>
      </c>
    </row>
    <row r="184" customFormat="false" ht="15" hidden="false" customHeight="false" outlineLevel="0" collapsed="false">
      <c r="B184" s="27" t="s">
        <v>177</v>
      </c>
      <c r="C184" s="44" t="n">
        <f aca="false">SUMPRODUCT(LT_incl*(ISNUMBER(LT_floor)*(LT_floor&gt;=$V184)*(LT_floor&lt;$W184)))</f>
        <v>42</v>
      </c>
      <c r="D184" s="32" t="n">
        <f aca="false">IFERROR(C184/StratLoans,0)</f>
        <v>0.320610687022901</v>
      </c>
      <c r="E184" s="44" t="n">
        <f aca="false">SUMPRODUCT(LT_incl*(ISNUMBER(LT_floor)*(LT_floor&gt;=$V184)*(LT_floor&lt;$W184)),LT_units)</f>
        <v>3971</v>
      </c>
      <c r="F184" s="44" t="n">
        <f aca="false">SUMPRODUCT(LT_incl*(ISNUMBER(LT_floor)*(LT_floor&gt;=$V184)*(LT_floor&lt;$W184)),LT_beds)</f>
        <v>5315</v>
      </c>
      <c r="G184" s="31" t="n">
        <f aca="false">SUMPRODUCT(LT_incl*(ISNUMBER(LT_floor)*(LT_floor&gt;=$V184)*(LT_floor&lt;$W184)),LT_upb)</f>
        <v>1210315534.06</v>
      </c>
      <c r="H184" s="32" t="n">
        <f aca="false">IFERROR(G184/StratUPB,0)</f>
        <v>0.325687205509434</v>
      </c>
      <c r="I184" s="31" t="n">
        <f aca="false">IFERROR(G184/C184,0)</f>
        <v>28817036.5252381</v>
      </c>
      <c r="J184" s="31" t="n">
        <f aca="false">SUMPRODUCT(LT_incl*(ISNUMBER(LT_floor)*(LT_floor&gt;=$V184)*(LT_floor&lt;$W184)),LT_unfunded)</f>
        <v>26036807.92</v>
      </c>
      <c r="K184" s="31" t="n">
        <f aca="false">SUMPRODUCT(LT_incl*(ISNUMBER(LT_floor)*(LT_floor&gt;=$V184)*(LT_floor&lt;$W184)),LT_navres)</f>
        <v>0</v>
      </c>
      <c r="L184" s="33" t="n">
        <f aca="false">IFERROR(SUMPRODUCT(LT_incl*(ISNUMBER(LT_floor)*(LT_floor&gt;=$V184)*(LT_floor&lt;$W184)),LT_upb,LT_eff)/SUMPRODUCT(LT_incl*(ISNUMBER(LT_floor)*(LT_floor&gt;=$V184)*(LT_floor&lt;$W184))*ISNUMBER(LT_eff),LT_upb),0)</f>
        <v>0.0453946034411976</v>
      </c>
      <c r="M184" s="33" t="n">
        <f aca="false">IFERROR(SUMPRODUCT(LT_incl*(ISNUMBER(LT_floor)*(LT_floor&gt;=$V184)*(LT_floor&lt;$W184)),LT_upb,LT_coupon)/SUMPRODUCT(LT_incl*(ISNUMBER(LT_floor)*(LT_floor&gt;=$V184)*(LT_floor&lt;$W184))*ISNUMBER(LT_coupon),LT_upb),0)</f>
        <v>0.0818946034411976</v>
      </c>
      <c r="N184" s="32" t="n">
        <f aca="false">IFERROR(SUMPRODUCT(LT_incl*(ISNUMBER(LT_floor)*(LT_floor&gt;=$V184)*(LT_floor&lt;$W184)),LT_upb,LT_ltv_asis)/SUMPRODUCT(LT_incl*(ISNUMBER(LT_floor)*(LT_floor&gt;=$V184)*(LT_floor&lt;$W184))*ISNUMBER(LT_ltv_asis),LT_upb),0)</f>
        <v>0.636238077363383</v>
      </c>
      <c r="O184" s="32" t="n">
        <f aca="false">IFERROR(SUMPRODUCT(LT_incl*(ISNUMBER(LT_floor)*(LT_floor&gt;=$V184)*(LT_floor&lt;$W184)),LT_upb,LT_ltv_stab)/SUMPRODUCT(LT_incl*(ISNUMBER(LT_floor)*(LT_floor&gt;=$V184)*(LT_floor&lt;$W184))*ISNUMBER(LT_ltv_stab),LT_upb),0)</f>
        <v>0.639713298702064</v>
      </c>
      <c r="P184" s="34" t="n">
        <f aca="false">IFERROR(SUMPRODUCT(LT_incl*(ISNUMBER(LT_floor)*(LT_floor&gt;=$V184)*(LT_floor&lt;$W184)),LT_upb,LT_seas)/SUMPRODUCT(LT_incl*(ISNUMBER(LT_floor)*(LT_floor&gt;=$V184)*(LT_floor&lt;$W184))*ISNUMBER(LT_seas),LT_upb),0)</f>
        <v>18.3329239252547</v>
      </c>
      <c r="Q184" s="34" t="n">
        <f aca="false">IFERROR(SUMPRODUCT(LT_incl*(ISNUMBER(LT_floor)*(LT_floor&gt;=$V184)*(LT_floor&lt;$W184)),LT_upb,LT_rti)/SUMPRODUCT(LT_incl*(ISNUMBER(LT_floor)*(LT_floor&gt;=$V184)*(LT_floor&lt;$W184))*ISNUMBER(LT_rti),LT_upb),0)</f>
        <v>9.8391060212771</v>
      </c>
      <c r="R184" s="34" t="n">
        <f aca="false">IFERROR(SUMPRODUCT(LT_incl*(ISNUMBER(LT_floor)*(LT_floor&gt;=$V184)*(LT_floor&lt;$W184)),LT_upb,LT_rte)/SUMPRODUCT(LT_incl*(ISNUMBER(LT_floor)*(LT_floor&gt;=$V184)*(LT_floor&lt;$W184))*ISNUMBER(LT_rte),LT_upb),0)</f>
        <v>22.7092692428484</v>
      </c>
      <c r="S184" s="32" t="n">
        <f aca="false">IFERROR(SUMPRODUCT(LT_incl*(ISNUMBER(LT_floor)*(LT_floor&gt;=$V184)*(LT_floor&lt;$W184)),LT_backdebt)/G184,0)</f>
        <v>0.680251367849098</v>
      </c>
      <c r="T184" s="32" t="n">
        <f aca="false">IFERROR(SUMPRODUCT(LT_incl*(ISNUMBER(LT_floor)*(LT_floor&gt;=$V184)*(LT_floor&lt;$W184)),LT_equity,LT_roe)/SUMPRODUCT(LT_incl*(ISNUMBER(LT_floor)*(LT_floor&gt;=$V184)*(LT_floor&lt;$W184))*ISNUMBER(LT_roe),LT_equity),0)</f>
        <v>0.134145992802734</v>
      </c>
      <c r="V184" s="24" t="n">
        <f aca="false">SOFR</f>
        <v>0.0365</v>
      </c>
      <c r="W184" s="47" t="n">
        <v>1000000000000</v>
      </c>
    </row>
    <row r="185" customFormat="false" ht="15" hidden="false" customHeight="false" outlineLevel="0" collapsed="false">
      <c r="B185" s="18" t="s">
        <v>178</v>
      </c>
      <c r="C185" s="26" t="n">
        <f aca="false">SUMPRODUCT(LT_incl*(1-ISNUMBER(LT_floor)))</f>
        <v>12</v>
      </c>
      <c r="D185" s="23" t="n">
        <f aca="false">IFERROR(C185/StratLoans,0)</f>
        <v>0.0916030534351145</v>
      </c>
      <c r="E185" s="26" t="n">
        <f aca="false">SUMPRODUCT(LT_incl*(1-ISNUMBER(LT_floor)),LT_units)</f>
        <v>3621</v>
      </c>
      <c r="F185" s="26" t="n">
        <f aca="false">SUMPRODUCT(LT_incl*(1-ISNUMBER(LT_floor)),LT_beds)</f>
        <v>536</v>
      </c>
      <c r="G185" s="22" t="n">
        <f aca="false">SUMPRODUCT(LT_incl*(1-ISNUMBER(LT_floor)),LT_upb)</f>
        <v>39047255.4</v>
      </c>
      <c r="H185" s="23" t="n">
        <f aca="false">IFERROR(G185/StratUPB,0)</f>
        <v>0.0105073355965113</v>
      </c>
      <c r="I185" s="22" t="n">
        <f aca="false">IFERROR(G185/C185,0)</f>
        <v>3253937.95</v>
      </c>
      <c r="J185" s="22" t="n">
        <f aca="false">SUMPRODUCT(LT_incl*(1-ISNUMBER(LT_floor)),LT_unfunded)</f>
        <v>0</v>
      </c>
      <c r="K185" s="22" t="n">
        <f aca="false">SUMPRODUCT(LT_incl*(1-ISNUMBER(LT_floor)),LT_navres)</f>
        <v>42616.9326696957</v>
      </c>
      <c r="L185" s="24" t="n">
        <f aca="false">IFERROR(SUMPRODUCT(LT_incl*(1-ISNUMBER(LT_floor)),LT_upb,LT_eff)/SUMPRODUCT(LT_incl*(1-ISNUMBER(LT_floor))*ISNUMBER(LT_eff),LT_upb),0)</f>
        <v>0.0858361965678643</v>
      </c>
      <c r="M185" s="24" t="n">
        <f aca="false">IFERROR(SUMPRODUCT(LT_incl*(1-ISNUMBER(LT_floor)),LT_upb,LT_coupon)/SUMPRODUCT(LT_incl*(1-ISNUMBER(LT_floor))*ISNUMBER(LT_coupon),LT_upb),0)</f>
        <v>0.122336196567864</v>
      </c>
      <c r="N185" s="23" t="n">
        <f aca="false">IFERROR(SUMPRODUCT(LT_incl*(1-ISNUMBER(LT_floor)),LT_upb,LT_ltv_asis)/SUMPRODUCT(LT_incl*(1-ISNUMBER(LT_floor))*ISNUMBER(LT_ltv_asis),LT_upb),0)</f>
        <v>0.793556483107143</v>
      </c>
      <c r="O185" s="23" t="n">
        <f aca="false">IFERROR(SUMPRODUCT(LT_incl*(1-ISNUMBER(LT_floor)),LT_upb,LT_ltv_stab)/SUMPRODUCT(LT_incl*(1-ISNUMBER(LT_floor))*ISNUMBER(LT_ltv_stab),LT_upb),0)</f>
        <v>0.782606604652931</v>
      </c>
      <c r="P185" s="25" t="n">
        <f aca="false">IFERROR(SUMPRODUCT(LT_incl*(1-ISNUMBER(LT_floor)),LT_upb,LT_seas)/SUMPRODUCT(LT_incl*(1-ISNUMBER(LT_floor))*ISNUMBER(LT_seas),LT_upb),0)</f>
        <v>57.7025281128331</v>
      </c>
      <c r="Q185" s="25" t="n">
        <f aca="false">IFERROR(SUMPRODUCT(LT_incl*(1-ISNUMBER(LT_floor)),LT_upb,LT_rti)/SUMPRODUCT(LT_incl*(1-ISNUMBER(LT_floor))*ISNUMBER(LT_rti),LT_upb),0)</f>
        <v>54.1122314698215</v>
      </c>
      <c r="R185" s="25" t="n">
        <f aca="false">IFERROR(SUMPRODUCT(LT_incl*(1-ISNUMBER(LT_floor)),LT_upb,LT_rte)/SUMPRODUCT(LT_incl*(1-ISNUMBER(LT_floor))*ISNUMBER(LT_rte),LT_upb),0)</f>
        <v>54.1122314698215</v>
      </c>
      <c r="S185" s="23" t="n">
        <f aca="false">IFERROR(SUMPRODUCT(LT_incl*(1-ISNUMBER(LT_floor)),LT_backdebt)/G185,0)</f>
        <v>0</v>
      </c>
      <c r="T185" s="23" t="n">
        <f aca="false">IFERROR(SUMPRODUCT(LT_incl*(1-ISNUMBER(LT_floor)),LT_equity,LT_roe)/SUMPRODUCT(LT_incl*(1-ISNUMBER(LT_floor))*ISNUMBER(LT_roe),LT_equity),0)</f>
        <v>0.122336196567864</v>
      </c>
    </row>
    <row r="186" customFormat="false" ht="15" hidden="false" customHeight="false" outlineLevel="0" collapsed="false">
      <c r="B186" s="35" t="s">
        <v>76</v>
      </c>
      <c r="C186" s="45" t="n">
        <f aca="false">SUMPRODUCT(LT_incl*(1))</f>
        <v>131</v>
      </c>
      <c r="D186" s="38" t="n">
        <f aca="false">IFERROR(C186/StratLoans,0)</f>
        <v>1</v>
      </c>
      <c r="E186" s="45" t="n">
        <f aca="false">SUMPRODUCT(LT_incl*(1),LT_units)</f>
        <v>22360</v>
      </c>
      <c r="F186" s="45" t="n">
        <f aca="false">SUMPRODUCT(LT_incl*(1),LT_beds)</f>
        <v>8726</v>
      </c>
      <c r="G186" s="37" t="n">
        <f aca="false">SUMPRODUCT(LT_incl*(1),LT_upb)</f>
        <v>3716189993.3</v>
      </c>
      <c r="H186" s="38" t="n">
        <f aca="false">IFERROR(G186/StratUPB,0)</f>
        <v>1</v>
      </c>
      <c r="I186" s="37" t="n">
        <f aca="false">IFERROR(G186/C186,0)</f>
        <v>28367862.5442748</v>
      </c>
      <c r="J186" s="37" t="n">
        <f aca="false">SUMPRODUCT(LT_incl*(1),LT_unfunded)</f>
        <v>70425498.27</v>
      </c>
      <c r="K186" s="37" t="n">
        <f aca="false">SUMPRODUCT(LT_incl*(1),LT_navres)</f>
        <v>-35761255.0310469</v>
      </c>
      <c r="L186" s="39" t="n">
        <f aca="false">IFERROR(SUMPRODUCT(LT_incl*(1),LT_upb,LT_eff)/SUMPRODUCT(LT_incl*(1)*ISNUMBER(LT_eff),LT_upb),0)</f>
        <v>0.0384104790702225</v>
      </c>
      <c r="M186" s="39" t="n">
        <f aca="false">IFERROR(SUMPRODUCT(LT_incl*(1),LT_upb,LT_coupon)/SUMPRODUCT(LT_incl*(1)*ISNUMBER(LT_coupon),LT_upb),0)</f>
        <v>0.0749104790702225</v>
      </c>
      <c r="N186" s="38" t="n">
        <f aca="false">IFERROR(SUMPRODUCT(LT_incl*(1),LT_upb,LT_ltv_asis)/SUMPRODUCT(LT_incl*(1)*ISNUMBER(LT_ltv_asis),LT_upb),0)</f>
        <v>0.685976245136614</v>
      </c>
      <c r="O186" s="38" t="n">
        <f aca="false">IFERROR(SUMPRODUCT(LT_incl*(1),LT_upb,LT_ltv_stab)/SUMPRODUCT(LT_incl*(1)*ISNUMBER(LT_ltv_stab),LT_upb),0)</f>
        <v>0.658970555756018</v>
      </c>
      <c r="P186" s="40" t="n">
        <f aca="false">IFERROR(SUMPRODUCT(LT_incl*(1),LT_upb,LT_seas)/SUMPRODUCT(LT_incl*(1)*ISNUMBER(LT_seas),LT_upb),0)</f>
        <v>26.0197171750702</v>
      </c>
      <c r="Q186" s="40" t="n">
        <f aca="false">IFERROR(SUMPRODUCT(LT_incl*(1),LT_upb,LT_rti)/SUMPRODUCT(LT_incl*(1)*ISNUMBER(LT_rti),LT_upb),0)</f>
        <v>10.7164396387939</v>
      </c>
      <c r="R186" s="40" t="n">
        <f aca="false">IFERROR(SUMPRODUCT(LT_incl*(1),LT_upb,LT_rte)/SUMPRODUCT(LT_incl*(1)*ISNUMBER(LT_rte),LT_upb),0)</f>
        <v>23.051497716819</v>
      </c>
      <c r="S186" s="38" t="n">
        <f aca="false">IFERROR(SUMPRODUCT(LT_incl*(1),LT_backdebt)/G186,0)</f>
        <v>0.628005362553862</v>
      </c>
      <c r="T186" s="38" t="n">
        <f aca="false">IFERROR(SUMPRODUCT(LT_incl*(1),LT_equity,LT_roe)/SUMPRODUCT(LT_incl*(1)*ISNUMBER(LT_roe),LT_equity),0)</f>
        <v>0.107961987212177</v>
      </c>
    </row>
    <row r="187" customFormat="false" ht="15" hidden="false" customHeight="false" outlineLevel="0" collapsed="false">
      <c r="B187" s="1" t="s">
        <v>179</v>
      </c>
    </row>
    <row r="189" customFormat="false" ht="15" hidden="false" customHeight="false" outlineLevel="0" collapsed="false">
      <c r="B189" s="3" t="s">
        <v>180</v>
      </c>
      <c r="C189" s="4"/>
      <c r="D189" s="4"/>
      <c r="E189" s="4"/>
      <c r="F189" s="4"/>
      <c r="G189" s="4"/>
      <c r="H189" s="4"/>
      <c r="I189" s="4"/>
      <c r="J189" s="4"/>
      <c r="K189" s="4"/>
      <c r="L189" s="4"/>
      <c r="M189" s="4"/>
      <c r="N189" s="4"/>
      <c r="O189" s="4"/>
      <c r="P189" s="4"/>
      <c r="Q189" s="4"/>
      <c r="R189" s="4"/>
      <c r="S189" s="4"/>
      <c r="T189" s="4"/>
    </row>
    <row r="190" customFormat="false" ht="39.75" hidden="false" customHeight="true" outlineLevel="0" collapsed="false">
      <c r="B190" s="16" t="s">
        <v>147</v>
      </c>
      <c r="C190" s="17" t="s">
        <v>13</v>
      </c>
      <c r="D190" s="17" t="s">
        <v>64</v>
      </c>
      <c r="E190" s="17" t="s">
        <v>65</v>
      </c>
      <c r="F190" s="17" t="s">
        <v>66</v>
      </c>
      <c r="G190" s="17" t="s">
        <v>16</v>
      </c>
      <c r="H190" s="17" t="s">
        <v>46</v>
      </c>
      <c r="I190" s="17" t="s">
        <v>19</v>
      </c>
      <c r="J190" s="17" t="s">
        <v>28</v>
      </c>
      <c r="K190" s="17" t="s">
        <v>31</v>
      </c>
      <c r="L190" s="17" t="s">
        <v>7</v>
      </c>
      <c r="M190" s="17" t="s">
        <v>11</v>
      </c>
      <c r="N190" s="17" t="s">
        <v>23</v>
      </c>
      <c r="O190" s="17" t="s">
        <v>67</v>
      </c>
      <c r="P190" s="17" t="s">
        <v>5</v>
      </c>
      <c r="Q190" s="17" t="s">
        <v>68</v>
      </c>
      <c r="R190" s="17" t="s">
        <v>69</v>
      </c>
      <c r="S190" s="17" t="s">
        <v>56</v>
      </c>
      <c r="T190" s="17" t="s">
        <v>70</v>
      </c>
      <c r="V190" s="17" t="s">
        <v>148</v>
      </c>
      <c r="W190" s="17" t="s">
        <v>149</v>
      </c>
    </row>
    <row r="191" customFormat="false" ht="15" hidden="false" customHeight="false" outlineLevel="0" collapsed="false">
      <c r="B191" s="18" t="s">
        <v>181</v>
      </c>
      <c r="C191" s="26" t="n">
        <f aca="false">SUMPRODUCT(LT_incl*(ISNUMBER(LT_cap_strike)*(LT_cap_strike&gt;=$V191)*(LT_cap_strike&lt;$W191)))</f>
        <v>10</v>
      </c>
      <c r="D191" s="23" t="n">
        <f aca="false">IFERROR(C191/StratLoans,0)</f>
        <v>0.0763358778625954</v>
      </c>
      <c r="E191" s="26" t="n">
        <f aca="false">SUMPRODUCT(LT_incl*(ISNUMBER(LT_cap_strike)*(LT_cap_strike&gt;=$V191)*(LT_cap_strike&lt;$W191)),LT_units)</f>
        <v>2192</v>
      </c>
      <c r="F191" s="26" t="n">
        <f aca="false">SUMPRODUCT(LT_incl*(ISNUMBER(LT_cap_strike)*(LT_cap_strike&gt;=$V191)*(LT_cap_strike&lt;$W191)),LT_beds)</f>
        <v>0</v>
      </c>
      <c r="G191" s="22" t="n">
        <f aca="false">SUMPRODUCT(LT_incl*(ISNUMBER(LT_cap_strike)*(LT_cap_strike&gt;=$V191)*(LT_cap_strike&lt;$W191)),LT_upb)</f>
        <v>301672711.69</v>
      </c>
      <c r="H191" s="23" t="n">
        <f aca="false">IFERROR(G191/StratUPB,0)</f>
        <v>0.0811779570565263</v>
      </c>
      <c r="I191" s="22" t="n">
        <f aca="false">IFERROR(G191/C191,0)</f>
        <v>30167271.169</v>
      </c>
      <c r="J191" s="22" t="n">
        <f aca="false">SUMPRODUCT(LT_incl*(ISNUMBER(LT_cap_strike)*(LT_cap_strike&gt;=$V191)*(LT_cap_strike&lt;$W191)),LT_unfunded)</f>
        <v>12221288.04</v>
      </c>
      <c r="K191" s="22" t="n">
        <f aca="false">SUMPRODUCT(LT_incl*(ISNUMBER(LT_cap_strike)*(LT_cap_strike&gt;=$V191)*(LT_cap_strike&lt;$W191)),LT_navres)</f>
        <v>0</v>
      </c>
      <c r="L191" s="24" t="n">
        <f aca="false">IFERROR(SUMPRODUCT(LT_incl*(ISNUMBER(LT_cap_strike)*(LT_cap_strike&gt;=$V191)*(LT_cap_strike&lt;$W191)),LT_upb,LT_eff)/SUMPRODUCT(LT_incl*(ISNUMBER(LT_cap_strike)*(LT_cap_strike&gt;=$V191)*(LT_cap_strike&lt;$W191))*ISNUMBER(LT_eff),LT_upb),0)</f>
        <v>0.0349175022115173</v>
      </c>
      <c r="M191" s="24" t="n">
        <f aca="false">IFERROR(SUMPRODUCT(LT_incl*(ISNUMBER(LT_cap_strike)*(LT_cap_strike&gt;=$V191)*(LT_cap_strike&lt;$W191)),LT_upb,LT_coupon)/SUMPRODUCT(LT_incl*(ISNUMBER(LT_cap_strike)*(LT_cap_strike&gt;=$V191)*(LT_cap_strike&lt;$W191))*ISNUMBER(LT_coupon),LT_upb),0)</f>
        <v>0.0714175022115173</v>
      </c>
      <c r="N191" s="23" t="n">
        <f aca="false">IFERROR(SUMPRODUCT(LT_incl*(ISNUMBER(LT_cap_strike)*(LT_cap_strike&gt;=$V191)*(LT_cap_strike&lt;$W191)),LT_upb,LT_ltv_asis)/SUMPRODUCT(LT_incl*(ISNUMBER(LT_cap_strike)*(LT_cap_strike&gt;=$V191)*(LT_cap_strike&lt;$W191))*ISNUMBER(LT_ltv_asis),LT_upb),0)</f>
        <v>0.658089404874885</v>
      </c>
      <c r="O191" s="23" t="n">
        <f aca="false">IFERROR(SUMPRODUCT(LT_incl*(ISNUMBER(LT_cap_strike)*(LT_cap_strike&gt;=$V191)*(LT_cap_strike&lt;$W191)),LT_upb,LT_ltv_stab)/SUMPRODUCT(LT_incl*(ISNUMBER(LT_cap_strike)*(LT_cap_strike&gt;=$V191)*(LT_cap_strike&lt;$W191))*ISNUMBER(LT_ltv_stab),LT_upb),0)</f>
        <v>0.682364817767007</v>
      </c>
      <c r="P191" s="25" t="n">
        <f aca="false">IFERROR(SUMPRODUCT(LT_incl*(ISNUMBER(LT_cap_strike)*(LT_cap_strike&gt;=$V191)*(LT_cap_strike&lt;$W191)),LT_upb,LT_seas)/SUMPRODUCT(LT_incl*(ISNUMBER(LT_cap_strike)*(LT_cap_strike&gt;=$V191)*(LT_cap_strike&lt;$W191))*ISNUMBER(LT_seas),LT_upb),0)</f>
        <v>44.9567929232214</v>
      </c>
      <c r="Q191" s="25" t="n">
        <f aca="false">IFERROR(SUMPRODUCT(LT_incl*(ISNUMBER(LT_cap_strike)*(LT_cap_strike&gt;=$V191)*(LT_cap_strike&lt;$W191)),LT_upb,LT_rti)/SUMPRODUCT(LT_incl*(ISNUMBER(LT_cap_strike)*(LT_cap_strike&gt;=$V191)*(LT_cap_strike&lt;$W191))*ISNUMBER(LT_rti),LT_upb),0)</f>
        <v>3.24247567504086</v>
      </c>
      <c r="R191" s="25" t="n">
        <f aca="false">IFERROR(SUMPRODUCT(LT_incl*(ISNUMBER(LT_cap_strike)*(LT_cap_strike&gt;=$V191)*(LT_cap_strike&lt;$W191)),LT_upb,LT_rte)/SUMPRODUCT(LT_incl*(ISNUMBER(LT_cap_strike)*(LT_cap_strike&gt;=$V191)*(LT_cap_strike&lt;$W191))*ISNUMBER(LT_rte),LT_upb),0)</f>
        <v>16.1182509129413</v>
      </c>
      <c r="S191" s="23" t="n">
        <f aca="false">IFERROR(SUMPRODUCT(LT_incl*(ISNUMBER(LT_cap_strike)*(LT_cap_strike&gt;=$V191)*(LT_cap_strike&lt;$W191)),LT_backdebt)/G191,0)</f>
        <v>0.647257361095625</v>
      </c>
      <c r="T191" s="23" t="n">
        <f aca="false">IFERROR(SUMPRODUCT(LT_incl*(ISNUMBER(LT_cap_strike)*(LT_cap_strike&gt;=$V191)*(LT_cap_strike&lt;$W191)),LT_equity,LT_roe)/SUMPRODUCT(LT_incl*(ISNUMBER(LT_cap_strike)*(LT_cap_strike&gt;=$V191)*(LT_cap_strike&lt;$W191))*ISNUMBER(LT_roe),LT_equity),0)</f>
        <v>0.103822584720259</v>
      </c>
      <c r="V191" s="47" t="n">
        <v>-1000000000000</v>
      </c>
      <c r="W191" s="47" t="n">
        <v>0.03</v>
      </c>
    </row>
    <row r="192" customFormat="false" ht="15" hidden="false" customHeight="false" outlineLevel="0" collapsed="false">
      <c r="B192" s="27" t="s">
        <v>182</v>
      </c>
      <c r="C192" s="44" t="n">
        <f aca="false">SUMPRODUCT(LT_incl*(ISNUMBER(LT_cap_strike)*(LT_cap_strike&gt;=$V192)*(LT_cap_strike&lt;$W192)))</f>
        <v>17</v>
      </c>
      <c r="D192" s="32" t="n">
        <f aca="false">IFERROR(C192/StratLoans,0)</f>
        <v>0.129770992366412</v>
      </c>
      <c r="E192" s="44" t="n">
        <f aca="false">SUMPRODUCT(LT_incl*(ISNUMBER(LT_cap_strike)*(LT_cap_strike&gt;=$V192)*(LT_cap_strike&lt;$W192)),LT_units)</f>
        <v>3447</v>
      </c>
      <c r="F192" s="44" t="n">
        <f aca="false">SUMPRODUCT(LT_incl*(ISNUMBER(LT_cap_strike)*(LT_cap_strike&gt;=$V192)*(LT_cap_strike&lt;$W192)),LT_beds)</f>
        <v>0</v>
      </c>
      <c r="G192" s="31" t="n">
        <f aca="false">SUMPRODUCT(LT_incl*(ISNUMBER(LT_cap_strike)*(LT_cap_strike&gt;=$V192)*(LT_cap_strike&lt;$W192)),LT_upb)</f>
        <v>532461802.43</v>
      </c>
      <c r="H192" s="32" t="n">
        <f aca="false">IFERROR(G192/StratUPB,0)</f>
        <v>0.143281641517249</v>
      </c>
      <c r="I192" s="31" t="n">
        <f aca="false">IFERROR(G192/C192,0)</f>
        <v>31321282.4958824</v>
      </c>
      <c r="J192" s="31" t="n">
        <f aca="false">SUMPRODUCT(LT_incl*(ISNUMBER(LT_cap_strike)*(LT_cap_strike&gt;=$V192)*(LT_cap_strike&lt;$W192)),LT_unfunded)</f>
        <v>6005452.29</v>
      </c>
      <c r="K192" s="31" t="n">
        <f aca="false">SUMPRODUCT(LT_incl*(ISNUMBER(LT_cap_strike)*(LT_cap_strike&gt;=$V192)*(LT_cap_strike&lt;$W192)),LT_navres)</f>
        <v>-4728215.76254042</v>
      </c>
      <c r="L192" s="33" t="n">
        <f aca="false">IFERROR(SUMPRODUCT(LT_incl*(ISNUMBER(LT_cap_strike)*(LT_cap_strike&gt;=$V192)*(LT_cap_strike&lt;$W192)),LT_upb,LT_eff)/SUMPRODUCT(LT_incl*(ISNUMBER(LT_cap_strike)*(LT_cap_strike&gt;=$V192)*(LT_cap_strike&lt;$W192))*ISNUMBER(LT_eff),LT_upb),0)</f>
        <v>0.031681967560373</v>
      </c>
      <c r="M192" s="33" t="n">
        <f aca="false">IFERROR(SUMPRODUCT(LT_incl*(ISNUMBER(LT_cap_strike)*(LT_cap_strike&gt;=$V192)*(LT_cap_strike&lt;$W192)),LT_upb,LT_coupon)/SUMPRODUCT(LT_incl*(ISNUMBER(LT_cap_strike)*(LT_cap_strike&gt;=$V192)*(LT_cap_strike&lt;$W192))*ISNUMBER(LT_coupon),LT_upb),0)</f>
        <v>0.068181967560373</v>
      </c>
      <c r="N192" s="32" t="n">
        <f aca="false">IFERROR(SUMPRODUCT(LT_incl*(ISNUMBER(LT_cap_strike)*(LT_cap_strike&gt;=$V192)*(LT_cap_strike&lt;$W192)),LT_upb,LT_ltv_asis)/SUMPRODUCT(LT_incl*(ISNUMBER(LT_cap_strike)*(LT_cap_strike&gt;=$V192)*(LT_cap_strike&lt;$W192))*ISNUMBER(LT_ltv_asis),LT_upb),0)</f>
        <v>0.70545957397948</v>
      </c>
      <c r="O192" s="32" t="n">
        <f aca="false">IFERROR(SUMPRODUCT(LT_incl*(ISNUMBER(LT_cap_strike)*(LT_cap_strike&gt;=$V192)*(LT_cap_strike&lt;$W192)),LT_upb,LT_ltv_stab)/SUMPRODUCT(LT_incl*(ISNUMBER(LT_cap_strike)*(LT_cap_strike&gt;=$V192)*(LT_cap_strike&lt;$W192))*ISNUMBER(LT_ltv_stab),LT_upb),0)</f>
        <v>0.679703450976163</v>
      </c>
      <c r="P192" s="34" t="n">
        <f aca="false">IFERROR(SUMPRODUCT(LT_incl*(ISNUMBER(LT_cap_strike)*(LT_cap_strike&gt;=$V192)*(LT_cap_strike&lt;$W192)),LT_upb,LT_seas)/SUMPRODUCT(LT_incl*(ISNUMBER(LT_cap_strike)*(LT_cap_strike&gt;=$V192)*(LT_cap_strike&lt;$W192))*ISNUMBER(LT_seas),LT_upb),0)</f>
        <v>29.7277374369097</v>
      </c>
      <c r="Q192" s="34" t="n">
        <f aca="false">IFERROR(SUMPRODUCT(LT_incl*(ISNUMBER(LT_cap_strike)*(LT_cap_strike&gt;=$V192)*(LT_cap_strike&lt;$W192)),LT_upb,LT_rti)/SUMPRODUCT(LT_incl*(ISNUMBER(LT_cap_strike)*(LT_cap_strike&gt;=$V192)*(LT_cap_strike&lt;$W192))*ISNUMBER(LT_rti),LT_upb),0)</f>
        <v>7.15445709047063</v>
      </c>
      <c r="R192" s="34" t="n">
        <f aca="false">IFERROR(SUMPRODUCT(LT_incl*(ISNUMBER(LT_cap_strike)*(LT_cap_strike&gt;=$V192)*(LT_cap_strike&lt;$W192)),LT_upb,LT_rte)/SUMPRODUCT(LT_incl*(ISNUMBER(LT_cap_strike)*(LT_cap_strike&gt;=$V192)*(LT_cap_strike&lt;$W192))*ISNUMBER(LT_rte),LT_upb),0)</f>
        <v>24.9125844621578</v>
      </c>
      <c r="S192" s="32" t="n">
        <f aca="false">IFERROR(SUMPRODUCT(LT_incl*(ISNUMBER(LT_cap_strike)*(LT_cap_strike&gt;=$V192)*(LT_cap_strike&lt;$W192)),LT_backdebt)/G192,0)</f>
        <v>0.700943844531138</v>
      </c>
      <c r="T192" s="32" t="n">
        <f aca="false">IFERROR(SUMPRODUCT(LT_incl*(ISNUMBER(LT_cap_strike)*(LT_cap_strike&gt;=$V192)*(LT_cap_strike&lt;$W192)),LT_equity,LT_roe)/SUMPRODUCT(LT_incl*(ISNUMBER(LT_cap_strike)*(LT_cap_strike&gt;=$V192)*(LT_cap_strike&lt;$W192))*ISNUMBER(LT_roe),LT_equity),0)</f>
        <v>0.0993689943493926</v>
      </c>
      <c r="V192" s="47" t="n">
        <v>0.03</v>
      </c>
      <c r="W192" s="47" t="n">
        <v>0.04</v>
      </c>
    </row>
    <row r="193" customFormat="false" ht="15" hidden="false" customHeight="false" outlineLevel="0" collapsed="false">
      <c r="B193" s="18" t="s">
        <v>162</v>
      </c>
      <c r="C193" s="26" t="n">
        <f aca="false">SUMPRODUCT(LT_incl*(ISNUMBER(LT_cap_strike)*(LT_cap_strike&gt;=$V193)*(LT_cap_strike&lt;$W193)))</f>
        <v>38</v>
      </c>
      <c r="D193" s="23" t="n">
        <f aca="false">IFERROR(C193/StratLoans,0)</f>
        <v>0.290076335877863</v>
      </c>
      <c r="E193" s="26" t="n">
        <f aca="false">SUMPRODUCT(LT_incl*(ISNUMBER(LT_cap_strike)*(LT_cap_strike&gt;=$V193)*(LT_cap_strike&lt;$W193)),LT_units)</f>
        <v>7903</v>
      </c>
      <c r="F193" s="26" t="n">
        <f aca="false">SUMPRODUCT(LT_incl*(ISNUMBER(LT_cap_strike)*(LT_cap_strike&gt;=$V193)*(LT_cap_strike&lt;$W193)),LT_beds)</f>
        <v>1107</v>
      </c>
      <c r="G193" s="22" t="n">
        <f aca="false">SUMPRODUCT(LT_incl*(ISNUMBER(LT_cap_strike)*(LT_cap_strike&gt;=$V193)*(LT_cap_strike&lt;$W193)),LT_upb)</f>
        <v>1310605233.7</v>
      </c>
      <c r="H193" s="23" t="n">
        <f aca="false">IFERROR(G193/StratUPB,0)</f>
        <v>0.352674442389361</v>
      </c>
      <c r="I193" s="22" t="n">
        <f aca="false">IFERROR(G193/C193,0)</f>
        <v>34489611.4131579</v>
      </c>
      <c r="J193" s="22" t="n">
        <f aca="false">SUMPRODUCT(LT_incl*(ISNUMBER(LT_cap_strike)*(LT_cap_strike&gt;=$V193)*(LT_cap_strike&lt;$W193)),LT_unfunded)</f>
        <v>31550931.19</v>
      </c>
      <c r="K193" s="22" t="n">
        <f aca="false">SUMPRODUCT(LT_incl*(ISNUMBER(LT_cap_strike)*(LT_cap_strike&gt;=$V193)*(LT_cap_strike&lt;$W193)),LT_navres)</f>
        <v>-10547.4544277098</v>
      </c>
      <c r="L193" s="24" t="n">
        <f aca="false">IFERROR(SUMPRODUCT(LT_incl*(ISNUMBER(LT_cap_strike)*(LT_cap_strike&gt;=$V193)*(LT_cap_strike&lt;$W193)),LT_upb,LT_eff)/SUMPRODUCT(LT_incl*(ISNUMBER(LT_cap_strike)*(LT_cap_strike&gt;=$V193)*(LT_cap_strike&lt;$W193))*ISNUMBER(LT_eff),LT_upb),0)</f>
        <v>0.0324133186510485</v>
      </c>
      <c r="M193" s="24" t="n">
        <f aca="false">IFERROR(SUMPRODUCT(LT_incl*(ISNUMBER(LT_cap_strike)*(LT_cap_strike&gt;=$V193)*(LT_cap_strike&lt;$W193)),LT_upb,LT_coupon)/SUMPRODUCT(LT_incl*(ISNUMBER(LT_cap_strike)*(LT_cap_strike&gt;=$V193)*(LT_cap_strike&lt;$W193))*ISNUMBER(LT_coupon),LT_upb),0)</f>
        <v>0.0689133186510485</v>
      </c>
      <c r="N193" s="23" t="n">
        <f aca="false">IFERROR(SUMPRODUCT(LT_incl*(ISNUMBER(LT_cap_strike)*(LT_cap_strike&gt;=$V193)*(LT_cap_strike&lt;$W193)),LT_upb,LT_ltv_asis)/SUMPRODUCT(LT_incl*(ISNUMBER(LT_cap_strike)*(LT_cap_strike&gt;=$V193)*(LT_cap_strike&lt;$W193))*ISNUMBER(LT_ltv_asis),LT_upb),0)</f>
        <v>0.689806823324405</v>
      </c>
      <c r="O193" s="23" t="n">
        <f aca="false">IFERROR(SUMPRODUCT(LT_incl*(ISNUMBER(LT_cap_strike)*(LT_cap_strike&gt;=$V193)*(LT_cap_strike&lt;$W193)),LT_upb,LT_ltv_stab)/SUMPRODUCT(LT_incl*(ISNUMBER(LT_cap_strike)*(LT_cap_strike&gt;=$V193)*(LT_cap_strike&lt;$W193))*ISNUMBER(LT_ltv_stab),LT_upb),0)</f>
        <v>0.653777272289296</v>
      </c>
      <c r="P193" s="25" t="n">
        <f aca="false">IFERROR(SUMPRODUCT(LT_incl*(ISNUMBER(LT_cap_strike)*(LT_cap_strike&gt;=$V193)*(LT_cap_strike&lt;$W193)),LT_upb,LT_seas)/SUMPRODUCT(LT_incl*(ISNUMBER(LT_cap_strike)*(LT_cap_strike&gt;=$V193)*(LT_cap_strike&lt;$W193))*ISNUMBER(LT_seas),LT_upb),0)</f>
        <v>15.0801747413242</v>
      </c>
      <c r="Q193" s="25" t="n">
        <f aca="false">IFERROR(SUMPRODUCT(LT_incl*(ISNUMBER(LT_cap_strike)*(LT_cap_strike&gt;=$V193)*(LT_cap_strike&lt;$W193)),LT_upb,LT_rti)/SUMPRODUCT(LT_incl*(ISNUMBER(LT_cap_strike)*(LT_cap_strike&gt;=$V193)*(LT_cap_strike&lt;$W193))*ISNUMBER(LT_rti),LT_upb),0)</f>
        <v>15.7029973952712</v>
      </c>
      <c r="R193" s="25" t="n">
        <f aca="false">IFERROR(SUMPRODUCT(LT_incl*(ISNUMBER(LT_cap_strike)*(LT_cap_strike&gt;=$V193)*(LT_cap_strike&lt;$W193)),LT_upb,LT_rte)/SUMPRODUCT(LT_incl*(ISNUMBER(LT_cap_strike)*(LT_cap_strike&gt;=$V193)*(LT_cap_strike&lt;$W193))*ISNUMBER(LT_rte),LT_upb),0)</f>
        <v>30.9430893514289</v>
      </c>
      <c r="S193" s="23" t="n">
        <f aca="false">IFERROR(SUMPRODUCT(LT_incl*(ISNUMBER(LT_cap_strike)*(LT_cap_strike&gt;=$V193)*(LT_cap_strike&lt;$W193)),LT_backdebt)/G193,0)</f>
        <v>0.730033367332221</v>
      </c>
      <c r="T193" s="23" t="n">
        <f aca="false">IFERROR(SUMPRODUCT(LT_incl*(ISNUMBER(LT_cap_strike)*(LT_cap_strike&gt;=$V193)*(LT_cap_strike&lt;$W193)),LT_equity,LT_roe)/SUMPRODUCT(LT_incl*(ISNUMBER(LT_cap_strike)*(LT_cap_strike&gt;=$V193)*(LT_cap_strike&lt;$W193))*ISNUMBER(LT_roe),LT_equity),0)</f>
        <v>0.110887298683342</v>
      </c>
      <c r="V193" s="47" t="n">
        <v>0.04</v>
      </c>
      <c r="W193" s="47" t="n">
        <v>0.05</v>
      </c>
    </row>
    <row r="194" customFormat="false" ht="15" hidden="false" customHeight="false" outlineLevel="0" collapsed="false">
      <c r="B194" s="27" t="s">
        <v>183</v>
      </c>
      <c r="C194" s="44" t="n">
        <f aca="false">SUMPRODUCT(LT_incl*(ISNUMBER(LT_cap_strike)*(LT_cap_strike&gt;=$V194)*(LT_cap_strike&lt;$W194)))</f>
        <v>23</v>
      </c>
      <c r="D194" s="32" t="n">
        <f aca="false">IFERROR(C194/StratLoans,0)</f>
        <v>0.175572519083969</v>
      </c>
      <c r="E194" s="44" t="n">
        <f aca="false">SUMPRODUCT(LT_incl*(ISNUMBER(LT_cap_strike)*(LT_cap_strike&gt;=$V194)*(LT_cap_strike&lt;$W194)),LT_units)</f>
        <v>1064</v>
      </c>
      <c r="F194" s="44" t="n">
        <f aca="false">SUMPRODUCT(LT_incl*(ISNUMBER(LT_cap_strike)*(LT_cap_strike&gt;=$V194)*(LT_cap_strike&lt;$W194)),LT_beds)</f>
        <v>4055</v>
      </c>
      <c r="G194" s="31" t="n">
        <f aca="false">SUMPRODUCT(LT_incl*(ISNUMBER(LT_cap_strike)*(LT_cap_strike&gt;=$V194)*(LT_cap_strike&lt;$W194)),LT_upb)</f>
        <v>668657793.26</v>
      </c>
      <c r="H194" s="32" t="n">
        <f aca="false">IFERROR(G194/StratUPB,0)</f>
        <v>0.179931003114894</v>
      </c>
      <c r="I194" s="31" t="n">
        <f aca="false">IFERROR(G194/C194,0)</f>
        <v>29072077.9678261</v>
      </c>
      <c r="J194" s="31" t="n">
        <f aca="false">SUMPRODUCT(LT_incl*(ISNUMBER(LT_cap_strike)*(LT_cap_strike&gt;=$V194)*(LT_cap_strike&lt;$W194)),LT_unfunded)</f>
        <v>9379742.28999999</v>
      </c>
      <c r="K194" s="31" t="n">
        <f aca="false">SUMPRODUCT(LT_incl*(ISNUMBER(LT_cap_strike)*(LT_cap_strike&gt;=$V194)*(LT_cap_strike&lt;$W194)),LT_navres)</f>
        <v>0</v>
      </c>
      <c r="L194" s="33" t="n">
        <f aca="false">IFERROR(SUMPRODUCT(LT_incl*(ISNUMBER(LT_cap_strike)*(LT_cap_strike&gt;=$V194)*(LT_cap_strike&lt;$W194)),LT_upb,LT_eff)/SUMPRODUCT(LT_incl*(ISNUMBER(LT_cap_strike)*(LT_cap_strike&gt;=$V194)*(LT_cap_strike&lt;$W194))*ISNUMBER(LT_eff),LT_upb),0)</f>
        <v>0.0485055138857831</v>
      </c>
      <c r="M194" s="33" t="n">
        <f aca="false">IFERROR(SUMPRODUCT(LT_incl*(ISNUMBER(LT_cap_strike)*(LT_cap_strike&gt;=$V194)*(LT_cap_strike&lt;$W194)),LT_upb,LT_coupon)/SUMPRODUCT(LT_incl*(ISNUMBER(LT_cap_strike)*(LT_cap_strike&gt;=$V194)*(LT_cap_strike&lt;$W194))*ISNUMBER(LT_coupon),LT_upb),0)</f>
        <v>0.0850055138857831</v>
      </c>
      <c r="N194" s="32" t="n">
        <f aca="false">IFERROR(SUMPRODUCT(LT_incl*(ISNUMBER(LT_cap_strike)*(LT_cap_strike&gt;=$V194)*(LT_cap_strike&lt;$W194)),LT_upb,LT_ltv_asis)/SUMPRODUCT(LT_incl*(ISNUMBER(LT_cap_strike)*(LT_cap_strike&gt;=$V194)*(LT_cap_strike&lt;$W194))*ISNUMBER(LT_ltv_asis),LT_upb),0)</f>
        <v>0.636467296520849</v>
      </c>
      <c r="O194" s="32" t="n">
        <f aca="false">IFERROR(SUMPRODUCT(LT_incl*(ISNUMBER(LT_cap_strike)*(LT_cap_strike&gt;=$V194)*(LT_cap_strike&lt;$W194)),LT_upb,LT_ltv_stab)/SUMPRODUCT(LT_incl*(ISNUMBER(LT_cap_strike)*(LT_cap_strike&gt;=$V194)*(LT_cap_strike&lt;$W194))*ISNUMBER(LT_ltv_stab),LT_upb),0)</f>
        <v>0.643188144334552</v>
      </c>
      <c r="P194" s="34" t="n">
        <f aca="false">IFERROR(SUMPRODUCT(LT_incl*(ISNUMBER(LT_cap_strike)*(LT_cap_strike&gt;=$V194)*(LT_cap_strike&lt;$W194)),LT_upb,LT_seas)/SUMPRODUCT(LT_incl*(ISNUMBER(LT_cap_strike)*(LT_cap_strike&gt;=$V194)*(LT_cap_strike&lt;$W194))*ISNUMBER(LT_seas),LT_upb),0)</f>
        <v>15.3775025685356</v>
      </c>
      <c r="Q194" s="34" t="n">
        <f aca="false">IFERROR(SUMPRODUCT(LT_incl*(ISNUMBER(LT_cap_strike)*(LT_cap_strike&gt;=$V194)*(LT_cap_strike&lt;$W194)),LT_upb,LT_rti)/SUMPRODUCT(LT_incl*(ISNUMBER(LT_cap_strike)*(LT_cap_strike&gt;=$V194)*(LT_cap_strike&lt;$W194))*ISNUMBER(LT_rti),LT_upb),0)</f>
        <v>12.4193439811282</v>
      </c>
      <c r="R194" s="34" t="n">
        <f aca="false">IFERROR(SUMPRODUCT(LT_incl*(ISNUMBER(LT_cap_strike)*(LT_cap_strike&gt;=$V194)*(LT_cap_strike&lt;$W194)),LT_upb,LT_rte)/SUMPRODUCT(LT_incl*(ISNUMBER(LT_cap_strike)*(LT_cap_strike&gt;=$V194)*(LT_cap_strike&lt;$W194))*ISNUMBER(LT_rte),LT_upb),0)</f>
        <v>24.4859309995532</v>
      </c>
      <c r="S194" s="32" t="n">
        <f aca="false">IFERROR(SUMPRODUCT(LT_incl*(ISNUMBER(LT_cap_strike)*(LT_cap_strike&gt;=$V194)*(LT_cap_strike&lt;$W194)),LT_backdebt)/G194,0)</f>
        <v>0.653277383981588</v>
      </c>
      <c r="T194" s="32" t="n">
        <f aca="false">IFERROR(SUMPRODUCT(LT_incl*(ISNUMBER(LT_cap_strike)*(LT_cap_strike&gt;=$V194)*(LT_cap_strike&lt;$W194)),LT_equity,LT_roe)/SUMPRODUCT(LT_incl*(ISNUMBER(LT_cap_strike)*(LT_cap_strike&gt;=$V194)*(LT_cap_strike&lt;$W194))*ISNUMBER(LT_roe),LT_equity),0)</f>
        <v>0.132861913499988</v>
      </c>
      <c r="V194" s="47" t="n">
        <v>0.05</v>
      </c>
      <c r="W194" s="47" t="n">
        <v>0.06</v>
      </c>
    </row>
    <row r="195" customFormat="false" ht="15" hidden="false" customHeight="false" outlineLevel="0" collapsed="false">
      <c r="B195" s="18" t="s">
        <v>184</v>
      </c>
      <c r="C195" s="26" t="n">
        <f aca="false">SUMPRODUCT(LT_incl*(ISNUMBER(LT_cap_strike)*(LT_cap_strike&gt;=$V195)*(LT_cap_strike&lt;$W195)))</f>
        <v>12</v>
      </c>
      <c r="D195" s="23" t="n">
        <f aca="false">IFERROR(C195/StratLoans,0)</f>
        <v>0.0916030534351145</v>
      </c>
      <c r="E195" s="26" t="n">
        <f aca="false">SUMPRODUCT(LT_incl*(ISNUMBER(LT_cap_strike)*(LT_cap_strike&gt;=$V195)*(LT_cap_strike&lt;$W195)),LT_units)</f>
        <v>0</v>
      </c>
      <c r="F195" s="26" t="n">
        <f aca="false">SUMPRODUCT(LT_incl*(ISNUMBER(LT_cap_strike)*(LT_cap_strike&gt;=$V195)*(LT_cap_strike&lt;$W195)),LT_beds)</f>
        <v>2472</v>
      </c>
      <c r="G195" s="22" t="n">
        <f aca="false">SUMPRODUCT(LT_incl*(ISNUMBER(LT_cap_strike)*(LT_cap_strike&gt;=$V195)*(LT_cap_strike&lt;$W195)),LT_upb)</f>
        <v>282478094.43</v>
      </c>
      <c r="H195" s="23" t="n">
        <f aca="false">IFERROR(G195/StratUPB,0)</f>
        <v>0.0760128236013998</v>
      </c>
      <c r="I195" s="22" t="n">
        <f aca="false">IFERROR(G195/C195,0)</f>
        <v>23539841.2025</v>
      </c>
      <c r="J195" s="22" t="n">
        <f aca="false">SUMPRODUCT(LT_incl*(ISNUMBER(LT_cap_strike)*(LT_cap_strike&gt;=$V195)*(LT_cap_strike&lt;$W195)),LT_unfunded)</f>
        <v>9190000</v>
      </c>
      <c r="K195" s="22" t="n">
        <f aca="false">SUMPRODUCT(LT_incl*(ISNUMBER(LT_cap_strike)*(LT_cap_strike&gt;=$V195)*(LT_cap_strike&lt;$W195)),LT_navres)</f>
        <v>0</v>
      </c>
      <c r="L195" s="24" t="n">
        <f aca="false">IFERROR(SUMPRODUCT(LT_incl*(ISNUMBER(LT_cap_strike)*(LT_cap_strike&gt;=$V195)*(LT_cap_strike&lt;$W195)),LT_upb,LT_eff)/SUMPRODUCT(LT_incl*(ISNUMBER(LT_cap_strike)*(LT_cap_strike&gt;=$V195)*(LT_cap_strike&lt;$W195))*ISNUMBER(LT_eff),LT_upb),0)</f>
        <v>0.0516686628716331</v>
      </c>
      <c r="M195" s="24" t="n">
        <f aca="false">IFERROR(SUMPRODUCT(LT_incl*(ISNUMBER(LT_cap_strike)*(LT_cap_strike&gt;=$V195)*(LT_cap_strike&lt;$W195)),LT_upb,LT_coupon)/SUMPRODUCT(LT_incl*(ISNUMBER(LT_cap_strike)*(LT_cap_strike&gt;=$V195)*(LT_cap_strike&lt;$W195))*ISNUMBER(LT_coupon),LT_upb),0)</f>
        <v>0.0881686628716331</v>
      </c>
      <c r="N195" s="23" t="n">
        <f aca="false">IFERROR(SUMPRODUCT(LT_incl*(ISNUMBER(LT_cap_strike)*(LT_cap_strike&gt;=$V195)*(LT_cap_strike&lt;$W195)),LT_upb,LT_ltv_asis)/SUMPRODUCT(LT_incl*(ISNUMBER(LT_cap_strike)*(LT_cap_strike&gt;=$V195)*(LT_cap_strike&lt;$W195))*ISNUMBER(LT_ltv_asis),LT_upb),0)</f>
        <v>0.661051620866229</v>
      </c>
      <c r="O195" s="23" t="n">
        <f aca="false">IFERROR(SUMPRODUCT(LT_incl*(ISNUMBER(LT_cap_strike)*(LT_cap_strike&gt;=$V195)*(LT_cap_strike&lt;$W195)),LT_upb,LT_ltv_stab)/SUMPRODUCT(LT_incl*(ISNUMBER(LT_cap_strike)*(LT_cap_strike&gt;=$V195)*(LT_cap_strike&lt;$W195))*ISNUMBER(LT_ltv_stab),LT_upb),0)</f>
        <v>0.62996518733436</v>
      </c>
      <c r="P195" s="25" t="n">
        <f aca="false">IFERROR(SUMPRODUCT(LT_incl*(ISNUMBER(LT_cap_strike)*(LT_cap_strike&gt;=$V195)*(LT_cap_strike&lt;$W195)),LT_upb,LT_seas)/SUMPRODUCT(LT_incl*(ISNUMBER(LT_cap_strike)*(LT_cap_strike&gt;=$V195)*(LT_cap_strike&lt;$W195))*ISNUMBER(LT_seas),LT_upb),0)</f>
        <v>12.0936602938646</v>
      </c>
      <c r="Q195" s="25" t="n">
        <f aca="false">IFERROR(SUMPRODUCT(LT_incl*(ISNUMBER(LT_cap_strike)*(LT_cap_strike&gt;=$V195)*(LT_cap_strike&lt;$W195)),LT_upb,LT_rti)/SUMPRODUCT(LT_incl*(ISNUMBER(LT_cap_strike)*(LT_cap_strike&gt;=$V195)*(LT_cap_strike&lt;$W195))*ISNUMBER(LT_rti),LT_upb),0)</f>
        <v>14.2985542886676</v>
      </c>
      <c r="R195" s="25" t="n">
        <f aca="false">IFERROR(SUMPRODUCT(LT_incl*(ISNUMBER(LT_cap_strike)*(LT_cap_strike&gt;=$V195)*(LT_cap_strike&lt;$W195)),LT_upb,LT_rte)/SUMPRODUCT(LT_incl*(ISNUMBER(LT_cap_strike)*(LT_cap_strike&gt;=$V195)*(LT_cap_strike&lt;$W195))*ISNUMBER(LT_rte),LT_upb),0)</f>
        <v>24.4662342431498</v>
      </c>
      <c r="S195" s="23" t="n">
        <f aca="false">IFERROR(SUMPRODUCT(LT_incl*(ISNUMBER(LT_cap_strike)*(LT_cap_strike&gt;=$V195)*(LT_cap_strike&lt;$W195)),LT_backdebt)/G195,0)</f>
        <v>0.555982908054604</v>
      </c>
      <c r="T195" s="23" t="n">
        <f aca="false">IFERROR(SUMPRODUCT(LT_incl*(ISNUMBER(LT_cap_strike)*(LT_cap_strike&gt;=$V195)*(LT_cap_strike&lt;$W195)),LT_equity,LT_roe)/SUMPRODUCT(LT_incl*(ISNUMBER(LT_cap_strike)*(LT_cap_strike&gt;=$V195)*(LT_cap_strike&lt;$W195))*ISNUMBER(LT_roe),LT_equity),0)</f>
        <v>0.126731716436066</v>
      </c>
      <c r="V195" s="47" t="n">
        <v>0.06</v>
      </c>
      <c r="W195" s="47" t="n">
        <v>1000000000000</v>
      </c>
    </row>
    <row r="196" customFormat="false" ht="15" hidden="false" customHeight="false" outlineLevel="0" collapsed="false">
      <c r="B196" s="27" t="s">
        <v>185</v>
      </c>
      <c r="C196" s="44" t="n">
        <f aca="false">SUMPRODUCT(LT_incl*(1-ISNUMBER(LT_cap_strike)))</f>
        <v>31</v>
      </c>
      <c r="D196" s="32" t="n">
        <f aca="false">IFERROR(C196/StratLoans,0)</f>
        <v>0.236641221374046</v>
      </c>
      <c r="E196" s="44" t="n">
        <f aca="false">SUMPRODUCT(LT_incl*(1-ISNUMBER(LT_cap_strike)),LT_units)</f>
        <v>7754</v>
      </c>
      <c r="F196" s="44" t="n">
        <f aca="false">SUMPRODUCT(LT_incl*(1-ISNUMBER(LT_cap_strike)),LT_beds)</f>
        <v>1092</v>
      </c>
      <c r="G196" s="31" t="n">
        <f aca="false">SUMPRODUCT(LT_incl*(1-ISNUMBER(LT_cap_strike)),LT_upb)</f>
        <v>620314357.79</v>
      </c>
      <c r="H196" s="32" t="n">
        <f aca="false">IFERROR(G196/StratUPB,0)</f>
        <v>0.16692213232057</v>
      </c>
      <c r="I196" s="31" t="n">
        <f aca="false">IFERROR(G196/C196,0)</f>
        <v>20010140.573871</v>
      </c>
      <c r="J196" s="31" t="n">
        <f aca="false">SUMPRODUCT(LT_incl*(1-ISNUMBER(LT_cap_strike)),LT_unfunded)</f>
        <v>2078084.46</v>
      </c>
      <c r="K196" s="31" t="n">
        <f aca="false">SUMPRODUCT(LT_incl*(1-ISNUMBER(LT_cap_strike)),LT_navres)</f>
        <v>-31022491.8140788</v>
      </c>
      <c r="L196" s="33" t="n">
        <f aca="false">IFERROR(SUMPRODUCT(LT_incl*(1-ISNUMBER(LT_cap_strike)),LT_upb,LT_eff)/SUMPRODUCT(LT_incl*(1-ISNUMBER(LT_cap_strike))*ISNUMBER(LT_eff),LT_upb),0)</f>
        <v>0.0416363447561271</v>
      </c>
      <c r="M196" s="33" t="n">
        <f aca="false">IFERROR(SUMPRODUCT(LT_incl*(1-ISNUMBER(LT_cap_strike)),LT_upb,LT_coupon)/SUMPRODUCT(LT_incl*(1-ISNUMBER(LT_cap_strike))*ISNUMBER(LT_coupon),LT_upb),0)</f>
        <v>0.0781363447561271</v>
      </c>
      <c r="N196" s="32" t="n">
        <f aca="false">IFERROR(SUMPRODUCT(LT_incl*(1-ISNUMBER(LT_cap_strike)),LT_upb,LT_ltv_asis)/SUMPRODUCT(LT_incl*(1-ISNUMBER(LT_cap_strike))*ISNUMBER(LT_ltv_asis),LT_upb),0)</f>
        <v>0.740092795741137</v>
      </c>
      <c r="O196" s="32" t="n">
        <f aca="false">IFERROR(SUMPRODUCT(LT_incl*(1-ISNUMBER(LT_cap_strike)),LT_upb,LT_ltv_stab)/SUMPRODUCT(LT_incl*(1-ISNUMBER(LT_cap_strike))*ISNUMBER(LT_ltv_stab),LT_upb),0)</f>
        <v>0.671137165060834</v>
      </c>
      <c r="P196" s="34" t="n">
        <f aca="false">IFERROR(SUMPRODUCT(LT_incl*(1-ISNUMBER(LT_cap_strike)),LT_upb,LT_seas)/SUMPRODUCT(LT_incl*(1-ISNUMBER(LT_cap_strike))*ISNUMBER(LT_seas),LT_upb),0)</f>
        <v>54.5537160195473</v>
      </c>
      <c r="Q196" s="34" t="n">
        <f aca="false">IFERROR(SUMPRODUCT(LT_incl*(1-ISNUMBER(LT_cap_strike)),LT_upb,LT_rti)/SUMPRODUCT(LT_incl*(1-ISNUMBER(LT_cap_strike))*ISNUMBER(LT_rti),LT_upb),0)</f>
        <v>3.40623120508416</v>
      </c>
      <c r="R196" s="34" t="n">
        <f aca="false">IFERROR(SUMPRODUCT(LT_incl*(1-ISNUMBER(LT_cap_strike)),LT_upb,LT_rte)/SUMPRODUCT(LT_incl*(1-ISNUMBER(LT_cap_strike))*ISNUMBER(LT_rte),LT_upb),0)</f>
        <v>5.96189713662127</v>
      </c>
      <c r="S196" s="32" t="n">
        <f aca="false">IFERROR(SUMPRODUCT(LT_incl*(1-ISNUMBER(LT_cap_strike)),LT_backdebt)/G196,0)</f>
        <v>0.346024522659554</v>
      </c>
      <c r="T196" s="32" t="n">
        <f aca="false">IFERROR(SUMPRODUCT(LT_incl*(1-ISNUMBER(LT_cap_strike)),LT_equity,LT_roe)/SUMPRODUCT(LT_incl*(1-ISNUMBER(LT_cap_strike))*ISNUMBER(LT_roe),LT_equity),0)</f>
        <v>0.0898359476410803</v>
      </c>
    </row>
    <row r="197" customFormat="false" ht="15" hidden="false" customHeight="false" outlineLevel="0" collapsed="false">
      <c r="B197" s="35" t="s">
        <v>76</v>
      </c>
      <c r="C197" s="45" t="n">
        <f aca="false">SUMPRODUCT(LT_incl*(1))</f>
        <v>131</v>
      </c>
      <c r="D197" s="38" t="n">
        <f aca="false">IFERROR(C197/StratLoans,0)</f>
        <v>1</v>
      </c>
      <c r="E197" s="45" t="n">
        <f aca="false">SUMPRODUCT(LT_incl*(1),LT_units)</f>
        <v>22360</v>
      </c>
      <c r="F197" s="45" t="n">
        <f aca="false">SUMPRODUCT(LT_incl*(1),LT_beds)</f>
        <v>8726</v>
      </c>
      <c r="G197" s="37" t="n">
        <f aca="false">SUMPRODUCT(LT_incl*(1),LT_upb)</f>
        <v>3716189993.3</v>
      </c>
      <c r="H197" s="38" t="n">
        <f aca="false">IFERROR(G197/StratUPB,0)</f>
        <v>1</v>
      </c>
      <c r="I197" s="37" t="n">
        <f aca="false">IFERROR(G197/C197,0)</f>
        <v>28367862.5442748</v>
      </c>
      <c r="J197" s="37" t="n">
        <f aca="false">SUMPRODUCT(LT_incl*(1),LT_unfunded)</f>
        <v>70425498.27</v>
      </c>
      <c r="K197" s="37" t="n">
        <f aca="false">SUMPRODUCT(LT_incl*(1),LT_navres)</f>
        <v>-35761255.0310469</v>
      </c>
      <c r="L197" s="39" t="n">
        <f aca="false">IFERROR(SUMPRODUCT(LT_incl*(1),LT_upb,LT_eff)/SUMPRODUCT(LT_incl*(1)*ISNUMBER(LT_eff),LT_upb),0)</f>
        <v>0.0384104790702225</v>
      </c>
      <c r="M197" s="39" t="n">
        <f aca="false">IFERROR(SUMPRODUCT(LT_incl*(1),LT_upb,LT_coupon)/SUMPRODUCT(LT_incl*(1)*ISNUMBER(LT_coupon),LT_upb),0)</f>
        <v>0.0749104790702225</v>
      </c>
      <c r="N197" s="38" t="n">
        <f aca="false">IFERROR(SUMPRODUCT(LT_incl*(1),LT_upb,LT_ltv_asis)/SUMPRODUCT(LT_incl*(1)*ISNUMBER(LT_ltv_asis),LT_upb),0)</f>
        <v>0.685976245136614</v>
      </c>
      <c r="O197" s="38" t="n">
        <f aca="false">IFERROR(SUMPRODUCT(LT_incl*(1),LT_upb,LT_ltv_stab)/SUMPRODUCT(LT_incl*(1)*ISNUMBER(LT_ltv_stab),LT_upb),0)</f>
        <v>0.658970555756018</v>
      </c>
      <c r="P197" s="40" t="n">
        <f aca="false">IFERROR(SUMPRODUCT(LT_incl*(1),LT_upb,LT_seas)/SUMPRODUCT(LT_incl*(1)*ISNUMBER(LT_seas),LT_upb),0)</f>
        <v>26.0197171750702</v>
      </c>
      <c r="Q197" s="40" t="n">
        <f aca="false">IFERROR(SUMPRODUCT(LT_incl*(1),LT_upb,LT_rti)/SUMPRODUCT(LT_incl*(1)*ISNUMBER(LT_rti),LT_upb),0)</f>
        <v>10.7164396387939</v>
      </c>
      <c r="R197" s="40" t="n">
        <f aca="false">IFERROR(SUMPRODUCT(LT_incl*(1),LT_upb,LT_rte)/SUMPRODUCT(LT_incl*(1)*ISNUMBER(LT_rte),LT_upb),0)</f>
        <v>23.051497716819</v>
      </c>
      <c r="S197" s="38" t="n">
        <f aca="false">IFERROR(SUMPRODUCT(LT_incl*(1),LT_backdebt)/G197,0)</f>
        <v>0.628005362553862</v>
      </c>
      <c r="T197" s="38" t="n">
        <f aca="false">IFERROR(SUMPRODUCT(LT_incl*(1),LT_equity,LT_roe)/SUMPRODUCT(LT_incl*(1)*ISNUMBER(LT_roe),LT_equity),0)</f>
        <v>0.107961987212177</v>
      </c>
    </row>
    <row r="199" customFormat="false" ht="15" hidden="false" customHeight="false" outlineLevel="0" collapsed="false">
      <c r="B199" s="3" t="s">
        <v>186</v>
      </c>
      <c r="C199" s="4"/>
      <c r="D199" s="4"/>
      <c r="E199" s="4"/>
      <c r="F199" s="4"/>
      <c r="G199" s="4"/>
      <c r="H199" s="4"/>
      <c r="I199" s="4"/>
      <c r="J199" s="4"/>
      <c r="K199" s="4"/>
      <c r="L199" s="4"/>
      <c r="M199" s="4"/>
      <c r="N199" s="4"/>
      <c r="O199" s="4"/>
      <c r="P199" s="4"/>
      <c r="Q199" s="4"/>
      <c r="R199" s="4"/>
      <c r="S199" s="4"/>
      <c r="T199" s="4"/>
    </row>
    <row r="200" customFormat="false" ht="39.75" hidden="false" customHeight="true" outlineLevel="0" collapsed="false">
      <c r="B200" s="16" t="s">
        <v>147</v>
      </c>
      <c r="C200" s="17" t="s">
        <v>13</v>
      </c>
      <c r="D200" s="17" t="s">
        <v>64</v>
      </c>
      <c r="E200" s="17" t="s">
        <v>65</v>
      </c>
      <c r="F200" s="17" t="s">
        <v>66</v>
      </c>
      <c r="G200" s="17" t="s">
        <v>16</v>
      </c>
      <c r="H200" s="17" t="s">
        <v>46</v>
      </c>
      <c r="I200" s="17" t="s">
        <v>19</v>
      </c>
      <c r="J200" s="17" t="s">
        <v>28</v>
      </c>
      <c r="K200" s="17" t="s">
        <v>31</v>
      </c>
      <c r="L200" s="17" t="s">
        <v>7</v>
      </c>
      <c r="M200" s="17" t="s">
        <v>11</v>
      </c>
      <c r="N200" s="17" t="s">
        <v>23</v>
      </c>
      <c r="O200" s="17" t="s">
        <v>67</v>
      </c>
      <c r="P200" s="17" t="s">
        <v>5</v>
      </c>
      <c r="Q200" s="17" t="s">
        <v>68</v>
      </c>
      <c r="R200" s="17" t="s">
        <v>69</v>
      </c>
      <c r="S200" s="17" t="s">
        <v>56</v>
      </c>
      <c r="T200" s="17" t="s">
        <v>70</v>
      </c>
      <c r="V200" s="17" t="s">
        <v>148</v>
      </c>
      <c r="W200" s="17" t="s">
        <v>149</v>
      </c>
    </row>
    <row r="201" customFormat="false" ht="15" hidden="false" customHeight="false" outlineLevel="0" collapsed="false">
      <c r="B201" s="18" t="s">
        <v>187</v>
      </c>
      <c r="C201" s="26" t="n">
        <f aca="false">SUMPRODUCT(LT_incl*(ISNUMBER(LT_ltv_asis)*(LT_ltv_asis&gt;=$V201)*(LT_ltv_asis&lt;$W201)))</f>
        <v>15</v>
      </c>
      <c r="D201" s="23" t="n">
        <f aca="false">IFERROR(C201/StratLoans,0)</f>
        <v>0.114503816793893</v>
      </c>
      <c r="E201" s="26" t="n">
        <f aca="false">SUMPRODUCT(LT_incl*(ISNUMBER(LT_ltv_asis)*(LT_ltv_asis&gt;=$V201)*(LT_ltv_asis&lt;$W201)),LT_units)</f>
        <v>2540</v>
      </c>
      <c r="F201" s="26" t="n">
        <f aca="false">SUMPRODUCT(LT_incl*(ISNUMBER(LT_ltv_asis)*(LT_ltv_asis&gt;=$V201)*(LT_ltv_asis&lt;$W201)),LT_beds)</f>
        <v>1692</v>
      </c>
      <c r="G201" s="22" t="n">
        <f aca="false">SUMPRODUCT(LT_incl*(ISNUMBER(LT_ltv_asis)*(LT_ltv_asis&gt;=$V201)*(LT_ltv_asis&lt;$W201)),LT_upb)</f>
        <v>412058873.48</v>
      </c>
      <c r="H201" s="23" t="n">
        <f aca="false">IFERROR(G201/StratUPB,0)</f>
        <v>0.110882079286288</v>
      </c>
      <c r="I201" s="22" t="n">
        <f aca="false">IFERROR(G201/C201,0)</f>
        <v>27470591.5653333</v>
      </c>
      <c r="J201" s="22" t="n">
        <f aca="false">SUMPRODUCT(LT_incl*(ISNUMBER(LT_ltv_asis)*(LT_ltv_asis&gt;=$V201)*(LT_ltv_asis&lt;$W201)),LT_unfunded)</f>
        <v>26642661.8</v>
      </c>
      <c r="K201" s="22" t="n">
        <f aca="false">SUMPRODUCT(LT_incl*(ISNUMBER(LT_ltv_asis)*(LT_ltv_asis&gt;=$V201)*(LT_ltv_asis&lt;$W201)),LT_navres)</f>
        <v>0</v>
      </c>
      <c r="L201" s="24" t="n">
        <f aca="false">IFERROR(SUMPRODUCT(LT_incl*(ISNUMBER(LT_ltv_asis)*(LT_ltv_asis&gt;=$V201)*(LT_ltv_asis&lt;$W201)),LT_upb,LT_eff)/SUMPRODUCT(LT_incl*(ISNUMBER(LT_ltv_asis)*(LT_ltv_asis&gt;=$V201)*(LT_ltv_asis&lt;$W201))*ISNUMBER(LT_eff),LT_upb),0)</f>
        <v>0.0441701264882078</v>
      </c>
      <c r="M201" s="24" t="n">
        <f aca="false">IFERROR(SUMPRODUCT(LT_incl*(ISNUMBER(LT_ltv_asis)*(LT_ltv_asis&gt;=$V201)*(LT_ltv_asis&lt;$W201)),LT_upb,LT_coupon)/SUMPRODUCT(LT_incl*(ISNUMBER(LT_ltv_asis)*(LT_ltv_asis&gt;=$V201)*(LT_ltv_asis&lt;$W201))*ISNUMBER(LT_coupon),LT_upb),0)</f>
        <v>0.0806701264882078</v>
      </c>
      <c r="N201" s="23" t="n">
        <f aca="false">IFERROR(SUMPRODUCT(LT_incl*(ISNUMBER(LT_ltv_asis)*(LT_ltv_asis&gt;=$V201)*(LT_ltv_asis&lt;$W201)),LT_upb,LT_ltv_asis)/SUMPRODUCT(LT_incl*(ISNUMBER(LT_ltv_asis)*(LT_ltv_asis&gt;=$V201)*(LT_ltv_asis&lt;$W201))*ISNUMBER(LT_ltv_asis),LT_upb),0)</f>
        <v>0.456467451610019</v>
      </c>
      <c r="O201" s="23" t="n">
        <f aca="false">IFERROR(SUMPRODUCT(LT_incl*(ISNUMBER(LT_ltv_asis)*(LT_ltv_asis&gt;=$V201)*(LT_ltv_asis&lt;$W201)),LT_upb,LT_ltv_stab)/SUMPRODUCT(LT_incl*(ISNUMBER(LT_ltv_asis)*(LT_ltv_asis&gt;=$V201)*(LT_ltv_asis&lt;$W201))*ISNUMBER(LT_ltv_stab),LT_upb),0)</f>
        <v>0.576109459256292</v>
      </c>
      <c r="P201" s="25" t="n">
        <f aca="false">IFERROR(SUMPRODUCT(LT_incl*(ISNUMBER(LT_ltv_asis)*(LT_ltv_asis&gt;=$V201)*(LT_ltv_asis&lt;$W201)),LT_upb,LT_seas)/SUMPRODUCT(LT_incl*(ISNUMBER(LT_ltv_asis)*(LT_ltv_asis&gt;=$V201)*(LT_ltv_asis&lt;$W201))*ISNUMBER(LT_seas),LT_upb),0)</f>
        <v>24.3017255366975</v>
      </c>
      <c r="Q201" s="25" t="n">
        <f aca="false">IFERROR(SUMPRODUCT(LT_incl*(ISNUMBER(LT_ltv_asis)*(LT_ltv_asis&gt;=$V201)*(LT_ltv_asis&lt;$W201)),LT_upb,LT_rti)/SUMPRODUCT(LT_incl*(ISNUMBER(LT_ltv_asis)*(LT_ltv_asis&gt;=$V201)*(LT_ltv_asis&lt;$W201))*ISNUMBER(LT_rti),LT_upb),0)</f>
        <v>6.55889960199353</v>
      </c>
      <c r="R201" s="25" t="n">
        <f aca="false">IFERROR(SUMPRODUCT(LT_incl*(ISNUMBER(LT_ltv_asis)*(LT_ltv_asis&gt;=$V201)*(LT_ltv_asis&lt;$W201)),LT_upb,LT_rte)/SUMPRODUCT(LT_incl*(ISNUMBER(LT_ltv_asis)*(LT_ltv_asis&gt;=$V201)*(LT_ltv_asis&lt;$W201))*ISNUMBER(LT_rte),LT_upb),0)</f>
        <v>21.6823358920286</v>
      </c>
      <c r="S201" s="23" t="n">
        <f aca="false">IFERROR(SUMPRODUCT(LT_incl*(ISNUMBER(LT_ltv_asis)*(LT_ltv_asis&gt;=$V201)*(LT_ltv_asis&lt;$W201)),LT_backdebt)/G201,0)</f>
        <v>0.663843393641173</v>
      </c>
      <c r="T201" s="23" t="n">
        <f aca="false">IFERROR(SUMPRODUCT(LT_incl*(ISNUMBER(LT_ltv_asis)*(LT_ltv_asis&gt;=$V201)*(LT_ltv_asis&lt;$W201)),LT_equity,LT_roe)/SUMPRODUCT(LT_incl*(ISNUMBER(LT_ltv_asis)*(LT_ltv_asis&gt;=$V201)*(LT_ltv_asis&lt;$W201))*ISNUMBER(LT_roe),LT_equity),0)</f>
        <v>0.123206861601127</v>
      </c>
      <c r="V201" s="48" t="n">
        <v>-1000000000000</v>
      </c>
      <c r="W201" s="48" t="n">
        <v>0.55</v>
      </c>
    </row>
    <row r="202" customFormat="false" ht="15" hidden="false" customHeight="false" outlineLevel="0" collapsed="false">
      <c r="B202" s="27" t="s">
        <v>188</v>
      </c>
      <c r="C202" s="44" t="n">
        <f aca="false">SUMPRODUCT(LT_incl*(ISNUMBER(LT_ltv_asis)*(LT_ltv_asis&gt;=$V202)*(LT_ltv_asis&lt;$W202)))</f>
        <v>10</v>
      </c>
      <c r="D202" s="32" t="n">
        <f aca="false">IFERROR(C202/StratLoans,0)</f>
        <v>0.0763358778625954</v>
      </c>
      <c r="E202" s="44" t="n">
        <f aca="false">SUMPRODUCT(LT_incl*(ISNUMBER(LT_ltv_asis)*(LT_ltv_asis&gt;=$V202)*(LT_ltv_asis&lt;$W202)),LT_units)</f>
        <v>806</v>
      </c>
      <c r="F202" s="44" t="n">
        <f aca="false">SUMPRODUCT(LT_incl*(ISNUMBER(LT_ltv_asis)*(LT_ltv_asis&gt;=$V202)*(LT_ltv_asis&lt;$W202)),LT_beds)</f>
        <v>1320</v>
      </c>
      <c r="G202" s="31" t="n">
        <f aca="false">SUMPRODUCT(LT_incl*(ISNUMBER(LT_ltv_asis)*(LT_ltv_asis&gt;=$V202)*(LT_ltv_asis&lt;$W202)),LT_upb)</f>
        <v>293527885</v>
      </c>
      <c r="H202" s="32" t="n">
        <f aca="false">IFERROR(G202/StratUPB,0)</f>
        <v>0.0789862427726268</v>
      </c>
      <c r="I202" s="31" t="n">
        <f aca="false">IFERROR(G202/C202,0)</f>
        <v>29352788.5</v>
      </c>
      <c r="J202" s="31" t="n">
        <f aca="false">SUMPRODUCT(LT_incl*(ISNUMBER(LT_ltv_asis)*(LT_ltv_asis&gt;=$V202)*(LT_ltv_asis&lt;$W202)),LT_unfunded)</f>
        <v>6450000</v>
      </c>
      <c r="K202" s="31" t="n">
        <f aca="false">SUMPRODUCT(LT_incl*(ISNUMBER(LT_ltv_asis)*(LT_ltv_asis&gt;=$V202)*(LT_ltv_asis&lt;$W202)),LT_navres)</f>
        <v>0</v>
      </c>
      <c r="L202" s="33" t="n">
        <f aca="false">IFERROR(SUMPRODUCT(LT_incl*(ISNUMBER(LT_ltv_asis)*(LT_ltv_asis&gt;=$V202)*(LT_ltv_asis&lt;$W202)),LT_upb,LT_eff)/SUMPRODUCT(LT_incl*(ISNUMBER(LT_ltv_asis)*(LT_ltv_asis&gt;=$V202)*(LT_ltv_asis&lt;$W202))*ISNUMBER(LT_eff),LT_upb),0)</f>
        <v>0.0457571780957029</v>
      </c>
      <c r="M202" s="33" t="n">
        <f aca="false">IFERROR(SUMPRODUCT(LT_incl*(ISNUMBER(LT_ltv_asis)*(LT_ltv_asis&gt;=$V202)*(LT_ltv_asis&lt;$W202)),LT_upb,LT_coupon)/SUMPRODUCT(LT_incl*(ISNUMBER(LT_ltv_asis)*(LT_ltv_asis&gt;=$V202)*(LT_ltv_asis&lt;$W202))*ISNUMBER(LT_coupon),LT_upb),0)</f>
        <v>0.0822571780957029</v>
      </c>
      <c r="N202" s="32" t="n">
        <f aca="false">IFERROR(SUMPRODUCT(LT_incl*(ISNUMBER(LT_ltv_asis)*(LT_ltv_asis&gt;=$V202)*(LT_ltv_asis&lt;$W202)),LT_upb,LT_ltv_asis)/SUMPRODUCT(LT_incl*(ISNUMBER(LT_ltv_asis)*(LT_ltv_asis&gt;=$V202)*(LT_ltv_asis&lt;$W202))*ISNUMBER(LT_ltv_asis),LT_upb),0)</f>
        <v>0.583350854989509</v>
      </c>
      <c r="O202" s="32" t="n">
        <f aca="false">IFERROR(SUMPRODUCT(LT_incl*(ISNUMBER(LT_ltv_asis)*(LT_ltv_asis&gt;=$V202)*(LT_ltv_asis&lt;$W202)),LT_upb,LT_ltv_stab)/SUMPRODUCT(LT_incl*(ISNUMBER(LT_ltv_asis)*(LT_ltv_asis&gt;=$V202)*(LT_ltv_asis&lt;$W202))*ISNUMBER(LT_ltv_stab),LT_upb),0)</f>
        <v>0.574287240424796</v>
      </c>
      <c r="P202" s="34" t="n">
        <f aca="false">IFERROR(SUMPRODUCT(LT_incl*(ISNUMBER(LT_ltv_asis)*(LT_ltv_asis&gt;=$V202)*(LT_ltv_asis&lt;$W202)),LT_upb,LT_seas)/SUMPRODUCT(LT_incl*(ISNUMBER(LT_ltv_asis)*(LT_ltv_asis&gt;=$V202)*(LT_ltv_asis&lt;$W202))*ISNUMBER(LT_seas),LT_upb),0)</f>
        <v>27.4039851810323</v>
      </c>
      <c r="Q202" s="34" t="n">
        <f aca="false">IFERROR(SUMPRODUCT(LT_incl*(ISNUMBER(LT_ltv_asis)*(LT_ltv_asis&gt;=$V202)*(LT_ltv_asis&lt;$W202)),LT_upb,LT_rti)/SUMPRODUCT(LT_incl*(ISNUMBER(LT_ltv_asis)*(LT_ltv_asis&gt;=$V202)*(LT_ltv_asis&lt;$W202))*ISNUMBER(LT_rti),LT_upb),0)</f>
        <v>4.7275393775393</v>
      </c>
      <c r="R202" s="34" t="n">
        <f aca="false">IFERROR(SUMPRODUCT(LT_incl*(ISNUMBER(LT_ltv_asis)*(LT_ltv_asis&gt;=$V202)*(LT_ltv_asis&lt;$W202)),LT_upb,LT_rte)/SUMPRODUCT(LT_incl*(ISNUMBER(LT_ltv_asis)*(LT_ltv_asis&gt;=$V202)*(LT_ltv_asis&lt;$W202))*ISNUMBER(LT_rte),LT_upb),0)</f>
        <v>14.5867809178894</v>
      </c>
      <c r="S202" s="32" t="n">
        <f aca="false">IFERROR(SUMPRODUCT(LT_incl*(ISNUMBER(LT_ltv_asis)*(LT_ltv_asis&gt;=$V202)*(LT_ltv_asis&lt;$W202)),LT_backdebt)/G202,0)</f>
        <v>0.740861144082721</v>
      </c>
      <c r="T202" s="32" t="n">
        <f aca="false">IFERROR(SUMPRODUCT(LT_incl*(ISNUMBER(LT_ltv_asis)*(LT_ltv_asis&gt;=$V202)*(LT_ltv_asis&lt;$W202)),LT_equity,LT_roe)/SUMPRODUCT(LT_incl*(ISNUMBER(LT_ltv_asis)*(LT_ltv_asis&gt;=$V202)*(LT_ltv_asis&lt;$W202))*ISNUMBER(LT_roe),LT_equity),0)</f>
        <v>0.155667570672914</v>
      </c>
      <c r="V202" s="48" t="n">
        <v>0.55</v>
      </c>
      <c r="W202" s="48" t="n">
        <v>0.6</v>
      </c>
    </row>
    <row r="203" customFormat="false" ht="15" hidden="false" customHeight="false" outlineLevel="0" collapsed="false">
      <c r="B203" s="18" t="s">
        <v>189</v>
      </c>
      <c r="C203" s="26" t="n">
        <f aca="false">SUMPRODUCT(LT_incl*(ISNUMBER(LT_ltv_asis)*(LT_ltv_asis&gt;=$V203)*(LT_ltv_asis&lt;$W203)))</f>
        <v>15</v>
      </c>
      <c r="D203" s="23" t="n">
        <f aca="false">IFERROR(C203/StratLoans,0)</f>
        <v>0.114503816793893</v>
      </c>
      <c r="E203" s="26" t="n">
        <f aca="false">SUMPRODUCT(LT_incl*(ISNUMBER(LT_ltv_asis)*(LT_ltv_asis&gt;=$V203)*(LT_ltv_asis&lt;$W203)),LT_units)</f>
        <v>2562</v>
      </c>
      <c r="F203" s="26" t="n">
        <f aca="false">SUMPRODUCT(LT_incl*(ISNUMBER(LT_ltv_asis)*(LT_ltv_asis&gt;=$V203)*(LT_ltv_asis&lt;$W203)),LT_beds)</f>
        <v>705</v>
      </c>
      <c r="G203" s="22" t="n">
        <f aca="false">SUMPRODUCT(LT_incl*(ISNUMBER(LT_ltv_asis)*(LT_ltv_asis&gt;=$V203)*(LT_ltv_asis&lt;$W203)),LT_upb)</f>
        <v>504511401.73</v>
      </c>
      <c r="H203" s="23" t="n">
        <f aca="false">IFERROR(G203/StratUPB,0)</f>
        <v>0.135760389710858</v>
      </c>
      <c r="I203" s="22" t="n">
        <f aca="false">IFERROR(G203/C203,0)</f>
        <v>33634093.4486667</v>
      </c>
      <c r="J203" s="22" t="n">
        <f aca="false">SUMPRODUCT(LT_incl*(ISNUMBER(LT_ltv_asis)*(LT_ltv_asis&gt;=$V203)*(LT_ltv_asis&lt;$W203)),LT_unfunded)</f>
        <v>17705434.16</v>
      </c>
      <c r="K203" s="22" t="n">
        <f aca="false">SUMPRODUCT(LT_incl*(ISNUMBER(LT_ltv_asis)*(LT_ltv_asis&gt;=$V203)*(LT_ltv_asis&lt;$W203)),LT_navres)</f>
        <v>-2166512.68754618</v>
      </c>
      <c r="L203" s="24" t="n">
        <f aca="false">IFERROR(SUMPRODUCT(LT_incl*(ISNUMBER(LT_ltv_asis)*(LT_ltv_asis&gt;=$V203)*(LT_ltv_asis&lt;$W203)),LT_upb,LT_eff)/SUMPRODUCT(LT_incl*(ISNUMBER(LT_ltv_asis)*(LT_ltv_asis&gt;=$V203)*(LT_ltv_asis&lt;$W203))*ISNUMBER(LT_eff),LT_upb),0)</f>
        <v>0.0358873096467294</v>
      </c>
      <c r="M203" s="24" t="n">
        <f aca="false">IFERROR(SUMPRODUCT(LT_incl*(ISNUMBER(LT_ltv_asis)*(LT_ltv_asis&gt;=$V203)*(LT_ltv_asis&lt;$W203)),LT_upb,LT_coupon)/SUMPRODUCT(LT_incl*(ISNUMBER(LT_ltv_asis)*(LT_ltv_asis&gt;=$V203)*(LT_ltv_asis&lt;$W203))*ISNUMBER(LT_coupon),LT_upb),0)</f>
        <v>0.0723873096467294</v>
      </c>
      <c r="N203" s="23" t="n">
        <f aca="false">IFERROR(SUMPRODUCT(LT_incl*(ISNUMBER(LT_ltv_asis)*(LT_ltv_asis&gt;=$V203)*(LT_ltv_asis&lt;$W203)),LT_upb,LT_ltv_asis)/SUMPRODUCT(LT_incl*(ISNUMBER(LT_ltv_asis)*(LT_ltv_asis&gt;=$V203)*(LT_ltv_asis&lt;$W203))*ISNUMBER(LT_ltv_asis),LT_upb),0)</f>
        <v>0.621997485133892</v>
      </c>
      <c r="O203" s="23" t="n">
        <f aca="false">IFERROR(SUMPRODUCT(LT_incl*(ISNUMBER(LT_ltv_asis)*(LT_ltv_asis&gt;=$V203)*(LT_ltv_asis&lt;$W203)),LT_upb,LT_ltv_stab)/SUMPRODUCT(LT_incl*(ISNUMBER(LT_ltv_asis)*(LT_ltv_asis&gt;=$V203)*(LT_ltv_asis&lt;$W203))*ISNUMBER(LT_ltv_stab),LT_upb),0)</f>
        <v>0.613045375585968</v>
      </c>
      <c r="P203" s="25" t="n">
        <f aca="false">IFERROR(SUMPRODUCT(LT_incl*(ISNUMBER(LT_ltv_asis)*(LT_ltv_asis&gt;=$V203)*(LT_ltv_asis&lt;$W203)),LT_upb,LT_seas)/SUMPRODUCT(LT_incl*(ISNUMBER(LT_ltv_asis)*(LT_ltv_asis&gt;=$V203)*(LT_ltv_asis&lt;$W203))*ISNUMBER(LT_seas),LT_upb),0)</f>
        <v>16.5900300972126</v>
      </c>
      <c r="Q203" s="25" t="n">
        <f aca="false">IFERROR(SUMPRODUCT(LT_incl*(ISNUMBER(LT_ltv_asis)*(LT_ltv_asis&gt;=$V203)*(LT_ltv_asis&lt;$W203)),LT_upb,LT_rti)/SUMPRODUCT(LT_incl*(ISNUMBER(LT_ltv_asis)*(LT_ltv_asis&gt;=$V203)*(LT_ltv_asis&lt;$W203))*ISNUMBER(LT_rti),LT_upb),0)</f>
        <v>13.283241671366</v>
      </c>
      <c r="R203" s="25" t="n">
        <f aca="false">IFERROR(SUMPRODUCT(LT_incl*(ISNUMBER(LT_ltv_asis)*(LT_ltv_asis&gt;=$V203)*(LT_ltv_asis&lt;$W203)),LT_upb,LT_rte)/SUMPRODUCT(LT_incl*(ISNUMBER(LT_ltv_asis)*(LT_ltv_asis&gt;=$V203)*(LT_ltv_asis&lt;$W203))*ISNUMBER(LT_rte),LT_upb),0)</f>
        <v>32.4006086874539</v>
      </c>
      <c r="S203" s="23" t="n">
        <f aca="false">IFERROR(SUMPRODUCT(LT_incl*(ISNUMBER(LT_ltv_asis)*(LT_ltv_asis&gt;=$V203)*(LT_ltv_asis&lt;$W203)),LT_backdebt)/G203,0)</f>
        <v>0.620852689670341</v>
      </c>
      <c r="T203" s="23" t="n">
        <f aca="false">IFERROR(SUMPRODUCT(LT_incl*(ISNUMBER(LT_ltv_asis)*(LT_ltv_asis&gt;=$V203)*(LT_ltv_asis&lt;$W203)),LT_equity,LT_roe)/SUMPRODUCT(LT_incl*(ISNUMBER(LT_ltv_asis)*(LT_ltv_asis&gt;=$V203)*(LT_ltv_asis&lt;$W203))*ISNUMBER(LT_roe),LT_equity),0)</f>
        <v>0.100460056026</v>
      </c>
      <c r="V203" s="48" t="n">
        <v>0.6</v>
      </c>
      <c r="W203" s="48" t="n">
        <v>0.65</v>
      </c>
    </row>
    <row r="204" customFormat="false" ht="15" hidden="false" customHeight="false" outlineLevel="0" collapsed="false">
      <c r="B204" s="27" t="s">
        <v>190</v>
      </c>
      <c r="C204" s="44" t="n">
        <f aca="false">SUMPRODUCT(LT_incl*(ISNUMBER(LT_ltv_asis)*(LT_ltv_asis&gt;=$V204)*(LT_ltv_asis&lt;$W204)))</f>
        <v>29</v>
      </c>
      <c r="D204" s="32" t="n">
        <f aca="false">IFERROR(C204/StratLoans,0)</f>
        <v>0.221374045801527</v>
      </c>
      <c r="E204" s="44" t="n">
        <f aca="false">SUMPRODUCT(LT_incl*(ISNUMBER(LT_ltv_asis)*(LT_ltv_asis&gt;=$V204)*(LT_ltv_asis&lt;$W204)),LT_units)</f>
        <v>4141</v>
      </c>
      <c r="F204" s="44" t="n">
        <f aca="false">SUMPRODUCT(LT_incl*(ISNUMBER(LT_ltv_asis)*(LT_ltv_asis&gt;=$V204)*(LT_ltv_asis&lt;$W204)),LT_beds)</f>
        <v>1763</v>
      </c>
      <c r="G204" s="31" t="n">
        <f aca="false">SUMPRODUCT(LT_incl*(ISNUMBER(LT_ltv_asis)*(LT_ltv_asis&gt;=$V204)*(LT_ltv_asis&lt;$W204)),LT_upb)</f>
        <v>804179626.47</v>
      </c>
      <c r="H204" s="32" t="n">
        <f aca="false">IFERROR(G204/StratUPB,0)</f>
        <v>0.216398953745603</v>
      </c>
      <c r="I204" s="31" t="n">
        <f aca="false">IFERROR(G204/C204,0)</f>
        <v>27730331.9472414</v>
      </c>
      <c r="J204" s="31" t="n">
        <f aca="false">SUMPRODUCT(LT_incl*(ISNUMBER(LT_ltv_asis)*(LT_ltv_asis&gt;=$V204)*(LT_ltv_asis&lt;$W204)),LT_unfunded)</f>
        <v>4941632.3</v>
      </c>
      <c r="K204" s="31" t="n">
        <f aca="false">SUMPRODUCT(LT_incl*(ISNUMBER(LT_ltv_asis)*(LT_ltv_asis&gt;=$V204)*(LT_ltv_asis&lt;$W204)),LT_navres)</f>
        <v>-6290686.85</v>
      </c>
      <c r="L204" s="33" t="n">
        <f aca="false">IFERROR(SUMPRODUCT(LT_incl*(ISNUMBER(LT_ltv_asis)*(LT_ltv_asis&gt;=$V204)*(LT_ltv_asis&lt;$W204)),LT_upb,LT_eff)/SUMPRODUCT(LT_incl*(ISNUMBER(LT_ltv_asis)*(LT_ltv_asis&gt;=$V204)*(LT_ltv_asis&lt;$W204))*ISNUMBER(LT_eff),LT_upb),0)</f>
        <v>0.0378209802579531</v>
      </c>
      <c r="M204" s="33" t="n">
        <f aca="false">IFERROR(SUMPRODUCT(LT_incl*(ISNUMBER(LT_ltv_asis)*(LT_ltv_asis&gt;=$V204)*(LT_ltv_asis&lt;$W204)),LT_upb,LT_coupon)/SUMPRODUCT(LT_incl*(ISNUMBER(LT_ltv_asis)*(LT_ltv_asis&gt;=$V204)*(LT_ltv_asis&lt;$W204))*ISNUMBER(LT_coupon),LT_upb),0)</f>
        <v>0.0743209802579531</v>
      </c>
      <c r="N204" s="32" t="n">
        <f aca="false">IFERROR(SUMPRODUCT(LT_incl*(ISNUMBER(LT_ltv_asis)*(LT_ltv_asis&gt;=$V204)*(LT_ltv_asis&lt;$W204)),LT_upb,LT_ltv_asis)/SUMPRODUCT(LT_incl*(ISNUMBER(LT_ltv_asis)*(LT_ltv_asis&gt;=$V204)*(LT_ltv_asis&lt;$W204))*ISNUMBER(LT_ltv_asis),LT_upb),0)</f>
        <v>0.676479844135565</v>
      </c>
      <c r="O204" s="32" t="n">
        <f aca="false">IFERROR(SUMPRODUCT(LT_incl*(ISNUMBER(LT_ltv_asis)*(LT_ltv_asis&gt;=$V204)*(LT_ltv_asis&lt;$W204)),LT_upb,LT_ltv_stab)/SUMPRODUCT(LT_incl*(ISNUMBER(LT_ltv_asis)*(LT_ltv_asis&gt;=$V204)*(LT_ltv_asis&lt;$W204))*ISNUMBER(LT_ltv_stab),LT_upb),0)</f>
        <v>0.634964760734456</v>
      </c>
      <c r="P204" s="34" t="n">
        <f aca="false">IFERROR(SUMPRODUCT(LT_incl*(ISNUMBER(LT_ltv_asis)*(LT_ltv_asis&gt;=$V204)*(LT_ltv_asis&lt;$W204)),LT_upb,LT_seas)/SUMPRODUCT(LT_incl*(ISNUMBER(LT_ltv_asis)*(LT_ltv_asis&gt;=$V204)*(LT_ltv_asis&lt;$W204))*ISNUMBER(LT_seas),LT_upb),0)</f>
        <v>21.9431752653273</v>
      </c>
      <c r="Q204" s="34" t="n">
        <f aca="false">IFERROR(SUMPRODUCT(LT_incl*(ISNUMBER(LT_ltv_asis)*(LT_ltv_asis&gt;=$V204)*(LT_ltv_asis&lt;$W204)),LT_upb,LT_rti)/SUMPRODUCT(LT_incl*(ISNUMBER(LT_ltv_asis)*(LT_ltv_asis&gt;=$V204)*(LT_ltv_asis&lt;$W204))*ISNUMBER(LT_rti),LT_upb),0)</f>
        <v>10.8852859070499</v>
      </c>
      <c r="R204" s="34" t="n">
        <f aca="false">IFERROR(SUMPRODUCT(LT_incl*(ISNUMBER(LT_ltv_asis)*(LT_ltv_asis&gt;=$V204)*(LT_ltv_asis&lt;$W204)),LT_upb,LT_rte)/SUMPRODUCT(LT_incl*(ISNUMBER(LT_ltv_asis)*(LT_ltv_asis&gt;=$V204)*(LT_ltv_asis&lt;$W204))*ISNUMBER(LT_rte),LT_upb),0)</f>
        <v>24.4075646930872</v>
      </c>
      <c r="S204" s="32" t="n">
        <f aca="false">IFERROR(SUMPRODUCT(LT_incl*(ISNUMBER(LT_ltv_asis)*(LT_ltv_asis&gt;=$V204)*(LT_ltv_asis&lt;$W204)),LT_backdebt)/G204,0)</f>
        <v>0.690062604686754</v>
      </c>
      <c r="T204" s="32" t="n">
        <f aca="false">IFERROR(SUMPRODUCT(LT_incl*(ISNUMBER(LT_ltv_asis)*(LT_ltv_asis&gt;=$V204)*(LT_ltv_asis&lt;$W204)),LT_equity,LT_roe)/SUMPRODUCT(LT_incl*(ISNUMBER(LT_ltv_asis)*(LT_ltv_asis&gt;=$V204)*(LT_ltv_asis&lt;$W204))*ISNUMBER(LT_roe),LT_equity),0)</f>
        <v>0.118838985451981</v>
      </c>
      <c r="V204" s="48" t="n">
        <v>0.65</v>
      </c>
      <c r="W204" s="48" t="n">
        <v>0.7</v>
      </c>
    </row>
    <row r="205" customFormat="false" ht="15" hidden="false" customHeight="false" outlineLevel="0" collapsed="false">
      <c r="B205" s="18" t="s">
        <v>191</v>
      </c>
      <c r="C205" s="26" t="n">
        <f aca="false">SUMPRODUCT(LT_incl*(ISNUMBER(LT_ltv_asis)*(LT_ltv_asis&gt;=$V205)*(LT_ltv_asis&lt;$W205)))</f>
        <v>20</v>
      </c>
      <c r="D205" s="23" t="n">
        <f aca="false">IFERROR(C205/StratLoans,0)</f>
        <v>0.152671755725191</v>
      </c>
      <c r="E205" s="26" t="n">
        <f aca="false">SUMPRODUCT(LT_incl*(ISNUMBER(LT_ltv_asis)*(LT_ltv_asis&gt;=$V205)*(LT_ltv_asis&lt;$W205)),LT_units)</f>
        <v>4166</v>
      </c>
      <c r="F205" s="26" t="n">
        <f aca="false">SUMPRODUCT(LT_incl*(ISNUMBER(LT_ltv_asis)*(LT_ltv_asis&gt;=$V205)*(LT_ltv_asis&lt;$W205)),LT_beds)</f>
        <v>542</v>
      </c>
      <c r="G205" s="22" t="n">
        <f aca="false">SUMPRODUCT(LT_incl*(ISNUMBER(LT_ltv_asis)*(LT_ltv_asis&gt;=$V205)*(LT_ltv_asis&lt;$W205)),LT_upb)</f>
        <v>655391628.22</v>
      </c>
      <c r="H205" s="23" t="n">
        <f aca="false">IFERROR(G205/StratUPB,0)</f>
        <v>0.176361173514169</v>
      </c>
      <c r="I205" s="22" t="n">
        <f aca="false">IFERROR(G205/C205,0)</f>
        <v>32769581.411</v>
      </c>
      <c r="J205" s="22" t="n">
        <f aca="false">SUMPRODUCT(LT_incl*(ISNUMBER(LT_ltv_asis)*(LT_ltv_asis&gt;=$V205)*(LT_ltv_asis&lt;$W205)),LT_unfunded)</f>
        <v>8392466.21</v>
      </c>
      <c r="K205" s="22" t="n">
        <f aca="false">SUMPRODUCT(LT_incl*(ISNUMBER(LT_ltv_asis)*(LT_ltv_asis&gt;=$V205)*(LT_ltv_asis&lt;$W205)),LT_navres)</f>
        <v>-9356470.9090521</v>
      </c>
      <c r="L205" s="24" t="n">
        <f aca="false">IFERROR(SUMPRODUCT(LT_incl*(ISNUMBER(LT_ltv_asis)*(LT_ltv_asis&gt;=$V205)*(LT_ltv_asis&lt;$W205)),LT_upb,LT_eff)/SUMPRODUCT(LT_incl*(ISNUMBER(LT_ltv_asis)*(LT_ltv_asis&gt;=$V205)*(LT_ltv_asis&lt;$W205))*ISNUMBER(LT_eff),LT_upb),0)</f>
        <v>0.032727863995098</v>
      </c>
      <c r="M205" s="24" t="n">
        <f aca="false">IFERROR(SUMPRODUCT(LT_incl*(ISNUMBER(LT_ltv_asis)*(LT_ltv_asis&gt;=$V205)*(LT_ltv_asis&lt;$W205)),LT_upb,LT_coupon)/SUMPRODUCT(LT_incl*(ISNUMBER(LT_ltv_asis)*(LT_ltv_asis&gt;=$V205)*(LT_ltv_asis&lt;$W205))*ISNUMBER(LT_coupon),LT_upb),0)</f>
        <v>0.069227863995098</v>
      </c>
      <c r="N205" s="23" t="n">
        <f aca="false">IFERROR(SUMPRODUCT(LT_incl*(ISNUMBER(LT_ltv_asis)*(LT_ltv_asis&gt;=$V205)*(LT_ltv_asis&lt;$W205)),LT_upb,LT_ltv_asis)/SUMPRODUCT(LT_incl*(ISNUMBER(LT_ltv_asis)*(LT_ltv_asis&gt;=$V205)*(LT_ltv_asis&lt;$W205))*ISNUMBER(LT_ltv_asis),LT_upb),0)</f>
        <v>0.723562946242603</v>
      </c>
      <c r="O205" s="23" t="n">
        <f aca="false">IFERROR(SUMPRODUCT(LT_incl*(ISNUMBER(LT_ltv_asis)*(LT_ltv_asis&gt;=$V205)*(LT_ltv_asis&lt;$W205)),LT_upb,LT_ltv_stab)/SUMPRODUCT(LT_incl*(ISNUMBER(LT_ltv_asis)*(LT_ltv_asis&gt;=$V205)*(LT_ltv_asis&lt;$W205))*ISNUMBER(LT_ltv_stab),LT_upb),0)</f>
        <v>0.680654871882241</v>
      </c>
      <c r="P205" s="25" t="n">
        <f aca="false">IFERROR(SUMPRODUCT(LT_incl*(ISNUMBER(LT_ltv_asis)*(LT_ltv_asis&gt;=$V205)*(LT_ltv_asis&lt;$W205)),LT_upb,LT_seas)/SUMPRODUCT(LT_incl*(ISNUMBER(LT_ltv_asis)*(LT_ltv_asis&gt;=$V205)*(LT_ltv_asis&lt;$W205))*ISNUMBER(LT_seas),LT_upb),0)</f>
        <v>22.6851163412439</v>
      </c>
      <c r="Q205" s="25" t="n">
        <f aca="false">IFERROR(SUMPRODUCT(LT_incl*(ISNUMBER(LT_ltv_asis)*(LT_ltv_asis&gt;=$V205)*(LT_ltv_asis&lt;$W205)),LT_upb,LT_rti)/SUMPRODUCT(LT_incl*(ISNUMBER(LT_ltv_asis)*(LT_ltv_asis&gt;=$V205)*(LT_ltv_asis&lt;$W205))*ISNUMBER(LT_rti),LT_upb),0)</f>
        <v>16.1140343373755</v>
      </c>
      <c r="R205" s="25" t="n">
        <f aca="false">IFERROR(SUMPRODUCT(LT_incl*(ISNUMBER(LT_ltv_asis)*(LT_ltv_asis&gt;=$V205)*(LT_ltv_asis&lt;$W205)),LT_upb,LT_rte)/SUMPRODUCT(LT_incl*(ISNUMBER(LT_ltv_asis)*(LT_ltv_asis&gt;=$V205)*(LT_ltv_asis&lt;$W205))*ISNUMBER(LT_rte),LT_upb),0)</f>
        <v>25.7523169058603</v>
      </c>
      <c r="S205" s="23" t="n">
        <f aca="false">IFERROR(SUMPRODUCT(LT_incl*(ISNUMBER(LT_ltv_asis)*(LT_ltv_asis&gt;=$V205)*(LT_ltv_asis&lt;$W205)),LT_backdebt)/G205,0)</f>
        <v>0.663965446023278</v>
      </c>
      <c r="T205" s="23" t="n">
        <f aca="false">IFERROR(SUMPRODUCT(LT_incl*(ISNUMBER(LT_ltv_asis)*(LT_ltv_asis&gt;=$V205)*(LT_ltv_asis&lt;$W205)),LT_equity,LT_roe)/SUMPRODUCT(LT_incl*(ISNUMBER(LT_ltv_asis)*(LT_ltv_asis&gt;=$V205)*(LT_ltv_asis&lt;$W205))*ISNUMBER(LT_roe),LT_equity),0)</f>
        <v>0.100803285071629</v>
      </c>
      <c r="V205" s="48" t="n">
        <v>0.7</v>
      </c>
      <c r="W205" s="48" t="n">
        <v>0.75</v>
      </c>
    </row>
    <row r="206" customFormat="false" ht="15" hidden="false" customHeight="false" outlineLevel="0" collapsed="false">
      <c r="B206" s="27" t="s">
        <v>192</v>
      </c>
      <c r="C206" s="44" t="n">
        <f aca="false">SUMPRODUCT(LT_incl*(ISNUMBER(LT_ltv_asis)*(LT_ltv_asis&gt;=$V206)*(LT_ltv_asis&lt;$W206)))</f>
        <v>22</v>
      </c>
      <c r="D206" s="32" t="n">
        <f aca="false">IFERROR(C206/StratLoans,0)</f>
        <v>0.16793893129771</v>
      </c>
      <c r="E206" s="44" t="n">
        <f aca="false">SUMPRODUCT(LT_incl*(ISNUMBER(LT_ltv_asis)*(LT_ltv_asis&gt;=$V206)*(LT_ltv_asis&lt;$W206)),LT_units)</f>
        <v>3200</v>
      </c>
      <c r="F206" s="44" t="n">
        <f aca="false">SUMPRODUCT(LT_incl*(ISNUMBER(LT_ltv_asis)*(LT_ltv_asis&gt;=$V206)*(LT_ltv_asis&lt;$W206)),LT_beds)</f>
        <v>882</v>
      </c>
      <c r="G206" s="31" t="n">
        <f aca="false">SUMPRODUCT(LT_incl*(ISNUMBER(LT_ltv_asis)*(LT_ltv_asis&gt;=$V206)*(LT_ltv_asis&lt;$W206)),LT_upb)</f>
        <v>509244972.35</v>
      </c>
      <c r="H206" s="32" t="n">
        <f aca="false">IFERROR(G206/StratUPB,0)</f>
        <v>0.137034159520404</v>
      </c>
      <c r="I206" s="31" t="n">
        <f aca="false">IFERROR(G206/C206,0)</f>
        <v>23147498.7431818</v>
      </c>
      <c r="J206" s="31" t="n">
        <f aca="false">SUMPRODUCT(LT_incl*(ISNUMBER(LT_ltv_asis)*(LT_ltv_asis&gt;=$V206)*(LT_ltv_asis&lt;$W206)),LT_unfunded)</f>
        <v>1418084.46</v>
      </c>
      <c r="K206" s="31" t="n">
        <f aca="false">SUMPRODUCT(LT_incl*(ISNUMBER(LT_ltv_asis)*(LT_ltv_asis&gt;=$V206)*(LT_ltv_asis&lt;$W206)),LT_navres)</f>
        <v>-3957383.0673303</v>
      </c>
      <c r="L206" s="33" t="n">
        <f aca="false">IFERROR(SUMPRODUCT(LT_incl*(ISNUMBER(LT_ltv_asis)*(LT_ltv_asis&gt;=$V206)*(LT_ltv_asis&lt;$W206)),LT_upb,LT_eff)/SUMPRODUCT(LT_incl*(ISNUMBER(LT_ltv_asis)*(LT_ltv_asis&gt;=$V206)*(LT_ltv_asis&lt;$W206))*ISNUMBER(LT_eff),LT_upb),0)</f>
        <v>0.0398779975143234</v>
      </c>
      <c r="M206" s="33" t="n">
        <f aca="false">IFERROR(SUMPRODUCT(LT_incl*(ISNUMBER(LT_ltv_asis)*(LT_ltv_asis&gt;=$V206)*(LT_ltv_asis&lt;$W206)),LT_upb,LT_coupon)/SUMPRODUCT(LT_incl*(ISNUMBER(LT_ltv_asis)*(LT_ltv_asis&gt;=$V206)*(LT_ltv_asis&lt;$W206))*ISNUMBER(LT_coupon),LT_upb),0)</f>
        <v>0.0763779975143234</v>
      </c>
      <c r="N206" s="32" t="n">
        <f aca="false">IFERROR(SUMPRODUCT(LT_incl*(ISNUMBER(LT_ltv_asis)*(LT_ltv_asis&gt;=$V206)*(LT_ltv_asis&lt;$W206)),LT_upb,LT_ltv_asis)/SUMPRODUCT(LT_incl*(ISNUMBER(LT_ltv_asis)*(LT_ltv_asis&gt;=$V206)*(LT_ltv_asis&lt;$W206))*ISNUMBER(LT_ltv_asis),LT_upb),0)</f>
        <v>0.779899592253149</v>
      </c>
      <c r="O206" s="32" t="n">
        <f aca="false">IFERROR(SUMPRODUCT(LT_incl*(ISNUMBER(LT_ltv_asis)*(LT_ltv_asis&gt;=$V206)*(LT_ltv_asis&lt;$W206)),LT_upb,LT_ltv_stab)/SUMPRODUCT(LT_incl*(ISNUMBER(LT_ltv_asis)*(LT_ltv_asis&gt;=$V206)*(LT_ltv_asis&lt;$W206))*ISNUMBER(LT_ltv_stab),LT_upb),0)</f>
        <v>0.729886727269535</v>
      </c>
      <c r="P206" s="34" t="n">
        <f aca="false">IFERROR(SUMPRODUCT(LT_incl*(ISNUMBER(LT_ltv_asis)*(LT_ltv_asis&gt;=$V206)*(LT_ltv_asis&lt;$W206)),LT_upb,LT_seas)/SUMPRODUCT(LT_incl*(ISNUMBER(LT_ltv_asis)*(LT_ltv_asis&gt;=$V206)*(LT_ltv_asis&lt;$W206))*ISNUMBER(LT_seas),LT_upb),0)</f>
        <v>40.4792121269454</v>
      </c>
      <c r="Q206" s="34" t="n">
        <f aca="false">IFERROR(SUMPRODUCT(LT_incl*(ISNUMBER(LT_ltv_asis)*(LT_ltv_asis&gt;=$V206)*(LT_ltv_asis&lt;$W206)),LT_upb,LT_rti)/SUMPRODUCT(LT_incl*(ISNUMBER(LT_ltv_asis)*(LT_ltv_asis&gt;=$V206)*(LT_ltv_asis&lt;$W206))*ISNUMBER(LT_rti),LT_upb),0)</f>
        <v>5.62772473769952</v>
      </c>
      <c r="R206" s="34" t="n">
        <f aca="false">IFERROR(SUMPRODUCT(LT_incl*(ISNUMBER(LT_ltv_asis)*(LT_ltv_asis&gt;=$V206)*(LT_ltv_asis&lt;$W206)),LT_upb,LT_rte)/SUMPRODUCT(LT_incl*(ISNUMBER(LT_ltv_asis)*(LT_ltv_asis&gt;=$V206)*(LT_ltv_asis&lt;$W206))*ISNUMBER(LT_rte),LT_upb),0)</f>
        <v>14.6492322926091</v>
      </c>
      <c r="S206" s="32" t="n">
        <f aca="false">IFERROR(SUMPRODUCT(LT_incl*(ISNUMBER(LT_ltv_asis)*(LT_ltv_asis&gt;=$V206)*(LT_ltv_asis&lt;$W206)),LT_backdebt)/G206,0)</f>
        <v>0.570414598168841</v>
      </c>
      <c r="T206" s="32" t="n">
        <f aca="false">IFERROR(SUMPRODUCT(LT_incl*(ISNUMBER(LT_ltv_asis)*(LT_ltv_asis&gt;=$V206)*(LT_ltv_asis&lt;$W206)),LT_equity,LT_roe)/SUMPRODUCT(LT_incl*(ISNUMBER(LT_ltv_asis)*(LT_ltv_asis&gt;=$V206)*(LT_ltv_asis&lt;$W206))*ISNUMBER(LT_roe),LT_equity),0)</f>
        <v>0.104176486041424</v>
      </c>
      <c r="V206" s="48" t="n">
        <v>0.75</v>
      </c>
      <c r="W206" s="48" t="n">
        <v>0.8</v>
      </c>
    </row>
    <row r="207" customFormat="false" ht="15" hidden="false" customHeight="false" outlineLevel="0" collapsed="false">
      <c r="B207" s="18" t="s">
        <v>193</v>
      </c>
      <c r="C207" s="26" t="n">
        <f aca="false">SUMPRODUCT(LT_incl*(ISNUMBER(LT_ltv_asis)*(LT_ltv_asis&gt;=$V207)*(LT_ltv_asis&lt;$W207)))</f>
        <v>12</v>
      </c>
      <c r="D207" s="23" t="n">
        <f aca="false">IFERROR(C207/StratLoans,0)</f>
        <v>0.0916030534351145</v>
      </c>
      <c r="E207" s="26" t="n">
        <f aca="false">SUMPRODUCT(LT_incl*(ISNUMBER(LT_ltv_asis)*(LT_ltv_asis&gt;=$V207)*(LT_ltv_asis&lt;$W207)),LT_units)</f>
        <v>3395</v>
      </c>
      <c r="F207" s="26" t="n">
        <f aca="false">SUMPRODUCT(LT_incl*(ISNUMBER(LT_ltv_asis)*(LT_ltv_asis&gt;=$V207)*(LT_ltv_asis&lt;$W207)),LT_beds)</f>
        <v>797</v>
      </c>
      <c r="G207" s="22" t="n">
        <f aca="false">SUMPRODUCT(LT_incl*(ISNUMBER(LT_ltv_asis)*(LT_ltv_asis&gt;=$V207)*(LT_ltv_asis&lt;$W207)),LT_upb)</f>
        <v>289411070.97</v>
      </c>
      <c r="H207" s="23" t="n">
        <f aca="false">IFERROR(G207/StratUPB,0)</f>
        <v>0.0778784377256775</v>
      </c>
      <c r="I207" s="22" t="n">
        <f aca="false">IFERROR(G207/C207,0)</f>
        <v>24117589.2475</v>
      </c>
      <c r="J207" s="22" t="n">
        <f aca="false">SUMPRODUCT(LT_incl*(ISNUMBER(LT_ltv_asis)*(LT_ltv_asis&gt;=$V207)*(LT_ltv_asis&lt;$W207)),LT_unfunded)</f>
        <v>4260000</v>
      </c>
      <c r="K207" s="22" t="n">
        <f aca="false">SUMPRODUCT(LT_incl*(ISNUMBER(LT_ltv_asis)*(LT_ltv_asis&gt;=$V207)*(LT_ltv_asis&lt;$W207)),LT_navres)</f>
        <v>-11860547.4544277</v>
      </c>
      <c r="L207" s="24" t="n">
        <f aca="false">IFERROR(SUMPRODUCT(LT_incl*(ISNUMBER(LT_ltv_asis)*(LT_ltv_asis&gt;=$V207)*(LT_ltv_asis&lt;$W207)),LT_upb,LT_eff)/SUMPRODUCT(LT_incl*(ISNUMBER(LT_ltv_asis)*(LT_ltv_asis&gt;=$V207)*(LT_ltv_asis&lt;$W207))*ISNUMBER(LT_eff),LT_upb),0)</f>
        <v>0.0404781774129482</v>
      </c>
      <c r="M207" s="24" t="n">
        <f aca="false">IFERROR(SUMPRODUCT(LT_incl*(ISNUMBER(LT_ltv_asis)*(LT_ltv_asis&gt;=$V207)*(LT_ltv_asis&lt;$W207)),LT_upb,LT_coupon)/SUMPRODUCT(LT_incl*(ISNUMBER(LT_ltv_asis)*(LT_ltv_asis&gt;=$V207)*(LT_ltv_asis&lt;$W207))*ISNUMBER(LT_coupon),LT_upb),0)</f>
        <v>0.0769781774129482</v>
      </c>
      <c r="N207" s="23" t="n">
        <f aca="false">IFERROR(SUMPRODUCT(LT_incl*(ISNUMBER(LT_ltv_asis)*(LT_ltv_asis&gt;=$V207)*(LT_ltv_asis&lt;$W207)),LT_upb,LT_ltv_asis)/SUMPRODUCT(LT_incl*(ISNUMBER(LT_ltv_asis)*(LT_ltv_asis&gt;=$V207)*(LT_ltv_asis&lt;$W207))*ISNUMBER(LT_ltv_asis),LT_upb),0)</f>
        <v>0.821477012120605</v>
      </c>
      <c r="O207" s="23" t="n">
        <f aca="false">IFERROR(SUMPRODUCT(LT_incl*(ISNUMBER(LT_ltv_asis)*(LT_ltv_asis&gt;=$V207)*(LT_ltv_asis&lt;$W207)),LT_upb,LT_ltv_stab)/SUMPRODUCT(LT_incl*(ISNUMBER(LT_ltv_asis)*(LT_ltv_asis&gt;=$V207)*(LT_ltv_asis&lt;$W207))*ISNUMBER(LT_ltv_stab),LT_upb),0)</f>
        <v>0.725464849554066</v>
      </c>
      <c r="P207" s="25" t="n">
        <f aca="false">IFERROR(SUMPRODUCT(LT_incl*(ISNUMBER(LT_ltv_asis)*(LT_ltv_asis&gt;=$V207)*(LT_ltv_asis&lt;$W207)),LT_upb,LT_seas)/SUMPRODUCT(LT_incl*(ISNUMBER(LT_ltv_asis)*(LT_ltv_asis&gt;=$V207)*(LT_ltv_asis&lt;$W207))*ISNUMBER(LT_seas),LT_upb),0)</f>
        <v>30.1584912360769</v>
      </c>
      <c r="Q207" s="25" t="n">
        <f aca="false">IFERROR(SUMPRODUCT(LT_incl*(ISNUMBER(LT_ltv_asis)*(LT_ltv_asis&gt;=$V207)*(LT_ltv_asis&lt;$W207)),LT_upb,LT_rti)/SUMPRODUCT(LT_incl*(ISNUMBER(LT_ltv_asis)*(LT_ltv_asis&gt;=$V207)*(LT_ltv_asis&lt;$W207))*ISNUMBER(LT_rti),LT_upb),0)</f>
        <v>14.275353883887</v>
      </c>
      <c r="R207" s="25" t="n">
        <f aca="false">IFERROR(SUMPRODUCT(LT_incl*(ISNUMBER(LT_ltv_asis)*(LT_ltv_asis&gt;=$V207)*(LT_ltv_asis&lt;$W207)),LT_upb,LT_rte)/SUMPRODUCT(LT_incl*(ISNUMBER(LT_ltv_asis)*(LT_ltv_asis&gt;=$V207)*(LT_ltv_asis&lt;$W207))*ISNUMBER(LT_rte),LT_upb),0)</f>
        <v>23.6177663083788</v>
      </c>
      <c r="S207" s="23" t="n">
        <f aca="false">IFERROR(SUMPRODUCT(LT_incl*(ISNUMBER(LT_ltv_asis)*(LT_ltv_asis&gt;=$V207)*(LT_ltv_asis&lt;$W207)),LT_backdebt)/G207,0)</f>
        <v>0.498818678132492</v>
      </c>
      <c r="T207" s="23" t="n">
        <f aca="false">IFERROR(SUMPRODUCT(LT_incl*(ISNUMBER(LT_ltv_asis)*(LT_ltv_asis&gt;=$V207)*(LT_ltv_asis&lt;$W207)),LT_equity,LT_roe)/SUMPRODUCT(LT_incl*(ISNUMBER(LT_ltv_asis)*(LT_ltv_asis&gt;=$V207)*(LT_ltv_asis&lt;$W207))*ISNUMBER(LT_roe),LT_equity),0)</f>
        <v>0.0993278709531888</v>
      </c>
      <c r="V207" s="48" t="n">
        <v>0.8</v>
      </c>
      <c r="W207" s="48" t="n">
        <v>0.85</v>
      </c>
    </row>
    <row r="208" customFormat="false" ht="15" hidden="false" customHeight="false" outlineLevel="0" collapsed="false">
      <c r="B208" s="27" t="s">
        <v>194</v>
      </c>
      <c r="C208" s="44" t="n">
        <f aca="false">SUMPRODUCT(LT_incl*(ISNUMBER(LT_ltv_asis)*(LT_ltv_asis&gt;=$V208)*(LT_ltv_asis&lt;$W208)))</f>
        <v>7</v>
      </c>
      <c r="D208" s="32" t="n">
        <f aca="false">IFERROR(C208/StratLoans,0)</f>
        <v>0.0534351145038168</v>
      </c>
      <c r="E208" s="44" t="n">
        <f aca="false">SUMPRODUCT(LT_incl*(ISNUMBER(LT_ltv_asis)*(LT_ltv_asis&gt;=$V208)*(LT_ltv_asis&lt;$W208)),LT_units)</f>
        <v>1550</v>
      </c>
      <c r="F208" s="44" t="n">
        <f aca="false">SUMPRODUCT(LT_incl*(ISNUMBER(LT_ltv_asis)*(LT_ltv_asis&gt;=$V208)*(LT_ltv_asis&lt;$W208)),LT_beds)</f>
        <v>489</v>
      </c>
      <c r="G208" s="31" t="n">
        <f aca="false">SUMPRODUCT(LT_incl*(ISNUMBER(LT_ltv_asis)*(LT_ltv_asis&gt;=$V208)*(LT_ltv_asis&lt;$W208)),LT_upb)</f>
        <v>240364535.08</v>
      </c>
      <c r="H208" s="32" t="n">
        <f aca="false">IFERROR(G208/StratUPB,0)</f>
        <v>0.0646803676650974</v>
      </c>
      <c r="I208" s="31" t="n">
        <f aca="false">IFERROR(G208/C208,0)</f>
        <v>34337790.7257143</v>
      </c>
      <c r="J208" s="31" t="n">
        <f aca="false">SUMPRODUCT(LT_incl*(ISNUMBER(LT_ltv_asis)*(LT_ltv_asis&gt;=$V208)*(LT_ltv_asis&lt;$W208)),LT_unfunded)</f>
        <v>615219.34</v>
      </c>
      <c r="K208" s="31" t="n">
        <f aca="false">SUMPRODUCT(LT_incl*(ISNUMBER(LT_ltv_asis)*(LT_ltv_asis&gt;=$V208)*(LT_ltv_asis&lt;$W208)),LT_navres)</f>
        <v>-2529654.06269062</v>
      </c>
      <c r="L208" s="33" t="n">
        <f aca="false">IFERROR(SUMPRODUCT(LT_incl*(ISNUMBER(LT_ltv_asis)*(LT_ltv_asis&gt;=$V208)*(LT_ltv_asis&lt;$W208)),LT_upb,LT_eff)/SUMPRODUCT(LT_incl*(ISNUMBER(LT_ltv_asis)*(LT_ltv_asis&gt;=$V208)*(LT_ltv_asis&lt;$W208))*ISNUMBER(LT_eff),LT_upb),0)</f>
        <v>0.0351193595319312</v>
      </c>
      <c r="M208" s="33" t="n">
        <f aca="false">IFERROR(SUMPRODUCT(LT_incl*(ISNUMBER(LT_ltv_asis)*(LT_ltv_asis&gt;=$V208)*(LT_ltv_asis&lt;$W208)),LT_upb,LT_coupon)/SUMPRODUCT(LT_incl*(ISNUMBER(LT_ltv_asis)*(LT_ltv_asis&gt;=$V208)*(LT_ltv_asis&lt;$W208))*ISNUMBER(LT_coupon),LT_upb),0)</f>
        <v>0.0716193595319312</v>
      </c>
      <c r="N208" s="32" t="n">
        <f aca="false">IFERROR(SUMPRODUCT(LT_incl*(ISNUMBER(LT_ltv_asis)*(LT_ltv_asis&gt;=$V208)*(LT_ltv_asis&lt;$W208)),LT_upb,LT_ltv_asis)/SUMPRODUCT(LT_incl*(ISNUMBER(LT_ltv_asis)*(LT_ltv_asis&gt;=$V208)*(LT_ltv_asis&lt;$W208))*ISNUMBER(LT_ltv_asis),LT_upb),0)</f>
        <v>0.906183236492035</v>
      </c>
      <c r="O208" s="32" t="n">
        <f aca="false">IFERROR(SUMPRODUCT(LT_incl*(ISNUMBER(LT_ltv_asis)*(LT_ltv_asis&gt;=$V208)*(LT_ltv_asis&lt;$W208)),LT_upb,LT_ltv_stab)/SUMPRODUCT(LT_incl*(ISNUMBER(LT_ltv_asis)*(LT_ltv_asis&gt;=$V208)*(LT_ltv_asis&lt;$W208))*ISNUMBER(LT_ltv_stab),LT_upb),0)</f>
        <v>0.791709376698677</v>
      </c>
      <c r="P208" s="34" t="n">
        <f aca="false">IFERROR(SUMPRODUCT(LT_incl*(ISNUMBER(LT_ltv_asis)*(LT_ltv_asis&gt;=$V208)*(LT_ltv_asis&lt;$W208)),LT_upb,LT_seas)/SUMPRODUCT(LT_incl*(ISNUMBER(LT_ltv_asis)*(LT_ltv_asis&gt;=$V208)*(LT_ltv_asis&lt;$W208))*ISNUMBER(LT_seas),LT_upb),0)</f>
        <v>32.4958566049695</v>
      </c>
      <c r="Q208" s="34" t="n">
        <f aca="false">IFERROR(SUMPRODUCT(LT_incl*(ISNUMBER(LT_ltv_asis)*(LT_ltv_asis&gt;=$V208)*(LT_ltv_asis&lt;$W208)),LT_upb,LT_rti)/SUMPRODUCT(LT_incl*(ISNUMBER(LT_ltv_asis)*(LT_ltv_asis&gt;=$V208)*(LT_ltv_asis&lt;$W208))*ISNUMBER(LT_rti),LT_upb),0)</f>
        <v>11.3177974307428</v>
      </c>
      <c r="R208" s="34" t="n">
        <f aca="false">IFERROR(SUMPRODUCT(LT_incl*(ISNUMBER(LT_ltv_asis)*(LT_ltv_asis&gt;=$V208)*(LT_ltv_asis&lt;$W208)),LT_upb,LT_rte)/SUMPRODUCT(LT_incl*(ISNUMBER(LT_ltv_asis)*(LT_ltv_asis&gt;=$V208)*(LT_ltv_asis&lt;$W208))*ISNUMBER(LT_rte),LT_upb),0)</f>
        <v>22.0499778973184</v>
      </c>
      <c r="S208" s="32" t="n">
        <f aca="false">IFERROR(SUMPRODUCT(LT_incl*(ISNUMBER(LT_ltv_asis)*(LT_ltv_asis&gt;=$V208)*(LT_ltv_asis&lt;$W208)),LT_backdebt)/G208,0)</f>
        <v>0.435246909787818</v>
      </c>
      <c r="T208" s="32" t="n">
        <f aca="false">IFERROR(SUMPRODUCT(LT_incl*(ISNUMBER(LT_ltv_asis)*(LT_ltv_asis&gt;=$V208)*(LT_ltv_asis&lt;$W208)),LT_equity,LT_roe)/SUMPRODUCT(LT_incl*(ISNUMBER(LT_ltv_asis)*(LT_ltv_asis&gt;=$V208)*(LT_ltv_asis&lt;$W208))*ISNUMBER(LT_roe),LT_equity),0)</f>
        <v>0.0821907352455034</v>
      </c>
      <c r="V208" s="48" t="n">
        <v>0.85</v>
      </c>
      <c r="W208" s="48" t="n">
        <v>1000000000000</v>
      </c>
    </row>
    <row r="209" customFormat="false" ht="15" hidden="false" customHeight="false" outlineLevel="0" collapsed="false">
      <c r="B209" s="18" t="s">
        <v>195</v>
      </c>
      <c r="C209" s="26" t="n">
        <f aca="false">SUMPRODUCT(LT_incl*(1-ISNUMBER(LT_ltv_asis)))</f>
        <v>1</v>
      </c>
      <c r="D209" s="23" t="n">
        <f aca="false">IFERROR(C209/StratLoans,0)</f>
        <v>0.00763358778625954</v>
      </c>
      <c r="E209" s="26" t="n">
        <f aca="false">SUMPRODUCT(LT_incl*(1-ISNUMBER(LT_ltv_asis)),LT_units)</f>
        <v>0</v>
      </c>
      <c r="F209" s="26" t="n">
        <f aca="false">SUMPRODUCT(LT_incl*(1-ISNUMBER(LT_ltv_asis)),LT_beds)</f>
        <v>536</v>
      </c>
      <c r="G209" s="22" t="n">
        <f aca="false">SUMPRODUCT(LT_incl*(1-ISNUMBER(LT_ltv_asis)),LT_upb)</f>
        <v>7500000</v>
      </c>
      <c r="H209" s="23" t="n">
        <f aca="false">IFERROR(G209/StratUPB,0)</f>
        <v>0.00201819605927628</v>
      </c>
      <c r="I209" s="22" t="n">
        <f aca="false">IFERROR(G209/C209,0)</f>
        <v>7500000</v>
      </c>
      <c r="J209" s="22" t="n">
        <f aca="false">SUMPRODUCT(LT_incl*(1-ISNUMBER(LT_ltv_asis)),LT_unfunded)</f>
        <v>0</v>
      </c>
      <c r="K209" s="22" t="n">
        <f aca="false">SUMPRODUCT(LT_incl*(1-ISNUMBER(LT_ltv_asis)),LT_navres)</f>
        <v>400000</v>
      </c>
      <c r="L209" s="24" t="n">
        <f aca="false">IFERROR(SUMPRODUCT(LT_incl*(1-ISNUMBER(LT_ltv_asis)),LT_upb,LT_eff)/SUMPRODUCT(LT_incl*(1-ISNUMBER(LT_ltv_asis))*ISNUMBER(LT_eff),LT_upb),0)</f>
        <v>0.09</v>
      </c>
      <c r="M209" s="24" t="n">
        <f aca="false">IFERROR(SUMPRODUCT(LT_incl*(1-ISNUMBER(LT_ltv_asis)),LT_upb,LT_coupon)/SUMPRODUCT(LT_incl*(1-ISNUMBER(LT_ltv_asis))*ISNUMBER(LT_coupon),LT_upb),0)</f>
        <v>0.1265</v>
      </c>
      <c r="N209" s="23" t="n">
        <f aca="false">IFERROR(SUMPRODUCT(LT_incl*(1-ISNUMBER(LT_ltv_asis)),LT_upb,LT_ltv_asis)/SUMPRODUCT(LT_incl*(1-ISNUMBER(LT_ltv_asis))*ISNUMBER(LT_ltv_asis),LT_upb),0)</f>
        <v>0</v>
      </c>
      <c r="O209" s="23" t="n">
        <f aca="false">IFERROR(SUMPRODUCT(LT_incl*(1-ISNUMBER(LT_ltv_asis)),LT_upb,LT_ltv_stab)/SUMPRODUCT(LT_incl*(1-ISNUMBER(LT_ltv_asis))*ISNUMBER(LT_ltv_stab),LT_upb),0)</f>
        <v>0</v>
      </c>
      <c r="P209" s="25" t="n">
        <f aca="false">IFERROR(SUMPRODUCT(LT_incl*(1-ISNUMBER(LT_ltv_asis)),LT_upb,LT_seas)/SUMPRODUCT(LT_incl*(1-ISNUMBER(LT_ltv_asis))*ISNUMBER(LT_seas),LT_upb),0)</f>
        <v>80</v>
      </c>
      <c r="Q209" s="25" t="n">
        <f aca="false">IFERROR(SUMPRODUCT(LT_incl*(1-ISNUMBER(LT_ltv_asis)),LT_upb,LT_rti)/SUMPRODUCT(LT_incl*(1-ISNUMBER(LT_ltv_asis))*ISNUMBER(LT_rti),LT_upb),0)</f>
        <v>0</v>
      </c>
      <c r="R209" s="25" t="n">
        <f aca="false">IFERROR(SUMPRODUCT(LT_incl*(1-ISNUMBER(LT_ltv_asis)),LT_upb,LT_rte)/SUMPRODUCT(LT_incl*(1-ISNUMBER(LT_ltv_asis))*ISNUMBER(LT_rte),LT_upb),0)</f>
        <v>0</v>
      </c>
      <c r="S209" s="23" t="n">
        <f aca="false">IFERROR(SUMPRODUCT(LT_incl*(1-ISNUMBER(LT_ltv_asis)),LT_backdebt)/G209,0)</f>
        <v>0</v>
      </c>
      <c r="T209" s="23" t="n">
        <f aca="false">IFERROR(SUMPRODUCT(LT_incl*(1-ISNUMBER(LT_ltv_asis)),LT_equity,LT_roe)/SUMPRODUCT(LT_incl*(1-ISNUMBER(LT_ltv_asis))*ISNUMBER(LT_roe),LT_equity),0)</f>
        <v>0.1265</v>
      </c>
    </row>
    <row r="210" customFormat="false" ht="15" hidden="false" customHeight="false" outlineLevel="0" collapsed="false">
      <c r="B210" s="35" t="s">
        <v>76</v>
      </c>
      <c r="C210" s="45" t="n">
        <f aca="false">SUMPRODUCT(LT_incl*(1))</f>
        <v>131</v>
      </c>
      <c r="D210" s="38" t="n">
        <f aca="false">IFERROR(C210/StratLoans,0)</f>
        <v>1</v>
      </c>
      <c r="E210" s="45" t="n">
        <f aca="false">SUMPRODUCT(LT_incl*(1),LT_units)</f>
        <v>22360</v>
      </c>
      <c r="F210" s="45" t="n">
        <f aca="false">SUMPRODUCT(LT_incl*(1),LT_beds)</f>
        <v>8726</v>
      </c>
      <c r="G210" s="37" t="n">
        <f aca="false">SUMPRODUCT(LT_incl*(1),LT_upb)</f>
        <v>3716189993.3</v>
      </c>
      <c r="H210" s="38" t="n">
        <f aca="false">IFERROR(G210/StratUPB,0)</f>
        <v>1</v>
      </c>
      <c r="I210" s="37" t="n">
        <f aca="false">IFERROR(G210/C210,0)</f>
        <v>28367862.5442748</v>
      </c>
      <c r="J210" s="37" t="n">
        <f aca="false">SUMPRODUCT(LT_incl*(1),LT_unfunded)</f>
        <v>70425498.27</v>
      </c>
      <c r="K210" s="37" t="n">
        <f aca="false">SUMPRODUCT(LT_incl*(1),LT_navres)</f>
        <v>-35761255.0310469</v>
      </c>
      <c r="L210" s="39" t="n">
        <f aca="false">IFERROR(SUMPRODUCT(LT_incl*(1),LT_upb,LT_eff)/SUMPRODUCT(LT_incl*(1)*ISNUMBER(LT_eff),LT_upb),0)</f>
        <v>0.0384104790702225</v>
      </c>
      <c r="M210" s="39" t="n">
        <f aca="false">IFERROR(SUMPRODUCT(LT_incl*(1),LT_upb,LT_coupon)/SUMPRODUCT(LT_incl*(1)*ISNUMBER(LT_coupon),LT_upb),0)</f>
        <v>0.0749104790702225</v>
      </c>
      <c r="N210" s="38" t="n">
        <f aca="false">IFERROR(SUMPRODUCT(LT_incl*(1),LT_upb,LT_ltv_asis)/SUMPRODUCT(LT_incl*(1)*ISNUMBER(LT_ltv_asis),LT_upb),0)</f>
        <v>0.685976245136614</v>
      </c>
      <c r="O210" s="38" t="n">
        <f aca="false">IFERROR(SUMPRODUCT(LT_incl*(1),LT_upb,LT_ltv_stab)/SUMPRODUCT(LT_incl*(1)*ISNUMBER(LT_ltv_stab),LT_upb),0)</f>
        <v>0.658970555756018</v>
      </c>
      <c r="P210" s="40" t="n">
        <f aca="false">IFERROR(SUMPRODUCT(LT_incl*(1),LT_upb,LT_seas)/SUMPRODUCT(LT_incl*(1)*ISNUMBER(LT_seas),LT_upb),0)</f>
        <v>26.0197171750702</v>
      </c>
      <c r="Q210" s="40" t="n">
        <f aca="false">IFERROR(SUMPRODUCT(LT_incl*(1),LT_upb,LT_rti)/SUMPRODUCT(LT_incl*(1)*ISNUMBER(LT_rti),LT_upb),0)</f>
        <v>10.7164396387939</v>
      </c>
      <c r="R210" s="40" t="n">
        <f aca="false">IFERROR(SUMPRODUCT(LT_incl*(1),LT_upb,LT_rte)/SUMPRODUCT(LT_incl*(1)*ISNUMBER(LT_rte),LT_upb),0)</f>
        <v>23.051497716819</v>
      </c>
      <c r="S210" s="38" t="n">
        <f aca="false">IFERROR(SUMPRODUCT(LT_incl*(1),LT_backdebt)/G210,0)</f>
        <v>0.628005362553862</v>
      </c>
      <c r="T210" s="38" t="n">
        <f aca="false">IFERROR(SUMPRODUCT(LT_incl*(1),LT_equity,LT_roe)/SUMPRODUCT(LT_incl*(1)*ISNUMBER(LT_roe),LT_equity),0)</f>
        <v>0.107961987212177</v>
      </c>
    </row>
    <row r="212" customFormat="false" ht="15" hidden="false" customHeight="false" outlineLevel="0" collapsed="false">
      <c r="B212" s="3" t="s">
        <v>196</v>
      </c>
      <c r="C212" s="4"/>
      <c r="D212" s="4"/>
      <c r="E212" s="4"/>
      <c r="F212" s="4"/>
      <c r="G212" s="4"/>
      <c r="H212" s="4"/>
      <c r="I212" s="4"/>
      <c r="J212" s="4"/>
      <c r="K212" s="4"/>
      <c r="L212" s="4"/>
      <c r="M212" s="4"/>
      <c r="N212" s="4"/>
      <c r="O212" s="4"/>
      <c r="P212" s="4"/>
      <c r="Q212" s="4"/>
      <c r="R212" s="4"/>
      <c r="S212" s="4"/>
      <c r="T212" s="4"/>
    </row>
    <row r="213" customFormat="false" ht="39.75" hidden="false" customHeight="true" outlineLevel="0" collapsed="false">
      <c r="B213" s="16" t="s">
        <v>147</v>
      </c>
      <c r="C213" s="17" t="s">
        <v>13</v>
      </c>
      <c r="D213" s="17" t="s">
        <v>64</v>
      </c>
      <c r="E213" s="17" t="s">
        <v>65</v>
      </c>
      <c r="F213" s="17" t="s">
        <v>66</v>
      </c>
      <c r="G213" s="17" t="s">
        <v>16</v>
      </c>
      <c r="H213" s="17" t="s">
        <v>46</v>
      </c>
      <c r="I213" s="17" t="s">
        <v>19</v>
      </c>
      <c r="J213" s="17" t="s">
        <v>28</v>
      </c>
      <c r="K213" s="17" t="s">
        <v>31</v>
      </c>
      <c r="L213" s="17" t="s">
        <v>7</v>
      </c>
      <c r="M213" s="17" t="s">
        <v>11</v>
      </c>
      <c r="N213" s="17" t="s">
        <v>23</v>
      </c>
      <c r="O213" s="17" t="s">
        <v>67</v>
      </c>
      <c r="P213" s="17" t="s">
        <v>5</v>
      </c>
      <c r="Q213" s="17" t="s">
        <v>68</v>
      </c>
      <c r="R213" s="17" t="s">
        <v>69</v>
      </c>
      <c r="S213" s="17" t="s">
        <v>56</v>
      </c>
      <c r="T213" s="17" t="s">
        <v>70</v>
      </c>
      <c r="V213" s="17" t="s">
        <v>148</v>
      </c>
      <c r="W213" s="17" t="s">
        <v>149</v>
      </c>
    </row>
    <row r="214" customFormat="false" ht="15" hidden="false" customHeight="false" outlineLevel="0" collapsed="false">
      <c r="B214" s="18" t="s">
        <v>187</v>
      </c>
      <c r="C214" s="26" t="n">
        <f aca="false">SUMPRODUCT(LT_incl*(ISNUMBER(LT_ltv_stab)*(LT_ltv_stab&gt;=$V214)*(LT_ltv_stab&lt;$W214)))</f>
        <v>17</v>
      </c>
      <c r="D214" s="23" t="n">
        <f aca="false">IFERROR(C214/StratLoans,0)</f>
        <v>0.129770992366412</v>
      </c>
      <c r="E214" s="26" t="n">
        <f aca="false">SUMPRODUCT(LT_incl*(ISNUMBER(LT_ltv_stab)*(LT_ltv_stab&gt;=$V214)*(LT_ltv_stab&lt;$W214)),LT_units)</f>
        <v>1951</v>
      </c>
      <c r="F214" s="26" t="n">
        <f aca="false">SUMPRODUCT(LT_incl*(ISNUMBER(LT_ltv_stab)*(LT_ltv_stab&gt;=$V214)*(LT_ltv_stab&lt;$W214)),LT_beds)</f>
        <v>1987</v>
      </c>
      <c r="G214" s="22" t="n">
        <f aca="false">SUMPRODUCT(LT_incl*(ISNUMBER(LT_ltv_stab)*(LT_ltv_stab&gt;=$V214)*(LT_ltv_stab&lt;$W214)),LT_upb)</f>
        <v>376309642.1</v>
      </c>
      <c r="H214" s="23" t="n">
        <f aca="false">IFERROR(G214/StratUPB,0)</f>
        <v>0.101262218233852</v>
      </c>
      <c r="I214" s="22" t="n">
        <f aca="false">IFERROR(G214/C214,0)</f>
        <v>22135861.3</v>
      </c>
      <c r="J214" s="22" t="n">
        <f aca="false">SUMPRODUCT(LT_incl*(ISNUMBER(LT_ltv_stab)*(LT_ltv_stab&gt;=$V214)*(LT_ltv_stab&lt;$W214)),LT_unfunded)</f>
        <v>15313623.45</v>
      </c>
      <c r="K214" s="22" t="n">
        <f aca="false">SUMPRODUCT(LT_incl*(ISNUMBER(LT_ltv_stab)*(LT_ltv_stab&gt;=$V214)*(LT_ltv_stab&lt;$W214)),LT_navres)</f>
        <v>0</v>
      </c>
      <c r="L214" s="24" t="n">
        <f aca="false">IFERROR(SUMPRODUCT(LT_incl*(ISNUMBER(LT_ltv_stab)*(LT_ltv_stab&gt;=$V214)*(LT_ltv_stab&lt;$W214)),LT_upb,LT_eff)/SUMPRODUCT(LT_incl*(ISNUMBER(LT_ltv_stab)*(LT_ltv_stab&gt;=$V214)*(LT_ltv_stab&lt;$W214))*ISNUMBER(LT_eff),LT_upb),0)</f>
        <v>0.04779956710025</v>
      </c>
      <c r="M214" s="24" t="n">
        <f aca="false">IFERROR(SUMPRODUCT(LT_incl*(ISNUMBER(LT_ltv_stab)*(LT_ltv_stab&gt;=$V214)*(LT_ltv_stab&lt;$W214)),LT_upb,LT_coupon)/SUMPRODUCT(LT_incl*(ISNUMBER(LT_ltv_stab)*(LT_ltv_stab&gt;=$V214)*(LT_ltv_stab&lt;$W214))*ISNUMBER(LT_coupon),LT_upb),0)</f>
        <v>0.08429956710025</v>
      </c>
      <c r="N214" s="23" t="n">
        <f aca="false">IFERROR(SUMPRODUCT(LT_incl*(ISNUMBER(LT_ltv_stab)*(LT_ltv_stab&gt;=$V214)*(LT_ltv_stab&lt;$W214)),LT_upb,LT_ltv_asis)/SUMPRODUCT(LT_incl*(ISNUMBER(LT_ltv_stab)*(LT_ltv_stab&gt;=$V214)*(LT_ltv_stab&lt;$W214))*ISNUMBER(LT_ltv_asis),LT_upb),0)</f>
        <v>0.498919841888545</v>
      </c>
      <c r="O214" s="23" t="n">
        <f aca="false">IFERROR(SUMPRODUCT(LT_incl*(ISNUMBER(LT_ltv_stab)*(LT_ltv_stab&gt;=$V214)*(LT_ltv_stab&lt;$W214)),LT_upb,LT_ltv_stab)/SUMPRODUCT(LT_incl*(ISNUMBER(LT_ltv_stab)*(LT_ltv_stab&gt;=$V214)*(LT_ltv_stab&lt;$W214))*ISNUMBER(LT_ltv_stab),LT_upb),0)</f>
        <v>0.50890062491602</v>
      </c>
      <c r="P214" s="25" t="n">
        <f aca="false">IFERROR(SUMPRODUCT(LT_incl*(ISNUMBER(LT_ltv_stab)*(LT_ltv_stab&gt;=$V214)*(LT_ltv_stab&lt;$W214)),LT_upb,LT_seas)/SUMPRODUCT(LT_incl*(ISNUMBER(LT_ltv_stab)*(LT_ltv_stab&gt;=$V214)*(LT_ltv_stab&lt;$W214))*ISNUMBER(LT_seas),LT_upb),0)</f>
        <v>23.7851770032083</v>
      </c>
      <c r="Q214" s="25" t="n">
        <f aca="false">IFERROR(SUMPRODUCT(LT_incl*(ISNUMBER(LT_ltv_stab)*(LT_ltv_stab&gt;=$V214)*(LT_ltv_stab&lt;$W214)),LT_upb,LT_rti)/SUMPRODUCT(LT_incl*(ISNUMBER(LT_ltv_stab)*(LT_ltv_stab&gt;=$V214)*(LT_ltv_stab&lt;$W214))*ISNUMBER(LT_rti),LT_upb),0)</f>
        <v>8.53554108055067</v>
      </c>
      <c r="R214" s="25" t="n">
        <f aca="false">IFERROR(SUMPRODUCT(LT_incl*(ISNUMBER(LT_ltv_stab)*(LT_ltv_stab&gt;=$V214)*(LT_ltv_stab&lt;$W214)),LT_upb,LT_rte)/SUMPRODUCT(LT_incl*(ISNUMBER(LT_ltv_stab)*(LT_ltv_stab&gt;=$V214)*(LT_ltv_stab&lt;$W214))*ISNUMBER(LT_rte),LT_upb),0)</f>
        <v>20.3271347335195</v>
      </c>
      <c r="S214" s="23" t="n">
        <f aca="false">IFERROR(SUMPRODUCT(LT_incl*(ISNUMBER(LT_ltv_stab)*(LT_ltv_stab&gt;=$V214)*(LT_ltv_stab&lt;$W214)),LT_backdebt)/G214,0)</f>
        <v>0.604463463750659</v>
      </c>
      <c r="T214" s="23" t="n">
        <f aca="false">IFERROR(SUMPRODUCT(LT_incl*(ISNUMBER(LT_ltv_stab)*(LT_ltv_stab&gt;=$V214)*(LT_ltv_stab&lt;$W214)),LT_equity,LT_roe)/SUMPRODUCT(LT_incl*(ISNUMBER(LT_ltv_stab)*(LT_ltv_stab&gt;=$V214)*(LT_ltv_stab&lt;$W214))*ISNUMBER(LT_roe),LT_equity),0)</f>
        <v>0.12243205833375</v>
      </c>
      <c r="V214" s="48" t="n">
        <v>-1000000000000</v>
      </c>
      <c r="W214" s="48" t="n">
        <v>0.55</v>
      </c>
    </row>
    <row r="215" customFormat="false" ht="15" hidden="false" customHeight="false" outlineLevel="0" collapsed="false">
      <c r="B215" s="27" t="s">
        <v>188</v>
      </c>
      <c r="C215" s="44" t="n">
        <f aca="false">SUMPRODUCT(LT_incl*(ISNUMBER(LT_ltv_stab)*(LT_ltv_stab&gt;=$V215)*(LT_ltv_stab&lt;$W215)))</f>
        <v>17</v>
      </c>
      <c r="D215" s="32" t="n">
        <f aca="false">IFERROR(C215/StratLoans,0)</f>
        <v>0.129770992366412</v>
      </c>
      <c r="E215" s="44" t="n">
        <f aca="false">SUMPRODUCT(LT_incl*(ISNUMBER(LT_ltv_stab)*(LT_ltv_stab&gt;=$V215)*(LT_ltv_stab&lt;$W215)),LT_units)</f>
        <v>3308</v>
      </c>
      <c r="F215" s="44" t="n">
        <f aca="false">SUMPRODUCT(LT_incl*(ISNUMBER(LT_ltv_stab)*(LT_ltv_stab&gt;=$V215)*(LT_ltv_stab&lt;$W215)),LT_beds)</f>
        <v>853</v>
      </c>
      <c r="G215" s="31" t="n">
        <f aca="false">SUMPRODUCT(LT_incl*(ISNUMBER(LT_ltv_stab)*(LT_ltv_stab&gt;=$V215)*(LT_ltv_stab&lt;$W215)),LT_upb)</f>
        <v>575610687.06</v>
      </c>
      <c r="H215" s="32" t="n">
        <f aca="false">IFERROR(G215/StratUPB,0)</f>
        <v>0.15489269604024</v>
      </c>
      <c r="I215" s="31" t="n">
        <f aca="false">IFERROR(G215/C215,0)</f>
        <v>33859452.18</v>
      </c>
      <c r="J215" s="31" t="n">
        <f aca="false">SUMPRODUCT(LT_incl*(ISNUMBER(LT_ltv_stab)*(LT_ltv_stab&gt;=$V215)*(LT_ltv_stab&lt;$W215)),LT_unfunded)</f>
        <v>6642499.79</v>
      </c>
      <c r="K215" s="31" t="n">
        <f aca="false">SUMPRODUCT(LT_incl*(ISNUMBER(LT_ltv_stab)*(LT_ltv_stab&gt;=$V215)*(LT_ltv_stab&lt;$W215)),LT_navres)</f>
        <v>-8155660.85</v>
      </c>
      <c r="L215" s="33" t="n">
        <f aca="false">IFERROR(SUMPRODUCT(LT_incl*(ISNUMBER(LT_ltv_stab)*(LT_ltv_stab&gt;=$V215)*(LT_ltv_stab&lt;$W215)),LT_upb,LT_eff)/SUMPRODUCT(LT_incl*(ISNUMBER(LT_ltv_stab)*(LT_ltv_stab&gt;=$V215)*(LT_ltv_stab&lt;$W215))*ISNUMBER(LT_eff),LT_upb),0)</f>
        <v>0.0344906843939653</v>
      </c>
      <c r="M215" s="33" t="n">
        <f aca="false">IFERROR(SUMPRODUCT(LT_incl*(ISNUMBER(LT_ltv_stab)*(LT_ltv_stab&gt;=$V215)*(LT_ltv_stab&lt;$W215)),LT_upb,LT_coupon)/SUMPRODUCT(LT_incl*(ISNUMBER(LT_ltv_stab)*(LT_ltv_stab&gt;=$V215)*(LT_ltv_stab&lt;$W215))*ISNUMBER(LT_coupon),LT_upb),0)</f>
        <v>0.0709906843939653</v>
      </c>
      <c r="N215" s="32" t="n">
        <f aca="false">IFERROR(SUMPRODUCT(LT_incl*(ISNUMBER(LT_ltv_stab)*(LT_ltv_stab&gt;=$V215)*(LT_ltv_stab&lt;$W215)),LT_upb,LT_ltv_asis)/SUMPRODUCT(LT_incl*(ISNUMBER(LT_ltv_stab)*(LT_ltv_stab&gt;=$V215)*(LT_ltv_stab&lt;$W215))*ISNUMBER(LT_ltv_asis),LT_upb),0)</f>
        <v>0.624751653013063</v>
      </c>
      <c r="O215" s="32" t="n">
        <f aca="false">IFERROR(SUMPRODUCT(LT_incl*(ISNUMBER(LT_ltv_stab)*(LT_ltv_stab&gt;=$V215)*(LT_ltv_stab&lt;$W215)),LT_upb,LT_ltv_stab)/SUMPRODUCT(LT_incl*(ISNUMBER(LT_ltv_stab)*(LT_ltv_stab&gt;=$V215)*(LT_ltv_stab&lt;$W215))*ISNUMBER(LT_ltv_stab),LT_upb),0)</f>
        <v>0.577939934992856</v>
      </c>
      <c r="P215" s="34" t="n">
        <f aca="false">IFERROR(SUMPRODUCT(LT_incl*(ISNUMBER(LT_ltv_stab)*(LT_ltv_stab&gt;=$V215)*(LT_ltv_stab&lt;$W215)),LT_upb,LT_seas)/SUMPRODUCT(LT_incl*(ISNUMBER(LT_ltv_stab)*(LT_ltv_stab&gt;=$V215)*(LT_ltv_stab&lt;$W215))*ISNUMBER(LT_seas),LT_upb),0)</f>
        <v>17.5174632533008</v>
      </c>
      <c r="Q215" s="34" t="n">
        <f aca="false">IFERROR(SUMPRODUCT(LT_incl*(ISNUMBER(LT_ltv_stab)*(LT_ltv_stab&gt;=$V215)*(LT_ltv_stab&lt;$W215)),LT_upb,LT_rti)/SUMPRODUCT(LT_incl*(ISNUMBER(LT_ltv_stab)*(LT_ltv_stab&gt;=$V215)*(LT_ltv_stab&lt;$W215))*ISNUMBER(LT_rti),LT_upb),0)</f>
        <v>11.2921284560657</v>
      </c>
      <c r="R215" s="34" t="n">
        <f aca="false">IFERROR(SUMPRODUCT(LT_incl*(ISNUMBER(LT_ltv_stab)*(LT_ltv_stab&gt;=$V215)*(LT_ltv_stab&lt;$W215)),LT_upb,LT_rte)/SUMPRODUCT(LT_incl*(ISNUMBER(LT_ltv_stab)*(LT_ltv_stab&gt;=$V215)*(LT_ltv_stab&lt;$W215))*ISNUMBER(LT_rte),LT_upb),0)</f>
        <v>31.9479050500973</v>
      </c>
      <c r="S215" s="32" t="n">
        <f aca="false">IFERROR(SUMPRODUCT(LT_incl*(ISNUMBER(LT_ltv_stab)*(LT_ltv_stab&gt;=$V215)*(LT_ltv_stab&lt;$W215)),LT_backdebt)/G215,0)</f>
        <v>0.683713355883453</v>
      </c>
      <c r="T215" s="32" t="n">
        <f aca="false">IFERROR(SUMPRODUCT(LT_incl*(ISNUMBER(LT_ltv_stab)*(LT_ltv_stab&gt;=$V215)*(LT_ltv_stab&lt;$W215)),LT_equity,LT_roe)/SUMPRODUCT(LT_incl*(ISNUMBER(LT_ltv_stab)*(LT_ltv_stab&gt;=$V215)*(LT_ltv_stab&lt;$W215))*ISNUMBER(LT_roe),LT_equity),0)</f>
        <v>0.107416139886888</v>
      </c>
      <c r="V215" s="48" t="n">
        <v>0.55</v>
      </c>
      <c r="W215" s="48" t="n">
        <v>0.6</v>
      </c>
    </row>
    <row r="216" customFormat="false" ht="15" hidden="false" customHeight="false" outlineLevel="0" collapsed="false">
      <c r="B216" s="18" t="s">
        <v>189</v>
      </c>
      <c r="C216" s="26" t="n">
        <f aca="false">SUMPRODUCT(LT_incl*(ISNUMBER(LT_ltv_stab)*(LT_ltv_stab&gt;=$V216)*(LT_ltv_stab&lt;$W216)))</f>
        <v>17</v>
      </c>
      <c r="D216" s="23" t="n">
        <f aca="false">IFERROR(C216/StratLoans,0)</f>
        <v>0.129770992366412</v>
      </c>
      <c r="E216" s="26" t="n">
        <f aca="false">SUMPRODUCT(LT_incl*(ISNUMBER(LT_ltv_stab)*(LT_ltv_stab&gt;=$V216)*(LT_ltv_stab&lt;$W216)),LT_units)</f>
        <v>3059</v>
      </c>
      <c r="F216" s="26" t="n">
        <f aca="false">SUMPRODUCT(LT_incl*(ISNUMBER(LT_ltv_stab)*(LT_ltv_stab&gt;=$V216)*(LT_ltv_stab&lt;$W216)),LT_beds)</f>
        <v>977</v>
      </c>
      <c r="G216" s="22" t="n">
        <f aca="false">SUMPRODUCT(LT_incl*(ISNUMBER(LT_ltv_stab)*(LT_ltv_stab&gt;=$V216)*(LT_ltv_stab&lt;$W216)),LT_upb)</f>
        <v>627129165.9</v>
      </c>
      <c r="H216" s="23" t="n">
        <f aca="false">IFERROR(G216/StratUPB,0)</f>
        <v>0.168755948170213</v>
      </c>
      <c r="I216" s="22" t="n">
        <f aca="false">IFERROR(G216/C216,0)</f>
        <v>36889950.9352941</v>
      </c>
      <c r="J216" s="22" t="n">
        <f aca="false">SUMPRODUCT(LT_incl*(ISNUMBER(LT_ltv_stab)*(LT_ltv_stab&gt;=$V216)*(LT_ltv_stab&lt;$W216)),LT_unfunded)</f>
        <v>1864113.02</v>
      </c>
      <c r="K216" s="22" t="n">
        <f aca="false">SUMPRODUCT(LT_incl*(ISNUMBER(LT_ltv_stab)*(LT_ltv_stab&gt;=$V216)*(LT_ltv_stab&lt;$W216)),LT_navres)</f>
        <v>-324640.896748468</v>
      </c>
      <c r="L216" s="24" t="n">
        <f aca="false">IFERROR(SUMPRODUCT(LT_incl*(ISNUMBER(LT_ltv_stab)*(LT_ltv_stab&gt;=$V216)*(LT_ltv_stab&lt;$W216)),LT_upb,LT_eff)/SUMPRODUCT(LT_incl*(ISNUMBER(LT_ltv_stab)*(LT_ltv_stab&gt;=$V216)*(LT_ltv_stab&lt;$W216))*ISNUMBER(LT_eff),LT_upb),0)</f>
        <v>0.0394105417565941</v>
      </c>
      <c r="M216" s="24" t="n">
        <f aca="false">IFERROR(SUMPRODUCT(LT_incl*(ISNUMBER(LT_ltv_stab)*(LT_ltv_stab&gt;=$V216)*(LT_ltv_stab&lt;$W216)),LT_upb,LT_coupon)/SUMPRODUCT(LT_incl*(ISNUMBER(LT_ltv_stab)*(LT_ltv_stab&gt;=$V216)*(LT_ltv_stab&lt;$W216))*ISNUMBER(LT_coupon),LT_upb),0)</f>
        <v>0.0759105417565941</v>
      </c>
      <c r="N216" s="23" t="n">
        <f aca="false">IFERROR(SUMPRODUCT(LT_incl*(ISNUMBER(LT_ltv_stab)*(LT_ltv_stab&gt;=$V216)*(LT_ltv_stab&lt;$W216)),LT_upb,LT_ltv_asis)/SUMPRODUCT(LT_incl*(ISNUMBER(LT_ltv_stab)*(LT_ltv_stab&gt;=$V216)*(LT_ltv_stab&lt;$W216))*ISNUMBER(LT_ltv_asis),LT_upb),0)</f>
        <v>0.656198510675612</v>
      </c>
      <c r="O216" s="23" t="n">
        <f aca="false">IFERROR(SUMPRODUCT(LT_incl*(ISNUMBER(LT_ltv_stab)*(LT_ltv_stab&gt;=$V216)*(LT_ltv_stab&lt;$W216)),LT_upb,LT_ltv_stab)/SUMPRODUCT(LT_incl*(ISNUMBER(LT_ltv_stab)*(LT_ltv_stab&gt;=$V216)*(LT_ltv_stab&lt;$W216))*ISNUMBER(LT_ltv_stab),LT_upb),0)</f>
        <v>0.630120505028554</v>
      </c>
      <c r="P216" s="25" t="n">
        <f aca="false">IFERROR(SUMPRODUCT(LT_incl*(ISNUMBER(LT_ltv_stab)*(LT_ltv_stab&gt;=$V216)*(LT_ltv_stab&lt;$W216)),LT_upb,LT_seas)/SUMPRODUCT(LT_incl*(ISNUMBER(LT_ltv_stab)*(LT_ltv_stab&gt;=$V216)*(LT_ltv_stab&lt;$W216))*ISNUMBER(LT_seas),LT_upb),0)</f>
        <v>28.3517277240541</v>
      </c>
      <c r="Q216" s="25" t="n">
        <f aca="false">IFERROR(SUMPRODUCT(LT_incl*(ISNUMBER(LT_ltv_stab)*(LT_ltv_stab&gt;=$V216)*(LT_ltv_stab&lt;$W216)),LT_upb,LT_rti)/SUMPRODUCT(LT_incl*(ISNUMBER(LT_ltv_stab)*(LT_ltv_stab&gt;=$V216)*(LT_ltv_stab&lt;$W216))*ISNUMBER(LT_rti),LT_upb),0)</f>
        <v>7.85779727134738</v>
      </c>
      <c r="R216" s="25" t="n">
        <f aca="false">IFERROR(SUMPRODUCT(LT_incl*(ISNUMBER(LT_ltv_stab)*(LT_ltv_stab&gt;=$V216)*(LT_ltv_stab&lt;$W216)),LT_upb,LT_rte)/SUMPRODUCT(LT_incl*(ISNUMBER(LT_ltv_stab)*(LT_ltv_stab&gt;=$V216)*(LT_ltv_stab&lt;$W216))*ISNUMBER(LT_rte),LT_upb),0)</f>
        <v>19.9323593299777</v>
      </c>
      <c r="S216" s="23" t="n">
        <f aca="false">IFERROR(SUMPRODUCT(LT_incl*(ISNUMBER(LT_ltv_stab)*(LT_ltv_stab&gt;=$V216)*(LT_ltv_stab&lt;$W216)),LT_backdebt)/G216,0)</f>
        <v>0.662777277947596</v>
      </c>
      <c r="T216" s="23" t="n">
        <f aca="false">IFERROR(SUMPRODUCT(LT_incl*(ISNUMBER(LT_ltv_stab)*(LT_ltv_stab&gt;=$V216)*(LT_ltv_stab&lt;$W216)),LT_equity,LT_roe)/SUMPRODUCT(LT_incl*(ISNUMBER(LT_ltv_stab)*(LT_ltv_stab&gt;=$V216)*(LT_ltv_stab&lt;$W216))*ISNUMBER(LT_roe),LT_equity),0)</f>
        <v>0.115934180494529</v>
      </c>
      <c r="V216" s="48" t="n">
        <v>0.6</v>
      </c>
      <c r="W216" s="48" t="n">
        <v>0.65</v>
      </c>
    </row>
    <row r="217" customFormat="false" ht="15" hidden="false" customHeight="false" outlineLevel="0" collapsed="false">
      <c r="B217" s="27" t="s">
        <v>190</v>
      </c>
      <c r="C217" s="44" t="n">
        <f aca="false">SUMPRODUCT(LT_incl*(ISNUMBER(LT_ltv_stab)*(LT_ltv_stab&gt;=$V217)*(LT_ltv_stab&lt;$W217)))</f>
        <v>29</v>
      </c>
      <c r="D217" s="32" t="n">
        <f aca="false">IFERROR(C217/StratLoans,0)</f>
        <v>0.221374045801527</v>
      </c>
      <c r="E217" s="44" t="n">
        <f aca="false">SUMPRODUCT(LT_incl*(ISNUMBER(LT_ltv_stab)*(LT_ltv_stab&gt;=$V217)*(LT_ltv_stab&lt;$W217)),LT_units)</f>
        <v>5281</v>
      </c>
      <c r="F217" s="44" t="n">
        <f aca="false">SUMPRODUCT(LT_incl*(ISNUMBER(LT_ltv_stab)*(LT_ltv_stab&gt;=$V217)*(LT_ltv_stab&lt;$W217)),LT_beds)</f>
        <v>1315</v>
      </c>
      <c r="G217" s="31" t="n">
        <f aca="false">SUMPRODUCT(LT_incl*(ISNUMBER(LT_ltv_stab)*(LT_ltv_stab&gt;=$V217)*(LT_ltv_stab&lt;$W217)),LT_upb)</f>
        <v>985100226.12</v>
      </c>
      <c r="H217" s="32" t="n">
        <f aca="false">IFERROR(G217/StratUPB,0)</f>
        <v>0.265083385913007</v>
      </c>
      <c r="I217" s="31" t="n">
        <f aca="false">IFERROR(G217/C217,0)</f>
        <v>33968973.3144828</v>
      </c>
      <c r="J217" s="31" t="n">
        <f aca="false">SUMPRODUCT(LT_incl*(ISNUMBER(LT_ltv_stab)*(LT_ltv_stab&gt;=$V217)*(LT_ltv_stab&lt;$W217)),LT_unfunded)</f>
        <v>15693865.56</v>
      </c>
      <c r="K217" s="31" t="n">
        <f aca="false">SUMPRODUCT(LT_incl*(ISNUMBER(LT_ltv_stab)*(LT_ltv_stab&gt;=$V217)*(LT_ltv_stab&lt;$W217)),LT_navres)</f>
        <v>-11850000</v>
      </c>
      <c r="L217" s="33" t="n">
        <f aca="false">IFERROR(SUMPRODUCT(LT_incl*(ISNUMBER(LT_ltv_stab)*(LT_ltv_stab&gt;=$V217)*(LT_ltv_stab&lt;$W217)),LT_upb,LT_eff)/SUMPRODUCT(LT_incl*(ISNUMBER(LT_ltv_stab)*(LT_ltv_stab&gt;=$V217)*(LT_ltv_stab&lt;$W217))*ISNUMBER(LT_eff),LT_upb),0)</f>
        <v>0.035246720381638</v>
      </c>
      <c r="M217" s="33" t="n">
        <f aca="false">IFERROR(SUMPRODUCT(LT_incl*(ISNUMBER(LT_ltv_stab)*(LT_ltv_stab&gt;=$V217)*(LT_ltv_stab&lt;$W217)),LT_upb,LT_coupon)/SUMPRODUCT(LT_incl*(ISNUMBER(LT_ltv_stab)*(LT_ltv_stab&gt;=$V217)*(LT_ltv_stab&lt;$W217))*ISNUMBER(LT_coupon),LT_upb),0)</f>
        <v>0.071746720381638</v>
      </c>
      <c r="N217" s="32" t="n">
        <f aca="false">IFERROR(SUMPRODUCT(LT_incl*(ISNUMBER(LT_ltv_stab)*(LT_ltv_stab&gt;=$V217)*(LT_ltv_stab&lt;$W217)),LT_upb,LT_ltv_asis)/SUMPRODUCT(LT_incl*(ISNUMBER(LT_ltv_stab)*(LT_ltv_stab&gt;=$V217)*(LT_ltv_stab&lt;$W217))*ISNUMBER(LT_ltv_asis),LT_upb),0)</f>
        <v>0.689448619664071</v>
      </c>
      <c r="O217" s="32" t="n">
        <f aca="false">IFERROR(SUMPRODUCT(LT_incl*(ISNUMBER(LT_ltv_stab)*(LT_ltv_stab&gt;=$V217)*(LT_ltv_stab&lt;$W217)),LT_upb,LT_ltv_stab)/SUMPRODUCT(LT_incl*(ISNUMBER(LT_ltv_stab)*(LT_ltv_stab&gt;=$V217)*(LT_ltv_stab&lt;$W217))*ISNUMBER(LT_ltv_stab),LT_upb),0)</f>
        <v>0.667904792671345</v>
      </c>
      <c r="P217" s="34" t="n">
        <f aca="false">IFERROR(SUMPRODUCT(LT_incl*(ISNUMBER(LT_ltv_stab)*(LT_ltv_stab&gt;=$V217)*(LT_ltv_stab&lt;$W217)),LT_upb,LT_seas)/SUMPRODUCT(LT_incl*(ISNUMBER(LT_ltv_stab)*(LT_ltv_stab&gt;=$V217)*(LT_ltv_stab&lt;$W217))*ISNUMBER(LT_seas),LT_upb),0)</f>
        <v>20.4360738174274</v>
      </c>
      <c r="Q217" s="34" t="n">
        <f aca="false">IFERROR(SUMPRODUCT(LT_incl*(ISNUMBER(LT_ltv_stab)*(LT_ltv_stab&gt;=$V217)*(LT_ltv_stab&lt;$W217)),LT_upb,LT_rti)/SUMPRODUCT(LT_incl*(ISNUMBER(LT_ltv_stab)*(LT_ltv_stab&gt;=$V217)*(LT_ltv_stab&lt;$W217))*ISNUMBER(LT_rti),LT_upb),0)</f>
        <v>13.3003024127819</v>
      </c>
      <c r="R217" s="34" t="n">
        <f aca="false">IFERROR(SUMPRODUCT(LT_incl*(ISNUMBER(LT_ltv_stab)*(LT_ltv_stab&gt;=$V217)*(LT_ltv_stab&lt;$W217)),LT_upb,LT_rte)/SUMPRODUCT(LT_incl*(ISNUMBER(LT_ltv_stab)*(LT_ltv_stab&gt;=$V217)*(LT_ltv_stab&lt;$W217))*ISNUMBER(LT_rte),LT_upb),0)</f>
        <v>25.0285792713132</v>
      </c>
      <c r="S217" s="32" t="n">
        <f aca="false">IFERROR(SUMPRODUCT(LT_incl*(ISNUMBER(LT_ltv_stab)*(LT_ltv_stab&gt;=$V217)*(LT_ltv_stab&lt;$W217)),LT_backdebt)/G217,0)</f>
        <v>0.688029381553964</v>
      </c>
      <c r="T217" s="32" t="n">
        <f aca="false">IFERROR(SUMPRODUCT(LT_incl*(ISNUMBER(LT_ltv_stab)*(LT_ltv_stab&gt;=$V217)*(LT_ltv_stab&lt;$W217)),LT_equity,LT_roe)/SUMPRODUCT(LT_incl*(ISNUMBER(LT_ltv_stab)*(LT_ltv_stab&gt;=$V217)*(LT_ltv_stab&lt;$W217))*ISNUMBER(LT_roe),LT_equity),0)</f>
        <v>0.109699270717119</v>
      </c>
      <c r="V217" s="48" t="n">
        <v>0.65</v>
      </c>
      <c r="W217" s="48" t="n">
        <v>0.7</v>
      </c>
    </row>
    <row r="218" customFormat="false" ht="15" hidden="false" customHeight="false" outlineLevel="0" collapsed="false">
      <c r="B218" s="18" t="s">
        <v>191</v>
      </c>
      <c r="C218" s="26" t="n">
        <f aca="false">SUMPRODUCT(LT_incl*(ISNUMBER(LT_ltv_stab)*(LT_ltv_stab&gt;=$V218)*(LT_ltv_stab&lt;$W218)))</f>
        <v>24</v>
      </c>
      <c r="D218" s="23" t="n">
        <f aca="false">IFERROR(C218/StratLoans,0)</f>
        <v>0.183206106870229</v>
      </c>
      <c r="E218" s="26" t="n">
        <f aca="false">SUMPRODUCT(LT_incl*(ISNUMBER(LT_ltv_stab)*(LT_ltv_stab&gt;=$V218)*(LT_ltv_stab&lt;$W218)),LT_units)</f>
        <v>4569</v>
      </c>
      <c r="F218" s="26" t="n">
        <f aca="false">SUMPRODUCT(LT_incl*(ISNUMBER(LT_ltv_stab)*(LT_ltv_stab&gt;=$V218)*(LT_ltv_stab&lt;$W218)),LT_beds)</f>
        <v>617</v>
      </c>
      <c r="G218" s="22" t="n">
        <f aca="false">SUMPRODUCT(LT_incl*(ISNUMBER(LT_ltv_stab)*(LT_ltv_stab&gt;=$V218)*(LT_ltv_stab&lt;$W218)),LT_upb)</f>
        <v>641293216.29</v>
      </c>
      <c r="H218" s="23" t="n">
        <f aca="false">IFERROR(G218/StratUPB,0)</f>
        <v>0.172567392260945</v>
      </c>
      <c r="I218" s="22" t="n">
        <f aca="false">IFERROR(G218/C218,0)</f>
        <v>26720550.67875</v>
      </c>
      <c r="J218" s="22" t="n">
        <f aca="false">SUMPRODUCT(LT_incl*(ISNUMBER(LT_ltv_stab)*(LT_ltv_stab&gt;=$V218)*(LT_ltv_stab&lt;$W218)),LT_unfunded)</f>
        <v>18278092.65</v>
      </c>
      <c r="K218" s="22" t="n">
        <f aca="false">SUMPRODUCT(LT_incl*(ISNUMBER(LT_ltv_stab)*(LT_ltv_stab&gt;=$V218)*(LT_ltv_stab&lt;$W218)),LT_navres)</f>
        <v>-9343916.15427752</v>
      </c>
      <c r="L218" s="24" t="n">
        <f aca="false">IFERROR(SUMPRODUCT(LT_incl*(ISNUMBER(LT_ltv_stab)*(LT_ltv_stab&gt;=$V218)*(LT_ltv_stab&lt;$W218)),LT_upb,LT_eff)/SUMPRODUCT(LT_incl*(ISNUMBER(LT_ltv_stab)*(LT_ltv_stab&gt;=$V218)*(LT_ltv_stab&lt;$W218))*ISNUMBER(LT_eff),LT_upb),0)</f>
        <v>0.0346158295341712</v>
      </c>
      <c r="M218" s="24" t="n">
        <f aca="false">IFERROR(SUMPRODUCT(LT_incl*(ISNUMBER(LT_ltv_stab)*(LT_ltv_stab&gt;=$V218)*(LT_ltv_stab&lt;$W218)),LT_upb,LT_coupon)/SUMPRODUCT(LT_incl*(ISNUMBER(LT_ltv_stab)*(LT_ltv_stab&gt;=$V218)*(LT_ltv_stab&lt;$W218))*ISNUMBER(LT_coupon),LT_upb),0)</f>
        <v>0.0711158295341712</v>
      </c>
      <c r="N218" s="23" t="n">
        <f aca="false">IFERROR(SUMPRODUCT(LT_incl*(ISNUMBER(LT_ltv_stab)*(LT_ltv_stab&gt;=$V218)*(LT_ltv_stab&lt;$W218)),LT_upb,LT_ltv_asis)/SUMPRODUCT(LT_incl*(ISNUMBER(LT_ltv_stab)*(LT_ltv_stab&gt;=$V218)*(LT_ltv_stab&lt;$W218))*ISNUMBER(LT_ltv_asis),LT_upb),0)</f>
        <v>0.773739066564224</v>
      </c>
      <c r="O218" s="23" t="n">
        <f aca="false">IFERROR(SUMPRODUCT(LT_incl*(ISNUMBER(LT_ltv_stab)*(LT_ltv_stab&gt;=$V218)*(LT_ltv_stab&lt;$W218)),LT_upb,LT_ltv_stab)/SUMPRODUCT(LT_incl*(ISNUMBER(LT_ltv_stab)*(LT_ltv_stab&gt;=$V218)*(LT_ltv_stab&lt;$W218))*ISNUMBER(LT_ltv_stab),LT_upb),0)</f>
        <v>0.725464762867532</v>
      </c>
      <c r="P218" s="25" t="n">
        <f aca="false">IFERROR(SUMPRODUCT(LT_incl*(ISNUMBER(LT_ltv_stab)*(LT_ltv_stab&gt;=$V218)*(LT_ltv_stab&lt;$W218)),LT_upb,LT_seas)/SUMPRODUCT(LT_incl*(ISNUMBER(LT_ltv_stab)*(LT_ltv_stab&gt;=$V218)*(LT_ltv_stab&lt;$W218))*ISNUMBER(LT_seas),LT_upb),0)</f>
        <v>43.2119817570448</v>
      </c>
      <c r="Q218" s="25" t="n">
        <f aca="false">IFERROR(SUMPRODUCT(LT_incl*(ISNUMBER(LT_ltv_stab)*(LT_ltv_stab&gt;=$V218)*(LT_ltv_stab&lt;$W218)),LT_upb,LT_rti)/SUMPRODUCT(LT_incl*(ISNUMBER(LT_ltv_stab)*(LT_ltv_stab&gt;=$V218)*(LT_ltv_stab&lt;$W218))*ISNUMBER(LT_rti),LT_upb),0)</f>
        <v>6.9384329990973</v>
      </c>
      <c r="R218" s="25" t="n">
        <f aca="false">IFERROR(SUMPRODUCT(LT_incl*(ISNUMBER(LT_ltv_stab)*(LT_ltv_stab&gt;=$V218)*(LT_ltv_stab&lt;$W218)),LT_upb,LT_rte)/SUMPRODUCT(LT_incl*(ISNUMBER(LT_ltv_stab)*(LT_ltv_stab&gt;=$V218)*(LT_ltv_stab&lt;$W218))*ISNUMBER(LT_rte),LT_upb),0)</f>
        <v>16.0556596172117</v>
      </c>
      <c r="S218" s="23" t="n">
        <f aca="false">IFERROR(SUMPRODUCT(LT_incl*(ISNUMBER(LT_ltv_stab)*(LT_ltv_stab&gt;=$V218)*(LT_ltv_stab&lt;$W218)),LT_backdebt)/G218,0)</f>
        <v>0.648265025372141</v>
      </c>
      <c r="T218" s="23" t="n">
        <f aca="false">IFERROR(SUMPRODUCT(LT_incl*(ISNUMBER(LT_ltv_stab)*(LT_ltv_stab&gt;=$V218)*(LT_ltv_stab&lt;$W218)),LT_equity,LT_roe)/SUMPRODUCT(LT_incl*(ISNUMBER(LT_ltv_stab)*(LT_ltv_stab&gt;=$V218)*(LT_ltv_stab&lt;$W218))*ISNUMBER(LT_roe),LT_equity),0)</f>
        <v>0.10067747941815</v>
      </c>
      <c r="V218" s="48" t="n">
        <v>0.7</v>
      </c>
      <c r="W218" s="48" t="n">
        <v>0.75</v>
      </c>
    </row>
    <row r="219" customFormat="false" ht="15" hidden="false" customHeight="false" outlineLevel="0" collapsed="false">
      <c r="B219" s="27" t="s">
        <v>192</v>
      </c>
      <c r="C219" s="44" t="n">
        <f aca="false">SUMPRODUCT(LT_incl*(ISNUMBER(LT_ltv_stab)*(LT_ltv_stab&gt;=$V219)*(LT_ltv_stab&lt;$W219)))</f>
        <v>18</v>
      </c>
      <c r="D219" s="32" t="n">
        <f aca="false">IFERROR(C219/StratLoans,0)</f>
        <v>0.137404580152672</v>
      </c>
      <c r="E219" s="44" t="n">
        <f aca="false">SUMPRODUCT(LT_incl*(ISNUMBER(LT_ltv_stab)*(LT_ltv_stab&gt;=$V219)*(LT_ltv_stab&lt;$W219)),LT_units)</f>
        <v>2154</v>
      </c>
      <c r="F219" s="44" t="n">
        <f aca="false">SUMPRODUCT(LT_incl*(ISNUMBER(LT_ltv_stab)*(LT_ltv_stab&gt;=$V219)*(LT_ltv_stab&lt;$W219)),LT_beds)</f>
        <v>2441</v>
      </c>
      <c r="G219" s="31" t="n">
        <f aca="false">SUMPRODUCT(LT_incl*(ISNUMBER(LT_ltv_stab)*(LT_ltv_stab&gt;=$V219)*(LT_ltv_stab&lt;$W219)),LT_upb)</f>
        <v>377973336.97</v>
      </c>
      <c r="H219" s="32" t="n">
        <f aca="false">IFERROR(G219/StratUPB,0)</f>
        <v>0.101709906557915</v>
      </c>
      <c r="I219" s="31" t="n">
        <f aca="false">IFERROR(G219/C219,0)</f>
        <v>20998518.7205556</v>
      </c>
      <c r="J219" s="31" t="n">
        <f aca="false">SUMPRODUCT(LT_incl*(ISNUMBER(LT_ltv_stab)*(LT_ltv_stab&gt;=$V219)*(LT_ltv_stab&lt;$W219)),LT_unfunded)</f>
        <v>9018084.46</v>
      </c>
      <c r="K219" s="31" t="n">
        <f aca="false">SUMPRODUCT(LT_incl*(ISNUMBER(LT_ltv_stab)*(LT_ltv_stab&gt;=$V219)*(LT_ltv_stab&lt;$W219)),LT_navres)</f>
        <v>-3957383.0673303</v>
      </c>
      <c r="L219" s="33" t="n">
        <f aca="false">IFERROR(SUMPRODUCT(LT_incl*(ISNUMBER(LT_ltv_stab)*(LT_ltv_stab&gt;=$V219)*(LT_ltv_stab&lt;$W219)),LT_upb,LT_eff)/SUMPRODUCT(LT_incl*(ISNUMBER(LT_ltv_stab)*(LT_ltv_stab&gt;=$V219)*(LT_ltv_stab&lt;$W219))*ISNUMBER(LT_eff),LT_upb),0)</f>
        <v>0.0492987444272398</v>
      </c>
      <c r="M219" s="33" t="n">
        <f aca="false">IFERROR(SUMPRODUCT(LT_incl*(ISNUMBER(LT_ltv_stab)*(LT_ltv_stab&gt;=$V219)*(LT_ltv_stab&lt;$W219)),LT_upb,LT_coupon)/SUMPRODUCT(LT_incl*(ISNUMBER(LT_ltv_stab)*(LT_ltv_stab&gt;=$V219)*(LT_ltv_stab&lt;$W219))*ISNUMBER(LT_coupon),LT_upb),0)</f>
        <v>0.0857987444272397</v>
      </c>
      <c r="N219" s="32" t="n">
        <f aca="false">IFERROR(SUMPRODUCT(LT_incl*(ISNUMBER(LT_ltv_stab)*(LT_ltv_stab&gt;=$V219)*(LT_ltv_stab&lt;$W219)),LT_upb,LT_ltv_asis)/SUMPRODUCT(LT_incl*(ISNUMBER(LT_ltv_stab)*(LT_ltv_stab&gt;=$V219)*(LT_ltv_stab&lt;$W219))*ISNUMBER(LT_ltv_asis),LT_upb),0)</f>
        <v>0.785481990017303</v>
      </c>
      <c r="O219" s="32" t="n">
        <f aca="false">IFERROR(SUMPRODUCT(LT_incl*(ISNUMBER(LT_ltv_stab)*(LT_ltv_stab&gt;=$V219)*(LT_ltv_stab&lt;$W219)),LT_upb,LT_ltv_stab)/SUMPRODUCT(LT_incl*(ISNUMBER(LT_ltv_stab)*(LT_ltv_stab&gt;=$V219)*(LT_ltv_stab&lt;$W219))*ISNUMBER(LT_ltv_stab),LT_upb),0)</f>
        <v>0.773339074085881</v>
      </c>
      <c r="P219" s="34" t="n">
        <f aca="false">IFERROR(SUMPRODUCT(LT_incl*(ISNUMBER(LT_ltv_stab)*(LT_ltv_stab&gt;=$V219)*(LT_ltv_stab&lt;$W219)),LT_upb,LT_seas)/SUMPRODUCT(LT_incl*(ISNUMBER(LT_ltv_stab)*(LT_ltv_stab&gt;=$V219)*(LT_ltv_stab&lt;$W219))*ISNUMBER(LT_seas),LT_upb),0)</f>
        <v>25.7590270379009</v>
      </c>
      <c r="Q219" s="34" t="n">
        <f aca="false">IFERROR(SUMPRODUCT(LT_incl*(ISNUMBER(LT_ltv_stab)*(LT_ltv_stab&gt;=$V219)*(LT_ltv_stab&lt;$W219)),LT_upb,LT_rti)/SUMPRODUCT(LT_incl*(ISNUMBER(LT_ltv_stab)*(LT_ltv_stab&gt;=$V219)*(LT_ltv_stab&lt;$W219))*ISNUMBER(LT_rti),LT_upb),0)</f>
        <v>10.9689616252059</v>
      </c>
      <c r="R219" s="34" t="n">
        <f aca="false">IFERROR(SUMPRODUCT(LT_incl*(ISNUMBER(LT_ltv_stab)*(LT_ltv_stab&gt;=$V219)*(LT_ltv_stab&lt;$W219)),LT_upb,LT_rte)/SUMPRODUCT(LT_incl*(ISNUMBER(LT_ltv_stab)*(LT_ltv_stab&gt;=$V219)*(LT_ltv_stab&lt;$W219))*ISNUMBER(LT_rte),LT_upb),0)</f>
        <v>18.0481629570307</v>
      </c>
      <c r="S219" s="32" t="n">
        <f aca="false">IFERROR(SUMPRODUCT(LT_incl*(ISNUMBER(LT_ltv_stab)*(LT_ltv_stab&gt;=$V219)*(LT_ltv_stab&lt;$W219)),LT_backdebt)/G219,0)</f>
        <v>0.47388600816815</v>
      </c>
      <c r="T219" s="32" t="n">
        <f aca="false">IFERROR(SUMPRODUCT(LT_incl*(ISNUMBER(LT_ltv_stab)*(LT_ltv_stab&gt;=$V219)*(LT_ltv_stab&lt;$W219)),LT_equity,LT_roe)/SUMPRODUCT(LT_incl*(ISNUMBER(LT_ltv_stab)*(LT_ltv_stab&gt;=$V219)*(LT_ltv_stab&lt;$W219))*ISNUMBER(LT_roe),LT_equity),0)</f>
        <v>0.112141421507545</v>
      </c>
      <c r="V219" s="48" t="n">
        <v>0.75</v>
      </c>
      <c r="W219" s="48" t="n">
        <v>0.8</v>
      </c>
    </row>
    <row r="220" customFormat="false" ht="15" hidden="false" customHeight="false" outlineLevel="0" collapsed="false">
      <c r="B220" s="18" t="s">
        <v>193</v>
      </c>
      <c r="C220" s="26" t="n">
        <f aca="false">SUMPRODUCT(LT_incl*(ISNUMBER(LT_ltv_stab)*(LT_ltv_stab&gt;=$V220)*(LT_ltv_stab&lt;$W220)))</f>
        <v>5</v>
      </c>
      <c r="D220" s="23" t="n">
        <f aca="false">IFERROR(C220/StratLoans,0)</f>
        <v>0.0381679389312977</v>
      </c>
      <c r="E220" s="26" t="n">
        <f aca="false">SUMPRODUCT(LT_incl*(ISNUMBER(LT_ltv_stab)*(LT_ltv_stab&gt;=$V220)*(LT_ltv_stab&lt;$W220)),LT_units)</f>
        <v>1490</v>
      </c>
      <c r="F220" s="26" t="n">
        <f aca="false">SUMPRODUCT(LT_incl*(ISNUMBER(LT_ltv_stab)*(LT_ltv_stab&gt;=$V220)*(LT_ltv_stab&lt;$W220)),LT_beds)</f>
        <v>0</v>
      </c>
      <c r="G220" s="22" t="n">
        <f aca="false">SUMPRODUCT(LT_incl*(ISNUMBER(LT_ltv_stab)*(LT_ltv_stab&gt;=$V220)*(LT_ltv_stab&lt;$W220)),LT_upb)</f>
        <v>47552183.78</v>
      </c>
      <c r="H220" s="23" t="n">
        <f aca="false">IFERROR(G220/StratUPB,0)</f>
        <v>0.0127959506553036</v>
      </c>
      <c r="I220" s="22" t="n">
        <f aca="false">IFERROR(G220/C220,0)</f>
        <v>9510436.756</v>
      </c>
      <c r="J220" s="22" t="n">
        <f aca="false">SUMPRODUCT(LT_incl*(ISNUMBER(LT_ltv_stab)*(LT_ltv_stab&gt;=$V220)*(LT_ltv_stab&lt;$W220)),LT_unfunded)</f>
        <v>3000000</v>
      </c>
      <c r="K220" s="22" t="n">
        <f aca="false">SUMPRODUCT(LT_incl*(ISNUMBER(LT_ltv_stab)*(LT_ltv_stab&gt;=$V220)*(LT_ltv_stab&lt;$W220)),LT_navres)</f>
        <v>0</v>
      </c>
      <c r="L220" s="24" t="n">
        <f aca="false">IFERROR(SUMPRODUCT(LT_incl*(ISNUMBER(LT_ltv_stab)*(LT_ltv_stab&gt;=$V220)*(LT_ltv_stab&lt;$W220)),LT_upb,LT_eff)/SUMPRODUCT(LT_incl*(ISNUMBER(LT_ltv_stab)*(LT_ltv_stab&gt;=$V220)*(LT_ltv_stab&lt;$W220))*ISNUMBER(LT_eff),LT_upb),0)</f>
        <v>0.0437821198561998</v>
      </c>
      <c r="M220" s="24" t="n">
        <f aca="false">IFERROR(SUMPRODUCT(LT_incl*(ISNUMBER(LT_ltv_stab)*(LT_ltv_stab&gt;=$V220)*(LT_ltv_stab&lt;$W220)),LT_upb,LT_coupon)/SUMPRODUCT(LT_incl*(ISNUMBER(LT_ltv_stab)*(LT_ltv_stab&gt;=$V220)*(LT_ltv_stab&lt;$W220))*ISNUMBER(LT_coupon),LT_upb),0)</f>
        <v>0.0802821198561998</v>
      </c>
      <c r="N220" s="23" t="n">
        <f aca="false">IFERROR(SUMPRODUCT(LT_incl*(ISNUMBER(LT_ltv_stab)*(LT_ltv_stab&gt;=$V220)*(LT_ltv_stab&lt;$W220)),LT_upb,LT_ltv_asis)/SUMPRODUCT(LT_incl*(ISNUMBER(LT_ltv_stab)*(LT_ltv_stab&gt;=$V220)*(LT_ltv_stab&lt;$W220))*ISNUMBER(LT_ltv_asis),LT_upb),0)</f>
        <v>0.760829589032348</v>
      </c>
      <c r="O220" s="23" t="n">
        <f aca="false">IFERROR(SUMPRODUCT(LT_incl*(ISNUMBER(LT_ltv_stab)*(LT_ltv_stab&gt;=$V220)*(LT_ltv_stab&lt;$W220)),LT_upb,LT_ltv_stab)/SUMPRODUCT(LT_incl*(ISNUMBER(LT_ltv_stab)*(LT_ltv_stab&gt;=$V220)*(LT_ltv_stab&lt;$W220))*ISNUMBER(LT_ltv_stab),LT_upb),0)</f>
        <v>0.813244387209243</v>
      </c>
      <c r="P220" s="25" t="n">
        <f aca="false">IFERROR(SUMPRODUCT(LT_incl*(ISNUMBER(LT_ltv_stab)*(LT_ltv_stab&gt;=$V220)*(LT_ltv_stab&lt;$W220)),LT_upb,LT_seas)/SUMPRODUCT(LT_incl*(ISNUMBER(LT_ltv_stab)*(LT_ltv_stab&gt;=$V220)*(LT_ltv_stab&lt;$W220))*ISNUMBER(LT_seas),LT_upb),0)</f>
        <v>17.2564342103117</v>
      </c>
      <c r="Q220" s="25" t="n">
        <f aca="false">IFERROR(SUMPRODUCT(LT_incl*(ISNUMBER(LT_ltv_stab)*(LT_ltv_stab&gt;=$V220)*(LT_ltv_stab&lt;$W220)),LT_upb,LT_rti)/SUMPRODUCT(LT_incl*(ISNUMBER(LT_ltv_stab)*(LT_ltv_stab&gt;=$V220)*(LT_ltv_stab&lt;$W220))*ISNUMBER(LT_rti),LT_upb),0)</f>
        <v>32.6990340196805</v>
      </c>
      <c r="R220" s="25" t="n">
        <f aca="false">IFERROR(SUMPRODUCT(LT_incl*(ISNUMBER(LT_ltv_stab)*(LT_ltv_stab&gt;=$V220)*(LT_ltv_stab&lt;$W220)),LT_upb,LT_rte)/SUMPRODUCT(LT_incl*(ISNUMBER(LT_ltv_stab)*(LT_ltv_stab&gt;=$V220)*(LT_ltv_stab&lt;$W220))*ISNUMBER(LT_rte),LT_upb),0)</f>
        <v>32.6990340196805</v>
      </c>
      <c r="S220" s="23" t="n">
        <f aca="false">IFERROR(SUMPRODUCT(LT_incl*(ISNUMBER(LT_ltv_stab)*(LT_ltv_stab&gt;=$V220)*(LT_ltv_stab&lt;$W220)),LT_backdebt)/G220,0)</f>
        <v>0.515223446169143</v>
      </c>
      <c r="T220" s="23" t="n">
        <f aca="false">IFERROR(SUMPRODUCT(LT_incl*(ISNUMBER(LT_ltv_stab)*(LT_ltv_stab&gt;=$V220)*(LT_ltv_stab&lt;$W220)),LT_equity,LT_roe)/SUMPRODUCT(LT_incl*(ISNUMBER(LT_ltv_stab)*(LT_ltv_stab&gt;=$V220)*(LT_ltv_stab&lt;$W220))*ISNUMBER(LT_roe),LT_equity),0)</f>
        <v>0.111403333504484</v>
      </c>
      <c r="V220" s="48" t="n">
        <v>0.8</v>
      </c>
      <c r="W220" s="48" t="n">
        <v>0.85</v>
      </c>
    </row>
    <row r="221" customFormat="false" ht="15" hidden="false" customHeight="false" outlineLevel="0" collapsed="false">
      <c r="B221" s="27" t="s">
        <v>194</v>
      </c>
      <c r="C221" s="44" t="n">
        <f aca="false">SUMPRODUCT(LT_incl*(ISNUMBER(LT_ltv_stab)*(LT_ltv_stab&gt;=$V221)*(LT_ltv_stab&lt;$W221)))</f>
        <v>3</v>
      </c>
      <c r="D221" s="32" t="n">
        <f aca="false">IFERROR(C221/StratLoans,0)</f>
        <v>0.0229007633587786</v>
      </c>
      <c r="E221" s="44" t="n">
        <f aca="false">SUMPRODUCT(LT_incl*(ISNUMBER(LT_ltv_stab)*(LT_ltv_stab&gt;=$V221)*(LT_ltv_stab&lt;$W221)),LT_units)</f>
        <v>548</v>
      </c>
      <c r="F221" s="44" t="n">
        <f aca="false">SUMPRODUCT(LT_incl*(ISNUMBER(LT_ltv_stab)*(LT_ltv_stab&gt;=$V221)*(LT_ltv_stab&lt;$W221)),LT_beds)</f>
        <v>0</v>
      </c>
      <c r="G221" s="31" t="n">
        <f aca="false">SUMPRODUCT(LT_incl*(ISNUMBER(LT_ltv_stab)*(LT_ltv_stab&gt;=$V221)*(LT_ltv_stab&lt;$W221)),LT_upb)</f>
        <v>77721535.08</v>
      </c>
      <c r="H221" s="32" t="n">
        <f aca="false">IFERROR(G221/StratUPB,0)</f>
        <v>0.0209143061092479</v>
      </c>
      <c r="I221" s="31" t="n">
        <f aca="false">IFERROR(G221/C221,0)</f>
        <v>25907178.36</v>
      </c>
      <c r="J221" s="31" t="n">
        <f aca="false">SUMPRODUCT(LT_incl*(ISNUMBER(LT_ltv_stab)*(LT_ltv_stab&gt;=$V221)*(LT_ltv_stab&lt;$W221)),LT_unfunded)</f>
        <v>615219.34</v>
      </c>
      <c r="K221" s="31" t="n">
        <f aca="false">SUMPRODUCT(LT_incl*(ISNUMBER(LT_ltv_stab)*(LT_ltv_stab&gt;=$V221)*(LT_ltv_stab&lt;$W221)),LT_navres)</f>
        <v>-2529654.06269062</v>
      </c>
      <c r="L221" s="33" t="n">
        <f aca="false">IFERROR(SUMPRODUCT(LT_incl*(ISNUMBER(LT_ltv_stab)*(LT_ltv_stab&gt;=$V221)*(LT_ltv_stab&lt;$W221)),LT_upb,LT_eff)/SUMPRODUCT(LT_incl*(ISNUMBER(LT_ltv_stab)*(LT_ltv_stab&gt;=$V221)*(LT_ltv_stab&lt;$W221))*ISNUMBER(LT_eff),LT_upb),0)</f>
        <v>0.0241052627726869</v>
      </c>
      <c r="M221" s="33" t="n">
        <f aca="false">IFERROR(SUMPRODUCT(LT_incl*(ISNUMBER(LT_ltv_stab)*(LT_ltv_stab&gt;=$V221)*(LT_ltv_stab&lt;$W221)),LT_upb,LT_coupon)/SUMPRODUCT(LT_incl*(ISNUMBER(LT_ltv_stab)*(LT_ltv_stab&gt;=$V221)*(LT_ltv_stab&lt;$W221))*ISNUMBER(LT_coupon),LT_upb),0)</f>
        <v>0.0606052627726869</v>
      </c>
      <c r="N221" s="32" t="n">
        <f aca="false">IFERROR(SUMPRODUCT(LT_incl*(ISNUMBER(LT_ltv_stab)*(LT_ltv_stab&gt;=$V221)*(LT_ltv_stab&lt;$W221)),LT_upb,LT_ltv_asis)/SUMPRODUCT(LT_incl*(ISNUMBER(LT_ltv_stab)*(LT_ltv_stab&gt;=$V221)*(LT_ltv_stab&lt;$W221))*ISNUMBER(LT_ltv_asis),LT_upb),0)</f>
        <v>0.987499446973964</v>
      </c>
      <c r="O221" s="32" t="n">
        <f aca="false">IFERROR(SUMPRODUCT(LT_incl*(ISNUMBER(LT_ltv_stab)*(LT_ltv_stab&gt;=$V221)*(LT_ltv_stab&lt;$W221)),LT_upb,LT_ltv_stab)/SUMPRODUCT(LT_incl*(ISNUMBER(LT_ltv_stab)*(LT_ltv_stab&gt;=$V221)*(LT_ltv_stab&lt;$W221))*ISNUMBER(LT_ltv_stab),LT_upb),0)</f>
        <v>0.906004413643967</v>
      </c>
      <c r="P221" s="34" t="n">
        <f aca="false">IFERROR(SUMPRODUCT(LT_incl*(ISNUMBER(LT_ltv_stab)*(LT_ltv_stab&gt;=$V221)*(LT_ltv_stab&lt;$W221)),LT_upb,LT_seas)/SUMPRODUCT(LT_incl*(ISNUMBER(LT_ltv_stab)*(LT_ltv_stab&gt;=$V221)*(LT_ltv_stab&lt;$W221))*ISNUMBER(LT_seas),LT_upb),0)</f>
        <v>11.325670429281</v>
      </c>
      <c r="Q221" s="34" t="n">
        <f aca="false">IFERROR(SUMPRODUCT(LT_incl*(ISNUMBER(LT_ltv_stab)*(LT_ltv_stab&gt;=$V221)*(LT_ltv_stab&lt;$W221)),LT_upb,LT_rti)/SUMPRODUCT(LT_incl*(ISNUMBER(LT_ltv_stab)*(LT_ltv_stab&gt;=$V221)*(LT_ltv_stab&lt;$W221))*ISNUMBER(LT_rti),LT_upb),0)</f>
        <v>24.8580942049683</v>
      </c>
      <c r="R221" s="34" t="n">
        <f aca="false">IFERROR(SUMPRODUCT(LT_incl*(ISNUMBER(LT_ltv_stab)*(LT_ltv_stab&gt;=$V221)*(LT_ltv_stab&lt;$W221)),LT_upb,LT_rte)/SUMPRODUCT(LT_incl*(ISNUMBER(LT_ltv_stab)*(LT_ltv_stab&gt;=$V221)*(LT_ltv_stab&lt;$W221))*ISNUMBER(LT_rte),LT_upb),0)</f>
        <v>48.8416671002455</v>
      </c>
      <c r="S221" s="32" t="n">
        <f aca="false">IFERROR(SUMPRODUCT(LT_incl*(ISNUMBER(LT_ltv_stab)*(LT_ltv_stab&gt;=$V221)*(LT_ltv_stab&lt;$W221)),LT_backdebt)/G221,0)</f>
        <v>0</v>
      </c>
      <c r="T221" s="32" t="n">
        <f aca="false">IFERROR(SUMPRODUCT(LT_incl*(ISNUMBER(LT_ltv_stab)*(LT_ltv_stab&gt;=$V221)*(LT_ltv_stab&lt;$W221)),LT_equity,LT_roe)/SUMPRODUCT(LT_incl*(ISNUMBER(LT_ltv_stab)*(LT_ltv_stab&gt;=$V221)*(LT_ltv_stab&lt;$W221))*ISNUMBER(LT_roe),LT_equity),0)</f>
        <v>0.0606052627726869</v>
      </c>
      <c r="V221" s="48" t="n">
        <v>0.85</v>
      </c>
      <c r="W221" s="48" t="n">
        <v>1000000000000</v>
      </c>
    </row>
    <row r="222" customFormat="false" ht="15" hidden="false" customHeight="false" outlineLevel="0" collapsed="false">
      <c r="B222" s="18" t="s">
        <v>195</v>
      </c>
      <c r="C222" s="26" t="n">
        <f aca="false">SUMPRODUCT(LT_incl*(1-ISNUMBER(LT_ltv_stab)))</f>
        <v>1</v>
      </c>
      <c r="D222" s="23" t="n">
        <f aca="false">IFERROR(C222/StratLoans,0)</f>
        <v>0.00763358778625954</v>
      </c>
      <c r="E222" s="26" t="n">
        <f aca="false">SUMPRODUCT(LT_incl*(1-ISNUMBER(LT_ltv_stab)),LT_units)</f>
        <v>0</v>
      </c>
      <c r="F222" s="26" t="n">
        <f aca="false">SUMPRODUCT(LT_incl*(1-ISNUMBER(LT_ltv_stab)),LT_beds)</f>
        <v>536</v>
      </c>
      <c r="G222" s="22" t="n">
        <f aca="false">SUMPRODUCT(LT_incl*(1-ISNUMBER(LT_ltv_stab)),LT_upb)</f>
        <v>7500000</v>
      </c>
      <c r="H222" s="23" t="n">
        <f aca="false">IFERROR(G222/StratUPB,0)</f>
        <v>0.00201819605927628</v>
      </c>
      <c r="I222" s="22" t="n">
        <f aca="false">IFERROR(G222/C222,0)</f>
        <v>7500000</v>
      </c>
      <c r="J222" s="22" t="n">
        <f aca="false">SUMPRODUCT(LT_incl*(1-ISNUMBER(LT_ltv_stab)),LT_unfunded)</f>
        <v>0</v>
      </c>
      <c r="K222" s="22" t="n">
        <f aca="false">SUMPRODUCT(LT_incl*(1-ISNUMBER(LT_ltv_stab)),LT_navres)</f>
        <v>400000</v>
      </c>
      <c r="L222" s="24" t="n">
        <f aca="false">IFERROR(SUMPRODUCT(LT_incl*(1-ISNUMBER(LT_ltv_stab)),LT_upb,LT_eff)/SUMPRODUCT(LT_incl*(1-ISNUMBER(LT_ltv_stab))*ISNUMBER(LT_eff),LT_upb),0)</f>
        <v>0.09</v>
      </c>
      <c r="M222" s="24" t="n">
        <f aca="false">IFERROR(SUMPRODUCT(LT_incl*(1-ISNUMBER(LT_ltv_stab)),LT_upb,LT_coupon)/SUMPRODUCT(LT_incl*(1-ISNUMBER(LT_ltv_stab))*ISNUMBER(LT_coupon),LT_upb),0)</f>
        <v>0.1265</v>
      </c>
      <c r="N222" s="23" t="n">
        <f aca="false">IFERROR(SUMPRODUCT(LT_incl*(1-ISNUMBER(LT_ltv_stab)),LT_upb,LT_ltv_asis)/SUMPRODUCT(LT_incl*(1-ISNUMBER(LT_ltv_stab))*ISNUMBER(LT_ltv_asis),LT_upb),0)</f>
        <v>0</v>
      </c>
      <c r="O222" s="23" t="n">
        <f aca="false">IFERROR(SUMPRODUCT(LT_incl*(1-ISNUMBER(LT_ltv_stab)),LT_upb,LT_ltv_stab)/SUMPRODUCT(LT_incl*(1-ISNUMBER(LT_ltv_stab))*ISNUMBER(LT_ltv_stab),LT_upb),0)</f>
        <v>0</v>
      </c>
      <c r="P222" s="25" t="n">
        <f aca="false">IFERROR(SUMPRODUCT(LT_incl*(1-ISNUMBER(LT_ltv_stab)),LT_upb,LT_seas)/SUMPRODUCT(LT_incl*(1-ISNUMBER(LT_ltv_stab))*ISNUMBER(LT_seas),LT_upb),0)</f>
        <v>80</v>
      </c>
      <c r="Q222" s="25" t="n">
        <f aca="false">IFERROR(SUMPRODUCT(LT_incl*(1-ISNUMBER(LT_ltv_stab)),LT_upb,LT_rti)/SUMPRODUCT(LT_incl*(1-ISNUMBER(LT_ltv_stab))*ISNUMBER(LT_rti),LT_upb),0)</f>
        <v>0</v>
      </c>
      <c r="R222" s="25" t="n">
        <f aca="false">IFERROR(SUMPRODUCT(LT_incl*(1-ISNUMBER(LT_ltv_stab)),LT_upb,LT_rte)/SUMPRODUCT(LT_incl*(1-ISNUMBER(LT_ltv_stab))*ISNUMBER(LT_rte),LT_upb),0)</f>
        <v>0</v>
      </c>
      <c r="S222" s="23" t="n">
        <f aca="false">IFERROR(SUMPRODUCT(LT_incl*(1-ISNUMBER(LT_ltv_stab)),LT_backdebt)/G222,0)</f>
        <v>0</v>
      </c>
      <c r="T222" s="23" t="n">
        <f aca="false">IFERROR(SUMPRODUCT(LT_incl*(1-ISNUMBER(LT_ltv_stab)),LT_equity,LT_roe)/SUMPRODUCT(LT_incl*(1-ISNUMBER(LT_ltv_stab))*ISNUMBER(LT_roe),LT_equity),0)</f>
        <v>0.1265</v>
      </c>
    </row>
    <row r="223" customFormat="false" ht="15" hidden="false" customHeight="false" outlineLevel="0" collapsed="false">
      <c r="B223" s="35" t="s">
        <v>76</v>
      </c>
      <c r="C223" s="45" t="n">
        <f aca="false">SUMPRODUCT(LT_incl*(1))</f>
        <v>131</v>
      </c>
      <c r="D223" s="38" t="n">
        <f aca="false">IFERROR(C223/StratLoans,0)</f>
        <v>1</v>
      </c>
      <c r="E223" s="45" t="n">
        <f aca="false">SUMPRODUCT(LT_incl*(1),LT_units)</f>
        <v>22360</v>
      </c>
      <c r="F223" s="45" t="n">
        <f aca="false">SUMPRODUCT(LT_incl*(1),LT_beds)</f>
        <v>8726</v>
      </c>
      <c r="G223" s="37" t="n">
        <f aca="false">SUMPRODUCT(LT_incl*(1),LT_upb)</f>
        <v>3716189993.3</v>
      </c>
      <c r="H223" s="38" t="n">
        <f aca="false">IFERROR(G223/StratUPB,0)</f>
        <v>1</v>
      </c>
      <c r="I223" s="37" t="n">
        <f aca="false">IFERROR(G223/C223,0)</f>
        <v>28367862.5442748</v>
      </c>
      <c r="J223" s="37" t="n">
        <f aca="false">SUMPRODUCT(LT_incl*(1),LT_unfunded)</f>
        <v>70425498.27</v>
      </c>
      <c r="K223" s="37" t="n">
        <f aca="false">SUMPRODUCT(LT_incl*(1),LT_navres)</f>
        <v>-35761255.0310469</v>
      </c>
      <c r="L223" s="39" t="n">
        <f aca="false">IFERROR(SUMPRODUCT(LT_incl*(1),LT_upb,LT_eff)/SUMPRODUCT(LT_incl*(1)*ISNUMBER(LT_eff),LT_upb),0)</f>
        <v>0.0384104790702225</v>
      </c>
      <c r="M223" s="39" t="n">
        <f aca="false">IFERROR(SUMPRODUCT(LT_incl*(1),LT_upb,LT_coupon)/SUMPRODUCT(LT_incl*(1)*ISNUMBER(LT_coupon),LT_upb),0)</f>
        <v>0.0749104790702225</v>
      </c>
      <c r="N223" s="38" t="n">
        <f aca="false">IFERROR(SUMPRODUCT(LT_incl*(1),LT_upb,LT_ltv_asis)/SUMPRODUCT(LT_incl*(1)*ISNUMBER(LT_ltv_asis),LT_upb),0)</f>
        <v>0.685976245136614</v>
      </c>
      <c r="O223" s="38" t="n">
        <f aca="false">IFERROR(SUMPRODUCT(LT_incl*(1),LT_upb,LT_ltv_stab)/SUMPRODUCT(LT_incl*(1)*ISNUMBER(LT_ltv_stab),LT_upb),0)</f>
        <v>0.658970555756018</v>
      </c>
      <c r="P223" s="40" t="n">
        <f aca="false">IFERROR(SUMPRODUCT(LT_incl*(1),LT_upb,LT_seas)/SUMPRODUCT(LT_incl*(1)*ISNUMBER(LT_seas),LT_upb),0)</f>
        <v>26.0197171750702</v>
      </c>
      <c r="Q223" s="40" t="n">
        <f aca="false">IFERROR(SUMPRODUCT(LT_incl*(1),LT_upb,LT_rti)/SUMPRODUCT(LT_incl*(1)*ISNUMBER(LT_rti),LT_upb),0)</f>
        <v>10.7164396387939</v>
      </c>
      <c r="R223" s="40" t="n">
        <f aca="false">IFERROR(SUMPRODUCT(LT_incl*(1),LT_upb,LT_rte)/SUMPRODUCT(LT_incl*(1)*ISNUMBER(LT_rte),LT_upb),0)</f>
        <v>23.051497716819</v>
      </c>
      <c r="S223" s="38" t="n">
        <f aca="false">IFERROR(SUMPRODUCT(LT_incl*(1),LT_backdebt)/G223,0)</f>
        <v>0.628005362553862</v>
      </c>
      <c r="T223" s="38" t="n">
        <f aca="false">IFERROR(SUMPRODUCT(LT_incl*(1),LT_equity,LT_roe)/SUMPRODUCT(LT_incl*(1)*ISNUMBER(LT_roe),LT_equity),0)</f>
        <v>0.107961987212177</v>
      </c>
    </row>
    <row r="225" customFormat="false" ht="15" hidden="false" customHeight="false" outlineLevel="0" collapsed="false">
      <c r="B225" s="3" t="s">
        <v>197</v>
      </c>
      <c r="C225" s="4"/>
      <c r="D225" s="4"/>
      <c r="E225" s="4"/>
      <c r="F225" s="4"/>
      <c r="G225" s="4"/>
      <c r="H225" s="4"/>
      <c r="I225" s="4"/>
      <c r="J225" s="4"/>
      <c r="K225" s="4"/>
      <c r="L225" s="4"/>
      <c r="M225" s="4"/>
      <c r="N225" s="4"/>
      <c r="O225" s="4"/>
      <c r="P225" s="4"/>
      <c r="Q225" s="4"/>
      <c r="R225" s="4"/>
      <c r="S225" s="4"/>
      <c r="T225" s="4"/>
    </row>
    <row r="226" customFormat="false" ht="39.75" hidden="false" customHeight="true" outlineLevel="0" collapsed="false">
      <c r="B226" s="16" t="s">
        <v>147</v>
      </c>
      <c r="C226" s="17" t="s">
        <v>13</v>
      </c>
      <c r="D226" s="17" t="s">
        <v>64</v>
      </c>
      <c r="E226" s="17" t="s">
        <v>65</v>
      </c>
      <c r="F226" s="17" t="s">
        <v>66</v>
      </c>
      <c r="G226" s="17" t="s">
        <v>16</v>
      </c>
      <c r="H226" s="17" t="s">
        <v>46</v>
      </c>
      <c r="I226" s="17" t="s">
        <v>19</v>
      </c>
      <c r="J226" s="17" t="s">
        <v>28</v>
      </c>
      <c r="K226" s="17" t="s">
        <v>31</v>
      </c>
      <c r="L226" s="17" t="s">
        <v>7</v>
      </c>
      <c r="M226" s="17" t="s">
        <v>11</v>
      </c>
      <c r="N226" s="17" t="s">
        <v>23</v>
      </c>
      <c r="O226" s="17" t="s">
        <v>67</v>
      </c>
      <c r="P226" s="17" t="s">
        <v>5</v>
      </c>
      <c r="Q226" s="17" t="s">
        <v>68</v>
      </c>
      <c r="R226" s="17" t="s">
        <v>69</v>
      </c>
      <c r="S226" s="17" t="s">
        <v>56</v>
      </c>
      <c r="T226" s="17" t="s">
        <v>70</v>
      </c>
      <c r="V226" s="17" t="s">
        <v>148</v>
      </c>
      <c r="W226" s="17" t="s">
        <v>149</v>
      </c>
    </row>
    <row r="227" customFormat="false" ht="15" hidden="false" customHeight="false" outlineLevel="0" collapsed="false">
      <c r="B227" s="18" t="s">
        <v>118</v>
      </c>
      <c r="C227" s="26" t="n">
        <f aca="false">SUMPRODUCT(LT_incl*(ISNUMBER(LT_backlev)*(LT_backlev&gt;=$V227)*(LT_backlev&lt;$W227)))</f>
        <v>36</v>
      </c>
      <c r="D227" s="23" t="n">
        <f aca="false">IFERROR(C227/StratLoans,0)</f>
        <v>0.274809160305344</v>
      </c>
      <c r="E227" s="26" t="n">
        <f aca="false">SUMPRODUCT(LT_incl*(ISNUMBER(LT_backlev)*(LT_backlev&gt;=$V227)*(LT_backlev&lt;$W227)),LT_units)</f>
        <v>6978</v>
      </c>
      <c r="F227" s="26" t="n">
        <f aca="false">SUMPRODUCT(LT_incl*(ISNUMBER(LT_backlev)*(LT_backlev&gt;=$V227)*(LT_backlev&lt;$W227)),LT_beds)</f>
        <v>2083</v>
      </c>
      <c r="G227" s="22" t="n">
        <f aca="false">SUMPRODUCT(LT_incl*(ISNUMBER(LT_backlev)*(LT_backlev&gt;=$V227)*(LT_backlev&lt;$W227)),LT_upb)</f>
        <v>625456847.6</v>
      </c>
      <c r="H227" s="23" t="n">
        <f aca="false">IFERROR(G227/StratUPB,0)</f>
        <v>0.168305939343158</v>
      </c>
      <c r="I227" s="22" t="n">
        <f aca="false">IFERROR(G227/C227,0)</f>
        <v>17373801.3222222</v>
      </c>
      <c r="J227" s="22" t="n">
        <f aca="false">SUMPRODUCT(LT_incl*(ISNUMBER(LT_backlev)*(LT_backlev&gt;=$V227)*(LT_backlev&lt;$W227)),LT_unfunded)</f>
        <v>16017184.96</v>
      </c>
      <c r="K227" s="22" t="n">
        <f aca="false">SUMPRODUCT(LT_incl*(ISNUMBER(LT_backlev)*(LT_backlev&gt;=$V227)*(LT_backlev&lt;$W227)),LT_navres)</f>
        <v>-33552145.8767694</v>
      </c>
      <c r="L227" s="24" t="n">
        <f aca="false">IFERROR(SUMPRODUCT(LT_incl*(ISNUMBER(LT_backlev)*(LT_backlev&gt;=$V227)*(LT_backlev&lt;$W227)),LT_upb,LT_eff)/SUMPRODUCT(LT_incl*(ISNUMBER(LT_backlev)*(LT_backlev&gt;=$V227)*(LT_backlev&lt;$W227))*ISNUMBER(LT_eff),LT_upb),0)</f>
        <v>0.0431329377049896</v>
      </c>
      <c r="M227" s="24" t="n">
        <f aca="false">IFERROR(SUMPRODUCT(LT_incl*(ISNUMBER(LT_backlev)*(LT_backlev&gt;=$V227)*(LT_backlev&lt;$W227)),LT_upb,LT_coupon)/SUMPRODUCT(LT_incl*(ISNUMBER(LT_backlev)*(LT_backlev&gt;=$V227)*(LT_backlev&lt;$W227))*ISNUMBER(LT_coupon),LT_upb),0)</f>
        <v>0.0796329377049896</v>
      </c>
      <c r="N227" s="23" t="n">
        <f aca="false">IFERROR(SUMPRODUCT(LT_incl*(ISNUMBER(LT_backlev)*(LT_backlev&gt;=$V227)*(LT_backlev&lt;$W227)),LT_upb,LT_ltv_asis)/SUMPRODUCT(LT_incl*(ISNUMBER(LT_backlev)*(LT_backlev&gt;=$V227)*(LT_backlev&lt;$W227))*ISNUMBER(LT_ltv_asis),LT_upb),0)</f>
        <v>0.730231822163949</v>
      </c>
      <c r="O227" s="23" t="n">
        <f aca="false">IFERROR(SUMPRODUCT(LT_incl*(ISNUMBER(LT_backlev)*(LT_backlev&gt;=$V227)*(LT_backlev&lt;$W227)),LT_upb,LT_ltv_stab)/SUMPRODUCT(LT_incl*(ISNUMBER(LT_backlev)*(LT_backlev&gt;=$V227)*(LT_backlev&lt;$W227))*ISNUMBER(LT_ltv_stab),LT_upb),0)</f>
        <v>0.701400383141476</v>
      </c>
      <c r="P227" s="25" t="n">
        <f aca="false">IFERROR(SUMPRODUCT(LT_incl*(ISNUMBER(LT_backlev)*(LT_backlev&gt;=$V227)*(LT_backlev&lt;$W227)),LT_upb,LT_seas)/SUMPRODUCT(LT_incl*(ISNUMBER(LT_backlev)*(LT_backlev&gt;=$V227)*(LT_backlev&lt;$W227))*ISNUMBER(LT_seas),LT_upb),0)</f>
        <v>40.7064431740505</v>
      </c>
      <c r="Q227" s="25" t="n">
        <f aca="false">IFERROR(SUMPRODUCT(LT_incl*(ISNUMBER(LT_backlev)*(LT_backlev&gt;=$V227)*(LT_backlev&lt;$W227)),LT_upb,LT_rti)/SUMPRODUCT(LT_incl*(ISNUMBER(LT_backlev)*(LT_backlev&gt;=$V227)*(LT_backlev&lt;$W227))*ISNUMBER(LT_rti),LT_upb),0)</f>
        <v>9.65850979799548</v>
      </c>
      <c r="R227" s="25" t="n">
        <f aca="false">IFERROR(SUMPRODUCT(LT_incl*(ISNUMBER(LT_backlev)*(LT_backlev&gt;=$V227)*(LT_backlev&lt;$W227)),LT_upb,LT_rte)/SUMPRODUCT(LT_incl*(ISNUMBER(LT_backlev)*(LT_backlev&gt;=$V227)*(LT_backlev&lt;$W227))*ISNUMBER(LT_rte),LT_upb),0)</f>
        <v>16.8771385949399</v>
      </c>
      <c r="S227" s="23" t="n">
        <f aca="false">IFERROR(SUMPRODUCT(LT_incl*(ISNUMBER(LT_backlev)*(LT_backlev&gt;=$V227)*(LT_backlev&lt;$W227)),LT_backdebt)/G227,0)</f>
        <v>0</v>
      </c>
      <c r="T227" s="23" t="n">
        <f aca="false">IFERROR(SUMPRODUCT(LT_incl*(ISNUMBER(LT_backlev)*(LT_backlev&gt;=$V227)*(LT_backlev&lt;$W227)),LT_equity,LT_roe)/SUMPRODUCT(LT_incl*(ISNUMBER(LT_backlev)*(LT_backlev&gt;=$V227)*(LT_backlev&lt;$W227))*ISNUMBER(LT_roe),LT_equity),0)</f>
        <v>0.0796329377049896</v>
      </c>
      <c r="V227" s="48" t="n">
        <v>-1000000000000</v>
      </c>
      <c r="W227" s="48" t="n">
        <v>0.0001</v>
      </c>
    </row>
    <row r="228" customFormat="false" ht="15" hidden="false" customHeight="false" outlineLevel="0" collapsed="false">
      <c r="B228" s="27" t="s">
        <v>198</v>
      </c>
      <c r="C228" s="44" t="n">
        <f aca="false">SUMPRODUCT(LT_incl*(ISNUMBER(LT_backlev)*(LT_backlev&gt;=$V228)*(LT_backlev&lt;$W228)))</f>
        <v>17</v>
      </c>
      <c r="D228" s="32" t="n">
        <f aca="false">IFERROR(C228/StratLoans,0)</f>
        <v>0.129770992366412</v>
      </c>
      <c r="E228" s="44" t="n">
        <f aca="false">SUMPRODUCT(LT_incl*(ISNUMBER(LT_backlev)*(LT_backlev&gt;=$V228)*(LT_backlev&lt;$W228)),LT_units)</f>
        <v>492</v>
      </c>
      <c r="F228" s="44" t="n">
        <f aca="false">SUMPRODUCT(LT_incl*(ISNUMBER(LT_backlev)*(LT_backlev&gt;=$V228)*(LT_backlev&lt;$W228)),LT_beds)</f>
        <v>3095</v>
      </c>
      <c r="G228" s="31" t="n">
        <f aca="false">SUMPRODUCT(LT_incl*(ISNUMBER(LT_backlev)*(LT_backlev&gt;=$V228)*(LT_backlev&lt;$W228)),LT_upb)</f>
        <v>328277181.35</v>
      </c>
      <c r="H228" s="32" t="n">
        <f aca="false">IFERROR(G228/StratUPB,0)</f>
        <v>0.0883370285001192</v>
      </c>
      <c r="I228" s="31" t="n">
        <f aca="false">IFERROR(G228/C228,0)</f>
        <v>19310422.4323529</v>
      </c>
      <c r="J228" s="31" t="n">
        <f aca="false">SUMPRODUCT(LT_incl*(ISNUMBER(LT_backlev)*(LT_backlev&gt;=$V228)*(LT_backlev&lt;$W228)),LT_unfunded)</f>
        <v>10098600.65</v>
      </c>
      <c r="K228" s="31" t="n">
        <f aca="false">SUMPRODUCT(LT_incl*(ISNUMBER(LT_backlev)*(LT_backlev&gt;=$V228)*(LT_backlev&lt;$W228)),LT_navres)</f>
        <v>-1897023.01230363</v>
      </c>
      <c r="L228" s="33" t="n">
        <f aca="false">IFERROR(SUMPRODUCT(LT_incl*(ISNUMBER(LT_backlev)*(LT_backlev&gt;=$V228)*(LT_backlev&lt;$W228)),LT_upb,LT_eff)/SUMPRODUCT(LT_incl*(ISNUMBER(LT_backlev)*(LT_backlev&gt;=$V228)*(LT_backlev&lt;$W228))*ISNUMBER(LT_eff),LT_upb),0)</f>
        <v>0.0497270445493454</v>
      </c>
      <c r="M228" s="33" t="n">
        <f aca="false">IFERROR(SUMPRODUCT(LT_incl*(ISNUMBER(LT_backlev)*(LT_backlev&gt;=$V228)*(LT_backlev&lt;$W228)),LT_upb,LT_coupon)/SUMPRODUCT(LT_incl*(ISNUMBER(LT_backlev)*(LT_backlev&gt;=$V228)*(LT_backlev&lt;$W228))*ISNUMBER(LT_coupon),LT_upb),0)</f>
        <v>0.0862270445493455</v>
      </c>
      <c r="N228" s="32" t="n">
        <f aca="false">IFERROR(SUMPRODUCT(LT_incl*(ISNUMBER(LT_backlev)*(LT_backlev&gt;=$V228)*(LT_backlev&lt;$W228)),LT_upb,LT_ltv_asis)/SUMPRODUCT(LT_incl*(ISNUMBER(LT_backlev)*(LT_backlev&gt;=$V228)*(LT_backlev&lt;$W228))*ISNUMBER(LT_ltv_asis),LT_upb),0)</f>
        <v>0.69084971977372</v>
      </c>
      <c r="O228" s="32" t="n">
        <f aca="false">IFERROR(SUMPRODUCT(LT_incl*(ISNUMBER(LT_backlev)*(LT_backlev&gt;=$V228)*(LT_backlev&lt;$W228)),LT_upb,LT_ltv_stab)/SUMPRODUCT(LT_incl*(ISNUMBER(LT_backlev)*(LT_backlev&gt;=$V228)*(LT_backlev&lt;$W228))*ISNUMBER(LT_ltv_stab),LT_upb),0)</f>
        <v>0.662071224624174</v>
      </c>
      <c r="P228" s="34" t="n">
        <f aca="false">IFERROR(SUMPRODUCT(LT_incl*(ISNUMBER(LT_backlev)*(LT_backlev&gt;=$V228)*(LT_backlev&lt;$W228)),LT_upb,LT_seas)/SUMPRODUCT(LT_incl*(ISNUMBER(LT_backlev)*(LT_backlev&gt;=$V228)*(LT_backlev&lt;$W228))*ISNUMBER(LT_seas),LT_upb),0)</f>
        <v>21.3457345904232</v>
      </c>
      <c r="Q228" s="34" t="n">
        <f aca="false">IFERROR(SUMPRODUCT(LT_incl*(ISNUMBER(LT_backlev)*(LT_backlev&gt;=$V228)*(LT_backlev&lt;$W228)),LT_upb,LT_rti)/SUMPRODUCT(LT_incl*(ISNUMBER(LT_backlev)*(LT_backlev&gt;=$V228)*(LT_backlev&lt;$W228))*ISNUMBER(LT_rti),LT_upb),0)</f>
        <v>9.53875170115716</v>
      </c>
      <c r="R228" s="34" t="n">
        <f aca="false">IFERROR(SUMPRODUCT(LT_incl*(ISNUMBER(LT_backlev)*(LT_backlev&gt;=$V228)*(LT_backlev&lt;$W228)),LT_upb,LT_rte)/SUMPRODUCT(LT_incl*(ISNUMBER(LT_backlev)*(LT_backlev&gt;=$V228)*(LT_backlev&lt;$W228))*ISNUMBER(LT_rte),LT_upb),0)</f>
        <v>19.7469884220989</v>
      </c>
      <c r="S228" s="32" t="n">
        <f aca="false">IFERROR(SUMPRODUCT(LT_incl*(ISNUMBER(LT_backlev)*(LT_backlev&gt;=$V228)*(LT_backlev&lt;$W228)),LT_backdebt)/G228,0)</f>
        <v>0.576955801356568</v>
      </c>
      <c r="T228" s="32" t="n">
        <f aca="false">IFERROR(SUMPRODUCT(LT_incl*(ISNUMBER(LT_backlev)*(LT_backlev&gt;=$V228)*(LT_backlev&lt;$W228)),LT_equity,LT_roe)/SUMPRODUCT(LT_incl*(ISNUMBER(LT_backlev)*(LT_backlev&gt;=$V228)*(LT_backlev&lt;$W228))*ISNUMBER(LT_roe),LT_equity),0)</f>
        <v>0.125822392649227</v>
      </c>
      <c r="V228" s="48" t="n">
        <v>0.0001</v>
      </c>
      <c r="W228" s="48" t="n">
        <v>0.6</v>
      </c>
    </row>
    <row r="229" customFormat="false" ht="15" hidden="false" customHeight="false" outlineLevel="0" collapsed="false">
      <c r="B229" s="18" t="s">
        <v>189</v>
      </c>
      <c r="C229" s="26" t="n">
        <f aca="false">SUMPRODUCT(LT_incl*(ISNUMBER(LT_backlev)*(LT_backlev&gt;=$V229)*(LT_backlev&lt;$W229)))</f>
        <v>8</v>
      </c>
      <c r="D229" s="23" t="n">
        <f aca="false">IFERROR(C229/StratLoans,0)</f>
        <v>0.0610687022900763</v>
      </c>
      <c r="E229" s="26" t="n">
        <f aca="false">SUMPRODUCT(LT_incl*(ISNUMBER(LT_backlev)*(LT_backlev&gt;=$V229)*(LT_backlev&lt;$W229)),LT_units)</f>
        <v>1394</v>
      </c>
      <c r="F229" s="26" t="n">
        <f aca="false">SUMPRODUCT(LT_incl*(ISNUMBER(LT_backlev)*(LT_backlev&gt;=$V229)*(LT_backlev&lt;$W229)),LT_beds)</f>
        <v>1084</v>
      </c>
      <c r="G229" s="22" t="n">
        <f aca="false">SUMPRODUCT(LT_incl*(ISNUMBER(LT_backlev)*(LT_backlev&gt;=$V229)*(LT_backlev&lt;$W229)),LT_upb)</f>
        <v>328952000</v>
      </c>
      <c r="H229" s="23" t="n">
        <f aca="false">IFERROR(G229/StratUPB,0)</f>
        <v>0.0885186173454734</v>
      </c>
      <c r="I229" s="22" t="n">
        <f aca="false">IFERROR(G229/C229,0)</f>
        <v>41119000</v>
      </c>
      <c r="J229" s="22" t="n">
        <f aca="false">SUMPRODUCT(LT_incl*(ISNUMBER(LT_backlev)*(LT_backlev&gt;=$V229)*(LT_backlev&lt;$W229)),LT_unfunded)</f>
        <v>2060000</v>
      </c>
      <c r="K229" s="22" t="n">
        <f aca="false">SUMPRODUCT(LT_incl*(ISNUMBER(LT_backlev)*(LT_backlev&gt;=$V229)*(LT_backlev&lt;$W229)),LT_navres)</f>
        <v>0</v>
      </c>
      <c r="L229" s="24" t="n">
        <f aca="false">IFERROR(SUMPRODUCT(LT_incl*(ISNUMBER(LT_backlev)*(LT_backlev&gt;=$V229)*(LT_backlev&lt;$W229)),LT_upb,LT_eff)/SUMPRODUCT(LT_incl*(ISNUMBER(LT_backlev)*(LT_backlev&gt;=$V229)*(LT_backlev&lt;$W229))*ISNUMBER(LT_eff),LT_upb),0)</f>
        <v>0.0389425600087551</v>
      </c>
      <c r="M229" s="24" t="n">
        <f aca="false">IFERROR(SUMPRODUCT(LT_incl*(ISNUMBER(LT_backlev)*(LT_backlev&gt;=$V229)*(LT_backlev&lt;$W229)),LT_upb,LT_coupon)/SUMPRODUCT(LT_incl*(ISNUMBER(LT_backlev)*(LT_backlev&gt;=$V229)*(LT_backlev&lt;$W229))*ISNUMBER(LT_coupon),LT_upb),0)</f>
        <v>0.0754425600087551</v>
      </c>
      <c r="N229" s="23" t="n">
        <f aca="false">IFERROR(SUMPRODUCT(LT_incl*(ISNUMBER(LT_backlev)*(LT_backlev&gt;=$V229)*(LT_backlev&lt;$W229)),LT_upb,LT_ltv_asis)/SUMPRODUCT(LT_incl*(ISNUMBER(LT_backlev)*(LT_backlev&gt;=$V229)*(LT_backlev&lt;$W229))*ISNUMBER(LT_ltv_asis),LT_upb),0)</f>
        <v>0.786484252637802</v>
      </c>
      <c r="O229" s="23" t="n">
        <f aca="false">IFERROR(SUMPRODUCT(LT_incl*(ISNUMBER(LT_backlev)*(LT_backlev&gt;=$V229)*(LT_backlev&lt;$W229)),LT_upb,LT_ltv_stab)/SUMPRODUCT(LT_incl*(ISNUMBER(LT_backlev)*(LT_backlev&gt;=$V229)*(LT_backlev&lt;$W229))*ISNUMBER(LT_ltv_stab),LT_upb),0)</f>
        <v>0.693375221124071</v>
      </c>
      <c r="P229" s="25" t="n">
        <f aca="false">IFERROR(SUMPRODUCT(LT_incl*(ISNUMBER(LT_backlev)*(LT_backlev&gt;=$V229)*(LT_backlev&lt;$W229)),LT_upb,LT_seas)/SUMPRODUCT(LT_incl*(ISNUMBER(LT_backlev)*(LT_backlev&gt;=$V229)*(LT_backlev&lt;$W229))*ISNUMBER(LT_seas),LT_upb),0)</f>
        <v>40.2001848393851</v>
      </c>
      <c r="Q229" s="25" t="n">
        <f aca="false">IFERROR(SUMPRODUCT(LT_incl*(ISNUMBER(LT_backlev)*(LT_backlev&gt;=$V229)*(LT_backlev&lt;$W229)),LT_upb,LT_rti)/SUMPRODUCT(LT_incl*(ISNUMBER(LT_backlev)*(LT_backlev&gt;=$V229)*(LT_backlev&lt;$W229))*ISNUMBER(LT_rti),LT_upb),0)</f>
        <v>4.67316952004831</v>
      </c>
      <c r="R229" s="25" t="n">
        <f aca="false">IFERROR(SUMPRODUCT(LT_incl*(ISNUMBER(LT_backlev)*(LT_backlev&gt;=$V229)*(LT_backlev&lt;$W229)),LT_upb,LT_rte)/SUMPRODUCT(LT_incl*(ISNUMBER(LT_backlev)*(LT_backlev&gt;=$V229)*(LT_backlev&lt;$W229))*ISNUMBER(LT_rte),LT_upb),0)</f>
        <v>10.1475008705389</v>
      </c>
      <c r="S229" s="23" t="n">
        <f aca="false">IFERROR(SUMPRODUCT(LT_incl*(ISNUMBER(LT_backlev)*(LT_backlev&gt;=$V229)*(LT_backlev&lt;$W229)),LT_backdebt)/G229,0)</f>
        <v>0.614273228062093</v>
      </c>
      <c r="T229" s="23" t="n">
        <f aca="false">IFERROR(SUMPRODUCT(LT_incl*(ISNUMBER(LT_backlev)*(LT_backlev&gt;=$V229)*(LT_backlev&lt;$W229)),LT_equity,LT_roe)/SUMPRODUCT(LT_incl*(ISNUMBER(LT_backlev)*(LT_backlev&gt;=$V229)*(LT_backlev&lt;$W229))*ISNUMBER(LT_roe),LT_equity),0)</f>
        <v>0.105457344308846</v>
      </c>
      <c r="V229" s="48" t="n">
        <v>0.6</v>
      </c>
      <c r="W229" s="48" t="n">
        <v>0.65</v>
      </c>
    </row>
    <row r="230" customFormat="false" ht="15" hidden="false" customHeight="false" outlineLevel="0" collapsed="false">
      <c r="B230" s="27" t="s">
        <v>190</v>
      </c>
      <c r="C230" s="44" t="n">
        <f aca="false">SUMPRODUCT(LT_incl*(ISNUMBER(LT_backlev)*(LT_backlev&gt;=$V230)*(LT_backlev&lt;$W230)))</f>
        <v>3</v>
      </c>
      <c r="D230" s="32" t="n">
        <f aca="false">IFERROR(C230/StratLoans,0)</f>
        <v>0.0229007633587786</v>
      </c>
      <c r="E230" s="44" t="n">
        <f aca="false">SUMPRODUCT(LT_incl*(ISNUMBER(LT_backlev)*(LT_backlev&gt;=$V230)*(LT_backlev&lt;$W230)),LT_units)</f>
        <v>308</v>
      </c>
      <c r="F230" s="44" t="n">
        <f aca="false">SUMPRODUCT(LT_incl*(ISNUMBER(LT_backlev)*(LT_backlev&gt;=$V230)*(LT_backlev&lt;$W230)),LT_beds)</f>
        <v>399</v>
      </c>
      <c r="G230" s="31" t="n">
        <f aca="false">SUMPRODUCT(LT_incl*(ISNUMBER(LT_backlev)*(LT_backlev&gt;=$V230)*(LT_backlev&lt;$W230)),LT_upb)</f>
        <v>126799396.26</v>
      </c>
      <c r="H230" s="32" t="n">
        <f aca="false">IFERROR(G230/StratUPB,0)</f>
        <v>0.0341208055800724</v>
      </c>
      <c r="I230" s="31" t="n">
        <f aca="false">IFERROR(G230/C230,0)</f>
        <v>42266465.42</v>
      </c>
      <c r="J230" s="31" t="n">
        <f aca="false">SUMPRODUCT(LT_incl*(ISNUMBER(LT_backlev)*(LT_backlev&gt;=$V230)*(LT_backlev&lt;$W230)),LT_unfunded)</f>
        <v>2179742.28999999</v>
      </c>
      <c r="K230" s="31" t="n">
        <f aca="false">SUMPRODUCT(LT_incl*(ISNUMBER(LT_backlev)*(LT_backlev&gt;=$V230)*(LT_backlev&lt;$W230)),LT_navres)</f>
        <v>0</v>
      </c>
      <c r="L230" s="33" t="n">
        <f aca="false">IFERROR(SUMPRODUCT(LT_incl*(ISNUMBER(LT_backlev)*(LT_backlev&gt;=$V230)*(LT_backlev&lt;$W230)),LT_upb,LT_eff)/SUMPRODUCT(LT_incl*(ISNUMBER(LT_backlev)*(LT_backlev&gt;=$V230)*(LT_backlev&lt;$W230))*ISNUMBER(LT_eff),LT_upb),0)</f>
        <v>0.0583871758240026</v>
      </c>
      <c r="M230" s="33" t="n">
        <f aca="false">IFERROR(SUMPRODUCT(LT_incl*(ISNUMBER(LT_backlev)*(LT_backlev&gt;=$V230)*(LT_backlev&lt;$W230)),LT_upb,LT_coupon)/SUMPRODUCT(LT_incl*(ISNUMBER(LT_backlev)*(LT_backlev&gt;=$V230)*(LT_backlev&lt;$W230))*ISNUMBER(LT_coupon),LT_upb),0)</f>
        <v>0.0948871758240026</v>
      </c>
      <c r="N230" s="32" t="n">
        <f aca="false">IFERROR(SUMPRODUCT(LT_incl*(ISNUMBER(LT_backlev)*(LT_backlev&gt;=$V230)*(LT_backlev&lt;$W230)),LT_upb,LT_ltv_asis)/SUMPRODUCT(LT_incl*(ISNUMBER(LT_backlev)*(LT_backlev&gt;=$V230)*(LT_backlev&lt;$W230))*ISNUMBER(LT_ltv_asis),LT_upb),0)</f>
        <v>0.482024511882342</v>
      </c>
      <c r="O230" s="32" t="n">
        <f aca="false">IFERROR(SUMPRODUCT(LT_incl*(ISNUMBER(LT_backlev)*(LT_backlev&gt;=$V230)*(LT_backlev&lt;$W230)),LT_upb,LT_ltv_stab)/SUMPRODUCT(LT_incl*(ISNUMBER(LT_backlev)*(LT_backlev&gt;=$V230)*(LT_backlev&lt;$W230))*ISNUMBER(LT_ltv_stab),LT_upb),0)</f>
        <v>0.612148132784676</v>
      </c>
      <c r="P230" s="34" t="n">
        <f aca="false">IFERROR(SUMPRODUCT(LT_incl*(ISNUMBER(LT_backlev)*(LT_backlev&gt;=$V230)*(LT_backlev&lt;$W230)),LT_upb,LT_seas)/SUMPRODUCT(LT_incl*(ISNUMBER(LT_backlev)*(LT_backlev&gt;=$V230)*(LT_backlev&lt;$W230))*ISNUMBER(LT_seas),LT_upb),0)</f>
        <v>33.5612800975542</v>
      </c>
      <c r="Q230" s="34" t="n">
        <f aca="false">IFERROR(SUMPRODUCT(LT_incl*(ISNUMBER(LT_backlev)*(LT_backlev&gt;=$V230)*(LT_backlev&lt;$W230)),LT_upb,LT_rti)/SUMPRODUCT(LT_incl*(ISNUMBER(LT_backlev)*(LT_backlev&gt;=$V230)*(LT_backlev&lt;$W230))*ISNUMBER(LT_rti),LT_upb),0)</f>
        <v>5.43269070702911</v>
      </c>
      <c r="R230" s="34" t="n">
        <f aca="false">IFERROR(SUMPRODUCT(LT_incl*(ISNUMBER(LT_backlev)*(LT_backlev&gt;=$V230)*(LT_backlev&lt;$W230)),LT_upb,LT_rte)/SUMPRODUCT(LT_incl*(ISNUMBER(LT_backlev)*(LT_backlev&gt;=$V230)*(LT_backlev&lt;$W230))*ISNUMBER(LT_rte),LT_upb),0)</f>
        <v>14.2076976493045</v>
      </c>
      <c r="S230" s="32" t="n">
        <f aca="false">IFERROR(SUMPRODUCT(LT_incl*(ISNUMBER(LT_backlev)*(LT_backlev&gt;=$V230)*(LT_backlev&lt;$W230)),LT_backdebt)/G230,0)</f>
        <v>0.665727090317263</v>
      </c>
      <c r="T230" s="32" t="n">
        <f aca="false">IFERROR(SUMPRODUCT(LT_incl*(ISNUMBER(LT_backlev)*(LT_backlev&gt;=$V230)*(LT_backlev&lt;$W230)),LT_equity,LT_roe)/SUMPRODUCT(LT_incl*(ISNUMBER(LT_backlev)*(LT_backlev&gt;=$V230)*(LT_backlev&lt;$W230))*ISNUMBER(LT_roe),LT_equity),0)</f>
        <v>0.154109611855851</v>
      </c>
      <c r="V230" s="48" t="n">
        <v>0.65</v>
      </c>
      <c r="W230" s="48" t="n">
        <v>0.7</v>
      </c>
    </row>
    <row r="231" customFormat="false" ht="15" hidden="false" customHeight="false" outlineLevel="0" collapsed="false">
      <c r="B231" s="18" t="s">
        <v>191</v>
      </c>
      <c r="C231" s="26" t="n">
        <f aca="false">SUMPRODUCT(LT_incl*(ISNUMBER(LT_backlev)*(LT_backlev&gt;=$V231)*(LT_backlev&lt;$W231)))</f>
        <v>6</v>
      </c>
      <c r="D231" s="23" t="n">
        <f aca="false">IFERROR(C231/StratLoans,0)</f>
        <v>0.0458015267175573</v>
      </c>
      <c r="E231" s="26" t="n">
        <f aca="false">SUMPRODUCT(LT_incl*(ISNUMBER(LT_backlev)*(LT_backlev&gt;=$V231)*(LT_backlev&lt;$W231)),LT_units)</f>
        <v>1310</v>
      </c>
      <c r="F231" s="26" t="n">
        <f aca="false">SUMPRODUCT(LT_incl*(ISNUMBER(LT_backlev)*(LT_backlev&gt;=$V231)*(LT_backlev&lt;$W231)),LT_beds)</f>
        <v>0</v>
      </c>
      <c r="G231" s="22" t="n">
        <f aca="false">SUMPRODUCT(LT_incl*(ISNUMBER(LT_backlev)*(LT_backlev&gt;=$V231)*(LT_backlev&lt;$W231)),LT_upb)</f>
        <v>143680000</v>
      </c>
      <c r="H231" s="23" t="n">
        <f aca="false">IFERROR(G231/StratUPB,0)</f>
        <v>0.0386632546395754</v>
      </c>
      <c r="I231" s="22" t="n">
        <f aca="false">IFERROR(G231/C231,0)</f>
        <v>23946666.6666667</v>
      </c>
      <c r="J231" s="22" t="n">
        <f aca="false">SUMPRODUCT(LT_incl*(ISNUMBER(LT_backlev)*(LT_backlev&gt;=$V231)*(LT_backlev&lt;$W231)),LT_unfunded)</f>
        <v>3000000</v>
      </c>
      <c r="K231" s="22" t="n">
        <f aca="false">SUMPRODUCT(LT_incl*(ISNUMBER(LT_backlev)*(LT_backlev&gt;=$V231)*(LT_backlev&lt;$W231)),LT_navres)</f>
        <v>-312086.141973889</v>
      </c>
      <c r="L231" s="24" t="n">
        <f aca="false">IFERROR(SUMPRODUCT(LT_incl*(ISNUMBER(LT_backlev)*(LT_backlev&gt;=$V231)*(LT_backlev&lt;$W231)),LT_upb,LT_eff)/SUMPRODUCT(LT_incl*(ISNUMBER(LT_backlev)*(LT_backlev&gt;=$V231)*(LT_backlev&lt;$W231))*ISNUMBER(LT_eff),LT_upb),0)</f>
        <v>0.0314341592427617</v>
      </c>
      <c r="M231" s="24" t="n">
        <f aca="false">IFERROR(SUMPRODUCT(LT_incl*(ISNUMBER(LT_backlev)*(LT_backlev&gt;=$V231)*(LT_backlev&lt;$W231)),LT_upb,LT_coupon)/SUMPRODUCT(LT_incl*(ISNUMBER(LT_backlev)*(LT_backlev&gt;=$V231)*(LT_backlev&lt;$W231))*ISNUMBER(LT_coupon),LT_upb),0)</f>
        <v>0.0679341592427617</v>
      </c>
      <c r="N231" s="23" t="n">
        <f aca="false">IFERROR(SUMPRODUCT(LT_incl*(ISNUMBER(LT_backlev)*(LT_backlev&gt;=$V231)*(LT_backlev&lt;$W231)),LT_upb,LT_ltv_asis)/SUMPRODUCT(LT_incl*(ISNUMBER(LT_backlev)*(LT_backlev&gt;=$V231)*(LT_backlev&lt;$W231))*ISNUMBER(LT_ltv_asis),LT_upb),0)</f>
        <v>0.696626224327815</v>
      </c>
      <c r="O231" s="23" t="n">
        <f aca="false">IFERROR(SUMPRODUCT(LT_incl*(ISNUMBER(LT_backlev)*(LT_backlev&gt;=$V231)*(LT_backlev&lt;$W231)),LT_upb,LT_ltv_stab)/SUMPRODUCT(LT_incl*(ISNUMBER(LT_backlev)*(LT_backlev&gt;=$V231)*(LT_backlev&lt;$W231))*ISNUMBER(LT_ltv_stab),LT_upb),0)</f>
        <v>0.680226360978356</v>
      </c>
      <c r="P231" s="25" t="n">
        <f aca="false">IFERROR(SUMPRODUCT(LT_incl*(ISNUMBER(LT_backlev)*(LT_backlev&gt;=$V231)*(LT_backlev&lt;$W231)),LT_upb,LT_seas)/SUMPRODUCT(LT_incl*(ISNUMBER(LT_backlev)*(LT_backlev&gt;=$V231)*(LT_backlev&lt;$W231))*ISNUMBER(LT_seas),LT_upb),0)</f>
        <v>47.070912774452</v>
      </c>
      <c r="Q231" s="25" t="n">
        <f aca="false">IFERROR(SUMPRODUCT(LT_incl*(ISNUMBER(LT_backlev)*(LT_backlev&gt;=$V231)*(LT_backlev&lt;$W231)),LT_upb,LT_rti)/SUMPRODUCT(LT_incl*(ISNUMBER(LT_backlev)*(LT_backlev&gt;=$V231)*(LT_backlev&lt;$W231))*ISNUMBER(LT_rti),LT_upb),0)</f>
        <v>3.91355647731898</v>
      </c>
      <c r="R231" s="25" t="n">
        <f aca="false">IFERROR(SUMPRODUCT(LT_incl*(ISNUMBER(LT_backlev)*(LT_backlev&gt;=$V231)*(LT_backlev&lt;$W231)),LT_upb,LT_rte)/SUMPRODUCT(LT_incl*(ISNUMBER(LT_backlev)*(LT_backlev&gt;=$V231)*(LT_backlev&lt;$W231))*ISNUMBER(LT_rte),LT_upb),0)</f>
        <v>8.77228200472874</v>
      </c>
      <c r="S231" s="23" t="n">
        <f aca="false">IFERROR(SUMPRODUCT(LT_incl*(ISNUMBER(LT_backlev)*(LT_backlev&gt;=$V231)*(LT_backlev&lt;$W231)),LT_backdebt)/G231,0)</f>
        <v>0.702185412026726</v>
      </c>
      <c r="T231" s="23" t="n">
        <f aca="false">IFERROR(SUMPRODUCT(LT_incl*(ISNUMBER(LT_backlev)*(LT_backlev&gt;=$V231)*(LT_backlev&lt;$W231)),LT_equity,LT_roe)/SUMPRODUCT(LT_incl*(ISNUMBER(LT_backlev)*(LT_backlev&gt;=$V231)*(LT_backlev&lt;$W231))*ISNUMBER(LT_roe),LT_equity),0)</f>
        <v>0.100594758775415</v>
      </c>
      <c r="V231" s="48" t="n">
        <v>0.7</v>
      </c>
      <c r="W231" s="48" t="n">
        <v>0.75</v>
      </c>
    </row>
    <row r="232" customFormat="false" ht="15" hidden="false" customHeight="false" outlineLevel="0" collapsed="false">
      <c r="B232" s="27" t="s">
        <v>192</v>
      </c>
      <c r="C232" s="44" t="n">
        <f aca="false">SUMPRODUCT(LT_incl*(ISNUMBER(LT_backlev)*(LT_backlev&gt;=$V232)*(LT_backlev&lt;$W232)))</f>
        <v>6</v>
      </c>
      <c r="D232" s="32" t="n">
        <f aca="false">IFERROR(C232/StratLoans,0)</f>
        <v>0.0458015267175573</v>
      </c>
      <c r="E232" s="44" t="n">
        <f aca="false">SUMPRODUCT(LT_incl*(ISNUMBER(LT_backlev)*(LT_backlev&gt;=$V232)*(LT_backlev&lt;$W232)),LT_units)</f>
        <v>1333</v>
      </c>
      <c r="F232" s="44" t="n">
        <f aca="false">SUMPRODUCT(LT_incl*(ISNUMBER(LT_backlev)*(LT_backlev&gt;=$V232)*(LT_backlev&lt;$W232)),LT_beds)</f>
        <v>367</v>
      </c>
      <c r="G232" s="31" t="n">
        <f aca="false">SUMPRODUCT(LT_incl*(ISNUMBER(LT_backlev)*(LT_backlev&gt;=$V232)*(LT_backlev&lt;$W232)),LT_upb)</f>
        <v>216704502.44</v>
      </c>
      <c r="H232" s="32" t="n">
        <f aca="false">IFERROR(G232/StratUPB,0)</f>
        <v>0.0583136230469113</v>
      </c>
      <c r="I232" s="31" t="n">
        <f aca="false">IFERROR(G232/C232,0)</f>
        <v>36117417.0733333</v>
      </c>
      <c r="J232" s="31" t="n">
        <f aca="false">SUMPRODUCT(LT_incl*(ISNUMBER(LT_backlev)*(LT_backlev&gt;=$V232)*(LT_backlev&lt;$W232)),LT_unfunded)</f>
        <v>10235497.86</v>
      </c>
      <c r="K232" s="31" t="n">
        <f aca="false">SUMPRODUCT(LT_incl*(ISNUMBER(LT_backlev)*(LT_backlev&gt;=$V232)*(LT_backlev&lt;$W232)),LT_navres)</f>
        <v>0</v>
      </c>
      <c r="L232" s="33" t="n">
        <f aca="false">IFERROR(SUMPRODUCT(LT_incl*(ISNUMBER(LT_backlev)*(LT_backlev&gt;=$V232)*(LT_backlev&lt;$W232)),LT_upb,LT_eff)/SUMPRODUCT(LT_incl*(ISNUMBER(LT_backlev)*(LT_backlev&gt;=$V232)*(LT_backlev&lt;$W232))*ISNUMBER(LT_eff),LT_upb),0)</f>
        <v>0.0358075913111609</v>
      </c>
      <c r="M232" s="33" t="n">
        <f aca="false">IFERROR(SUMPRODUCT(LT_incl*(ISNUMBER(LT_backlev)*(LT_backlev&gt;=$V232)*(LT_backlev&lt;$W232)),LT_upb,LT_coupon)/SUMPRODUCT(LT_incl*(ISNUMBER(LT_backlev)*(LT_backlev&gt;=$V232)*(LT_backlev&lt;$W232))*ISNUMBER(LT_coupon),LT_upb),0)</f>
        <v>0.072307591311161</v>
      </c>
      <c r="N232" s="32" t="n">
        <f aca="false">IFERROR(SUMPRODUCT(LT_incl*(ISNUMBER(LT_backlev)*(LT_backlev&gt;=$V232)*(LT_backlev&lt;$W232)),LT_upb,LT_ltv_asis)/SUMPRODUCT(LT_incl*(ISNUMBER(LT_backlev)*(LT_backlev&gt;=$V232)*(LT_backlev&lt;$W232))*ISNUMBER(LT_ltv_asis),LT_upb),0)</f>
        <v>0.667887105371547</v>
      </c>
      <c r="O232" s="32" t="n">
        <f aca="false">IFERROR(SUMPRODUCT(LT_incl*(ISNUMBER(LT_backlev)*(LT_backlev&gt;=$V232)*(LT_backlev&lt;$W232)),LT_upb,LT_ltv_stab)/SUMPRODUCT(LT_incl*(ISNUMBER(LT_backlev)*(LT_backlev&gt;=$V232)*(LT_backlev&lt;$W232))*ISNUMBER(LT_ltv_stab),LT_upb),0)</f>
        <v>0.651806792773998</v>
      </c>
      <c r="P232" s="34" t="n">
        <f aca="false">IFERROR(SUMPRODUCT(LT_incl*(ISNUMBER(LT_backlev)*(LT_backlev&gt;=$V232)*(LT_backlev&lt;$W232)),LT_upb,LT_seas)/SUMPRODUCT(LT_incl*(ISNUMBER(LT_backlev)*(LT_backlev&gt;=$V232)*(LT_backlev&lt;$W232))*ISNUMBER(LT_seas),LT_upb),0)</f>
        <v>21.0765394799023</v>
      </c>
      <c r="Q232" s="34" t="n">
        <f aca="false">IFERROR(SUMPRODUCT(LT_incl*(ISNUMBER(LT_backlev)*(LT_backlev&gt;=$V232)*(LT_backlev&lt;$W232)),LT_upb,LT_rti)/SUMPRODUCT(LT_incl*(ISNUMBER(LT_backlev)*(LT_backlev&gt;=$V232)*(LT_backlev&lt;$W232))*ISNUMBER(LT_rti),LT_upb),0)</f>
        <v>15.1368746176295</v>
      </c>
      <c r="R232" s="34" t="n">
        <f aca="false">IFERROR(SUMPRODUCT(LT_incl*(ISNUMBER(LT_backlev)*(LT_backlev&gt;=$V232)*(LT_backlev&lt;$W232)),LT_upb,LT_rte)/SUMPRODUCT(LT_incl*(ISNUMBER(LT_backlev)*(LT_backlev&gt;=$V232)*(LT_backlev&lt;$W232))*ISNUMBER(LT_rte),LT_upb),0)</f>
        <v>30.9585008556347</v>
      </c>
      <c r="S232" s="32" t="n">
        <f aca="false">IFERROR(SUMPRODUCT(LT_incl*(ISNUMBER(LT_backlev)*(LT_backlev&gt;=$V232)*(LT_backlev&lt;$W232)),LT_backdebt)/G232,0)</f>
        <v>0.766549542231185</v>
      </c>
      <c r="T232" s="32" t="n">
        <f aca="false">IFERROR(SUMPRODUCT(LT_incl*(ISNUMBER(LT_backlev)*(LT_backlev&gt;=$V232)*(LT_backlev&lt;$W232)),LT_equity,LT_roe)/SUMPRODUCT(LT_incl*(ISNUMBER(LT_backlev)*(LT_backlev&gt;=$V232)*(LT_backlev&lt;$W232))*ISNUMBER(LT_roe),LT_equity),0)</f>
        <v>0.128190146002604</v>
      </c>
      <c r="V232" s="48" t="n">
        <v>0.75</v>
      </c>
      <c r="W232" s="48" t="n">
        <v>0.8</v>
      </c>
    </row>
    <row r="233" customFormat="false" ht="15" hidden="false" customHeight="false" outlineLevel="0" collapsed="false">
      <c r="B233" s="18" t="s">
        <v>199</v>
      </c>
      <c r="C233" s="26" t="n">
        <f aca="false">SUMPRODUCT(LT_incl*(ISNUMBER(LT_backlev)*(LT_backlev&gt;=$V233)*(LT_backlev&lt;$W233)))</f>
        <v>55</v>
      </c>
      <c r="D233" s="23" t="n">
        <f aca="false">IFERROR(C233/StratLoans,0)</f>
        <v>0.419847328244275</v>
      </c>
      <c r="E233" s="26" t="n">
        <f aca="false">SUMPRODUCT(LT_incl*(ISNUMBER(LT_backlev)*(LT_backlev&gt;=$V233)*(LT_backlev&lt;$W233)),LT_units)</f>
        <v>10545</v>
      </c>
      <c r="F233" s="26" t="n">
        <f aca="false">SUMPRODUCT(LT_incl*(ISNUMBER(LT_backlev)*(LT_backlev&gt;=$V233)*(LT_backlev&lt;$W233)),LT_beds)</f>
        <v>1698</v>
      </c>
      <c r="G233" s="22" t="n">
        <f aca="false">SUMPRODUCT(LT_incl*(ISNUMBER(LT_backlev)*(LT_backlev&gt;=$V233)*(LT_backlev&lt;$W233)),LT_upb)</f>
        <v>1946320065.65</v>
      </c>
      <c r="H233" s="23" t="n">
        <f aca="false">IFERROR(G233/StratUPB,0)</f>
        <v>0.52374073154469</v>
      </c>
      <c r="I233" s="22" t="n">
        <f aca="false">IFERROR(G233/C233,0)</f>
        <v>35387637.5572727</v>
      </c>
      <c r="J233" s="22" t="n">
        <f aca="false">SUMPRODUCT(LT_incl*(ISNUMBER(LT_backlev)*(LT_backlev&gt;=$V233)*(LT_backlev&lt;$W233)),LT_unfunded)</f>
        <v>26834472.51</v>
      </c>
      <c r="K233" s="22" t="n">
        <f aca="false">SUMPRODUCT(LT_incl*(ISNUMBER(LT_backlev)*(LT_backlev&gt;=$V233)*(LT_backlev&lt;$W233)),LT_navres)</f>
        <v>0</v>
      </c>
      <c r="L233" s="24" t="n">
        <f aca="false">IFERROR(SUMPRODUCT(LT_incl*(ISNUMBER(LT_backlev)*(LT_backlev&gt;=$V233)*(LT_backlev&lt;$W233)),LT_upb,LT_eff)/SUMPRODUCT(LT_incl*(ISNUMBER(LT_backlev)*(LT_backlev&gt;=$V233)*(LT_backlev&lt;$W233))*ISNUMBER(LT_eff),LT_upb),0)</f>
        <v>0.0343976183421695</v>
      </c>
      <c r="M233" s="24" t="n">
        <f aca="false">IFERROR(SUMPRODUCT(LT_incl*(ISNUMBER(LT_backlev)*(LT_backlev&gt;=$V233)*(LT_backlev&lt;$W233)),LT_upb,LT_coupon)/SUMPRODUCT(LT_incl*(ISNUMBER(LT_backlev)*(LT_backlev&gt;=$V233)*(LT_backlev&lt;$W233))*ISNUMBER(LT_coupon),LT_upb),0)</f>
        <v>0.0708976183421695</v>
      </c>
      <c r="N233" s="23" t="n">
        <f aca="false">IFERROR(SUMPRODUCT(LT_incl*(ISNUMBER(LT_backlev)*(LT_backlev&gt;=$V233)*(LT_backlev&lt;$W233)),LT_upb,LT_ltv_asis)/SUMPRODUCT(LT_incl*(ISNUMBER(LT_backlev)*(LT_backlev&gt;=$V233)*(LT_backlev&lt;$W233))*ISNUMBER(LT_ltv_asis),LT_upb),0)</f>
        <v>0.668630982967183</v>
      </c>
      <c r="O233" s="23" t="n">
        <f aca="false">IFERROR(SUMPRODUCT(LT_incl*(ISNUMBER(LT_backlev)*(LT_backlev&gt;=$V233)*(LT_backlev&lt;$W233)),LT_upb,LT_ltv_stab)/SUMPRODUCT(LT_incl*(ISNUMBER(LT_backlev)*(LT_backlev&gt;=$V233)*(LT_backlev&lt;$W233))*ISNUMBER(LT_ltv_stab),LT_upb),0)</f>
        <v>0.641440178952368</v>
      </c>
      <c r="P233" s="25" t="n">
        <f aca="false">IFERROR(SUMPRODUCT(LT_incl*(ISNUMBER(LT_backlev)*(LT_backlev&gt;=$V233)*(LT_backlev&lt;$W233)),LT_upb,LT_seas)/SUMPRODUCT(LT_incl*(ISNUMBER(LT_backlev)*(LT_backlev&gt;=$V233)*(LT_backlev&lt;$W233))*ISNUMBER(LT_seas),LT_upb),0)</f>
        <v>18.1967811994344</v>
      </c>
      <c r="Q233" s="25" t="n">
        <f aca="false">IFERROR(SUMPRODUCT(LT_incl*(ISNUMBER(LT_backlev)*(LT_backlev&gt;=$V233)*(LT_backlev&lt;$W233)),LT_upb,LT_rti)/SUMPRODUCT(LT_incl*(ISNUMBER(LT_backlev)*(LT_backlev&gt;=$V233)*(LT_backlev&lt;$W233))*ISNUMBER(LT_rti),LT_upb),0)</f>
        <v>12.6306826568164</v>
      </c>
      <c r="R233" s="25" t="n">
        <f aca="false">IFERROR(SUMPRODUCT(LT_incl*(ISNUMBER(LT_backlev)*(LT_backlev&gt;=$V233)*(LT_backlev&lt;$W233)),LT_upb,LT_rte)/SUMPRODUCT(LT_incl*(ISNUMBER(LT_backlev)*(LT_backlev&gt;=$V233)*(LT_backlev&lt;$W233))*ISNUMBER(LT_rte),LT_upb),0)</f>
        <v>28.5238395939945</v>
      </c>
      <c r="S233" s="23" t="n">
        <f aca="false">IFERROR(SUMPRODUCT(LT_incl*(ISNUMBER(LT_backlev)*(LT_backlev&gt;=$V233)*(LT_backlev&lt;$W233)),LT_backdebt)/G233,0)</f>
        <v>0.817389138979449</v>
      </c>
      <c r="T233" s="23" t="n">
        <f aca="false">IFERROR(SUMPRODUCT(LT_incl*(ISNUMBER(LT_backlev)*(LT_backlev&gt;=$V233)*(LT_backlev&lt;$W233)),LT_equity,LT_roe)/SUMPRODUCT(LT_incl*(ISNUMBER(LT_backlev)*(LT_backlev&gt;=$V233)*(LT_backlev&lt;$W233))*ISNUMBER(LT_roe),LT_equity),0)</f>
        <v>0.144234465977627</v>
      </c>
      <c r="V233" s="48" t="n">
        <v>0.8</v>
      </c>
      <c r="W233" s="48" t="n">
        <v>1000000000000</v>
      </c>
    </row>
    <row r="234" customFormat="false" ht="15" hidden="false" customHeight="false" outlineLevel="0" collapsed="false">
      <c r="B234" s="35" t="s">
        <v>76</v>
      </c>
      <c r="C234" s="45" t="n">
        <f aca="false">SUMPRODUCT(LT_incl*(1))</f>
        <v>131</v>
      </c>
      <c r="D234" s="38" t="n">
        <f aca="false">IFERROR(C234/StratLoans,0)</f>
        <v>1</v>
      </c>
      <c r="E234" s="45" t="n">
        <f aca="false">SUMPRODUCT(LT_incl*(1),LT_units)</f>
        <v>22360</v>
      </c>
      <c r="F234" s="45" t="n">
        <f aca="false">SUMPRODUCT(LT_incl*(1),LT_beds)</f>
        <v>8726</v>
      </c>
      <c r="G234" s="37" t="n">
        <f aca="false">SUMPRODUCT(LT_incl*(1),LT_upb)</f>
        <v>3716189993.3</v>
      </c>
      <c r="H234" s="38" t="n">
        <f aca="false">IFERROR(G234/StratUPB,0)</f>
        <v>1</v>
      </c>
      <c r="I234" s="37" t="n">
        <f aca="false">IFERROR(G234/C234,0)</f>
        <v>28367862.5442748</v>
      </c>
      <c r="J234" s="37" t="n">
        <f aca="false">SUMPRODUCT(LT_incl*(1),LT_unfunded)</f>
        <v>70425498.27</v>
      </c>
      <c r="K234" s="37" t="n">
        <f aca="false">SUMPRODUCT(LT_incl*(1),LT_navres)</f>
        <v>-35761255.0310469</v>
      </c>
      <c r="L234" s="39" t="n">
        <f aca="false">IFERROR(SUMPRODUCT(LT_incl*(1),LT_upb,LT_eff)/SUMPRODUCT(LT_incl*(1)*ISNUMBER(LT_eff),LT_upb),0)</f>
        <v>0.0384104790702225</v>
      </c>
      <c r="M234" s="39" t="n">
        <f aca="false">IFERROR(SUMPRODUCT(LT_incl*(1),LT_upb,LT_coupon)/SUMPRODUCT(LT_incl*(1)*ISNUMBER(LT_coupon),LT_upb),0)</f>
        <v>0.0749104790702225</v>
      </c>
      <c r="N234" s="38" t="n">
        <f aca="false">IFERROR(SUMPRODUCT(LT_incl*(1),LT_upb,LT_ltv_asis)/SUMPRODUCT(LT_incl*(1)*ISNUMBER(LT_ltv_asis),LT_upb),0)</f>
        <v>0.685976245136614</v>
      </c>
      <c r="O234" s="38" t="n">
        <f aca="false">IFERROR(SUMPRODUCT(LT_incl*(1),LT_upb,LT_ltv_stab)/SUMPRODUCT(LT_incl*(1)*ISNUMBER(LT_ltv_stab),LT_upb),0)</f>
        <v>0.658970555756018</v>
      </c>
      <c r="P234" s="40" t="n">
        <f aca="false">IFERROR(SUMPRODUCT(LT_incl*(1),LT_upb,LT_seas)/SUMPRODUCT(LT_incl*(1)*ISNUMBER(LT_seas),LT_upb),0)</f>
        <v>26.0197171750702</v>
      </c>
      <c r="Q234" s="40" t="n">
        <f aca="false">IFERROR(SUMPRODUCT(LT_incl*(1),LT_upb,LT_rti)/SUMPRODUCT(LT_incl*(1)*ISNUMBER(LT_rti),LT_upb),0)</f>
        <v>10.7164396387939</v>
      </c>
      <c r="R234" s="40" t="n">
        <f aca="false">IFERROR(SUMPRODUCT(LT_incl*(1),LT_upb,LT_rte)/SUMPRODUCT(LT_incl*(1)*ISNUMBER(LT_rte),LT_upb),0)</f>
        <v>23.051497716819</v>
      </c>
      <c r="S234" s="38" t="n">
        <f aca="false">IFERROR(SUMPRODUCT(LT_incl*(1),LT_backdebt)/G234,0)</f>
        <v>0.628005362553862</v>
      </c>
      <c r="T234" s="38" t="n">
        <f aca="false">IFERROR(SUMPRODUCT(LT_incl*(1),LT_equity,LT_roe)/SUMPRODUCT(LT_incl*(1)*ISNUMBER(LT_roe),LT_equity),0)</f>
        <v>0.107961987212177</v>
      </c>
    </row>
    <row r="236" customFormat="false" ht="15" hidden="false" customHeight="false" outlineLevel="0" collapsed="false">
      <c r="B236" s="3" t="s">
        <v>200</v>
      </c>
      <c r="C236" s="4"/>
      <c r="D236" s="4"/>
      <c r="E236" s="4"/>
      <c r="F236" s="4"/>
      <c r="G236" s="4"/>
      <c r="H236" s="4"/>
      <c r="I236" s="4"/>
      <c r="J236" s="4"/>
      <c r="K236" s="4"/>
      <c r="L236" s="4"/>
      <c r="M236" s="4"/>
      <c r="N236" s="4"/>
      <c r="O236" s="4"/>
      <c r="P236" s="4"/>
      <c r="Q236" s="4"/>
      <c r="R236" s="4"/>
      <c r="S236" s="4"/>
      <c r="T236" s="4"/>
    </row>
    <row r="237" customFormat="false" ht="39.75" hidden="false" customHeight="true" outlineLevel="0" collapsed="false">
      <c r="B237" s="16" t="s">
        <v>147</v>
      </c>
      <c r="C237" s="17" t="s">
        <v>13</v>
      </c>
      <c r="D237" s="17" t="s">
        <v>64</v>
      </c>
      <c r="E237" s="17" t="s">
        <v>65</v>
      </c>
      <c r="F237" s="17" t="s">
        <v>66</v>
      </c>
      <c r="G237" s="17" t="s">
        <v>16</v>
      </c>
      <c r="H237" s="17" t="s">
        <v>46</v>
      </c>
      <c r="I237" s="17" t="s">
        <v>19</v>
      </c>
      <c r="J237" s="17" t="s">
        <v>28</v>
      </c>
      <c r="K237" s="17" t="s">
        <v>31</v>
      </c>
      <c r="L237" s="17" t="s">
        <v>7</v>
      </c>
      <c r="M237" s="17" t="s">
        <v>11</v>
      </c>
      <c r="N237" s="17" t="s">
        <v>23</v>
      </c>
      <c r="O237" s="17" t="s">
        <v>67</v>
      </c>
      <c r="P237" s="17" t="s">
        <v>5</v>
      </c>
      <c r="Q237" s="17" t="s">
        <v>68</v>
      </c>
      <c r="R237" s="17" t="s">
        <v>69</v>
      </c>
      <c r="S237" s="17" t="s">
        <v>56</v>
      </c>
      <c r="T237" s="17" t="s">
        <v>70</v>
      </c>
      <c r="V237" s="17" t="s">
        <v>148</v>
      </c>
      <c r="W237" s="17" t="s">
        <v>149</v>
      </c>
    </row>
    <row r="238" customFormat="false" ht="15" hidden="false" customHeight="false" outlineLevel="0" collapsed="false">
      <c r="B238" s="18" t="s">
        <v>201</v>
      </c>
      <c r="C238" s="26" t="n">
        <f aca="false">SUMPRODUCT(LT_incl*(ISNUMBER(LT_seas)*(LT_seas&gt;=$V238)*(LT_seas&lt;$W238)))</f>
        <v>27</v>
      </c>
      <c r="D238" s="23" t="n">
        <f aca="false">IFERROR(C238/StratLoans,0)</f>
        <v>0.206106870229008</v>
      </c>
      <c r="E238" s="26" t="n">
        <f aca="false">SUMPRODUCT(LT_incl*(ISNUMBER(LT_seas)*(LT_seas&gt;=$V238)*(LT_seas&lt;$W238)),LT_units)</f>
        <v>3346</v>
      </c>
      <c r="F238" s="26" t="n">
        <f aca="false">SUMPRODUCT(LT_incl*(ISNUMBER(LT_seas)*(LT_seas&gt;=$V238)*(LT_seas&lt;$W238)),LT_beds)</f>
        <v>2178</v>
      </c>
      <c r="G238" s="22" t="n">
        <f aca="false">SUMPRODUCT(LT_incl*(ISNUMBER(LT_seas)*(LT_seas&gt;=$V238)*(LT_seas&lt;$W238)),LT_upb)</f>
        <v>754316952.89</v>
      </c>
      <c r="H238" s="23" t="n">
        <f aca="false">IFERROR(G238/StratUPB,0)</f>
        <v>0.202981266902385</v>
      </c>
      <c r="I238" s="22" t="n">
        <f aca="false">IFERROR(G238/C238,0)</f>
        <v>27937664.9218519</v>
      </c>
      <c r="J238" s="22" t="n">
        <f aca="false">SUMPRODUCT(LT_incl*(ISNUMBER(LT_seas)*(LT_seas&gt;=$V238)*(LT_seas&lt;$W238)),LT_unfunded)</f>
        <v>9290000</v>
      </c>
      <c r="K238" s="22" t="n">
        <f aca="false">SUMPRODUCT(LT_incl*(ISNUMBER(LT_seas)*(LT_seas&gt;=$V238)*(LT_seas&lt;$W238)),LT_navres)</f>
        <v>0</v>
      </c>
      <c r="L238" s="24" t="n">
        <f aca="false">IFERROR(SUMPRODUCT(LT_incl*(ISNUMBER(LT_seas)*(LT_seas&gt;=$V238)*(LT_seas&lt;$W238)),LT_upb,LT_eff)/SUMPRODUCT(LT_incl*(ISNUMBER(LT_seas)*(LT_seas&gt;=$V238)*(LT_seas&lt;$W238))*ISNUMBER(LT_eff),LT_upb),0)</f>
        <v>0.0358561613225391</v>
      </c>
      <c r="M238" s="24" t="n">
        <f aca="false">IFERROR(SUMPRODUCT(LT_incl*(ISNUMBER(LT_seas)*(LT_seas&gt;=$V238)*(LT_seas&lt;$W238)),LT_upb,LT_coupon)/SUMPRODUCT(LT_incl*(ISNUMBER(LT_seas)*(LT_seas&gt;=$V238)*(LT_seas&lt;$W238))*ISNUMBER(LT_coupon),LT_upb),0)</f>
        <v>0.0723561613225391</v>
      </c>
      <c r="N238" s="23" t="n">
        <f aca="false">IFERROR(SUMPRODUCT(LT_incl*(ISNUMBER(LT_seas)*(LT_seas&gt;=$V238)*(LT_seas&lt;$W238)),LT_upb,LT_ltv_asis)/SUMPRODUCT(LT_incl*(ISNUMBER(LT_seas)*(LT_seas&gt;=$V238)*(LT_seas&lt;$W238))*ISNUMBER(LT_ltv_asis),LT_upb),0)</f>
        <v>0.697033361526276</v>
      </c>
      <c r="O238" s="23" t="n">
        <f aca="false">IFERROR(SUMPRODUCT(LT_incl*(ISNUMBER(LT_seas)*(LT_seas&gt;=$V238)*(LT_seas&lt;$W238)),LT_upb,LT_ltv_stab)/SUMPRODUCT(LT_incl*(ISNUMBER(LT_seas)*(LT_seas&gt;=$V238)*(LT_seas&lt;$W238))*ISNUMBER(LT_ltv_stab),LT_upb),0)</f>
        <v>0.651134765684892</v>
      </c>
      <c r="P238" s="25" t="n">
        <f aca="false">IFERROR(SUMPRODUCT(LT_incl*(ISNUMBER(LT_seas)*(LT_seas&gt;=$V238)*(LT_seas&lt;$W238)),LT_upb,LT_seas)/SUMPRODUCT(LT_incl*(ISNUMBER(LT_seas)*(LT_seas&gt;=$V238)*(LT_seas&lt;$W238))*ISNUMBER(LT_seas),LT_upb),0)</f>
        <v>3.74308276668452</v>
      </c>
      <c r="Q238" s="25" t="n">
        <f aca="false">IFERROR(SUMPRODUCT(LT_incl*(ISNUMBER(LT_seas)*(LT_seas&gt;=$V238)*(LT_seas&lt;$W238)),LT_upb,LT_rti)/SUMPRODUCT(LT_incl*(ISNUMBER(LT_seas)*(LT_seas&gt;=$V238)*(LT_seas&lt;$W238))*ISNUMBER(LT_rti),LT_upb),0)</f>
        <v>25.4977826995563</v>
      </c>
      <c r="R238" s="25" t="n">
        <f aca="false">IFERROR(SUMPRODUCT(LT_incl*(ISNUMBER(LT_seas)*(LT_seas&gt;=$V238)*(LT_seas&lt;$W238)),LT_upb,LT_rte)/SUMPRODUCT(LT_incl*(ISNUMBER(LT_seas)*(LT_seas&gt;=$V238)*(LT_seas&lt;$W238))*ISNUMBER(LT_rte),LT_upb),0)</f>
        <v>37.263331147924</v>
      </c>
      <c r="S238" s="23" t="n">
        <f aca="false">IFERROR(SUMPRODUCT(LT_incl*(ISNUMBER(LT_seas)*(LT_seas&gt;=$V238)*(LT_seas&lt;$W238)),LT_backdebt)/G238,0)</f>
        <v>0.734748328458898</v>
      </c>
      <c r="T238" s="23" t="n">
        <f aca="false">IFERROR(SUMPRODUCT(LT_incl*(ISNUMBER(LT_seas)*(LT_seas&gt;=$V238)*(LT_seas&lt;$W238)),LT_equity,LT_roe)/SUMPRODUCT(LT_incl*(ISNUMBER(LT_seas)*(LT_seas&gt;=$V238)*(LT_seas&lt;$W238))*ISNUMBER(LT_roe),LT_equity),0)</f>
        <v>0.119154892680299</v>
      </c>
      <c r="V238" s="49" t="n">
        <v>-1000000000000</v>
      </c>
      <c r="W238" s="49" t="n">
        <v>6</v>
      </c>
    </row>
    <row r="239" customFormat="false" ht="15" hidden="false" customHeight="false" outlineLevel="0" collapsed="false">
      <c r="B239" s="27" t="s">
        <v>202</v>
      </c>
      <c r="C239" s="44" t="n">
        <f aca="false">SUMPRODUCT(LT_incl*(ISNUMBER(LT_seas)*(LT_seas&gt;=$V239)*(LT_seas&lt;$W239)))</f>
        <v>17</v>
      </c>
      <c r="D239" s="32" t="n">
        <f aca="false">IFERROR(C239/StratLoans,0)</f>
        <v>0.129770992366412</v>
      </c>
      <c r="E239" s="44" t="n">
        <f aca="false">SUMPRODUCT(LT_incl*(ISNUMBER(LT_seas)*(LT_seas&gt;=$V239)*(LT_seas&lt;$W239)),LT_units)</f>
        <v>3236</v>
      </c>
      <c r="F239" s="44" t="n">
        <f aca="false">SUMPRODUCT(LT_incl*(ISNUMBER(LT_seas)*(LT_seas&gt;=$V239)*(LT_seas&lt;$W239)),LT_beds)</f>
        <v>1038</v>
      </c>
      <c r="G239" s="31" t="n">
        <f aca="false">SUMPRODUCT(LT_incl*(ISNUMBER(LT_seas)*(LT_seas&gt;=$V239)*(LT_seas&lt;$W239)),LT_upb)</f>
        <v>553002669.52</v>
      </c>
      <c r="H239" s="32" t="n">
        <f aca="false">IFERROR(G239/StratUPB,0)</f>
        <v>0.14880904111927</v>
      </c>
      <c r="I239" s="31" t="n">
        <f aca="false">IFERROR(G239/C239,0)</f>
        <v>32529568.7952941</v>
      </c>
      <c r="J239" s="31" t="n">
        <f aca="false">SUMPRODUCT(LT_incl*(ISNUMBER(LT_seas)*(LT_seas&gt;=$V239)*(LT_seas&lt;$W239)),LT_unfunded)</f>
        <v>6609084.9</v>
      </c>
      <c r="K239" s="31" t="n">
        <f aca="false">SUMPRODUCT(LT_incl*(ISNUMBER(LT_seas)*(LT_seas&gt;=$V239)*(LT_seas&lt;$W239)),LT_navres)</f>
        <v>-2529654.06269062</v>
      </c>
      <c r="L239" s="33" t="n">
        <f aca="false">IFERROR(SUMPRODUCT(LT_incl*(ISNUMBER(LT_seas)*(LT_seas&gt;=$V239)*(LT_seas&lt;$W239)),LT_upb,LT_eff)/SUMPRODUCT(LT_incl*(ISNUMBER(LT_seas)*(LT_seas&gt;=$V239)*(LT_seas&lt;$W239))*ISNUMBER(LT_eff),LT_upb),0)</f>
        <v>0.0345939525128606</v>
      </c>
      <c r="M239" s="33" t="n">
        <f aca="false">IFERROR(SUMPRODUCT(LT_incl*(ISNUMBER(LT_seas)*(LT_seas&gt;=$V239)*(LT_seas&lt;$W239)),LT_upb,LT_coupon)/SUMPRODUCT(LT_incl*(ISNUMBER(LT_seas)*(LT_seas&gt;=$V239)*(LT_seas&lt;$W239))*ISNUMBER(LT_coupon),LT_upb),0)</f>
        <v>0.0710939525128606</v>
      </c>
      <c r="N239" s="32" t="n">
        <f aca="false">IFERROR(SUMPRODUCT(LT_incl*(ISNUMBER(LT_seas)*(LT_seas&gt;=$V239)*(LT_seas&lt;$W239)),LT_upb,LT_ltv_asis)/SUMPRODUCT(LT_incl*(ISNUMBER(LT_seas)*(LT_seas&gt;=$V239)*(LT_seas&lt;$W239))*ISNUMBER(LT_ltv_asis),LT_upb),0)</f>
        <v>0.736214545597867</v>
      </c>
      <c r="O239" s="32" t="n">
        <f aca="false">IFERROR(SUMPRODUCT(LT_incl*(ISNUMBER(LT_seas)*(LT_seas&gt;=$V239)*(LT_seas&lt;$W239)),LT_upb,LT_ltv_stab)/SUMPRODUCT(LT_incl*(ISNUMBER(LT_seas)*(LT_seas&gt;=$V239)*(LT_seas&lt;$W239))*ISNUMBER(LT_ltv_stab),LT_upb),0)</f>
        <v>0.692393496464264</v>
      </c>
      <c r="P239" s="34" t="n">
        <f aca="false">IFERROR(SUMPRODUCT(LT_incl*(ISNUMBER(LT_seas)*(LT_seas&gt;=$V239)*(LT_seas&lt;$W239)),LT_upb,LT_seas)/SUMPRODUCT(LT_incl*(ISNUMBER(LT_seas)*(LT_seas&gt;=$V239)*(LT_seas&lt;$W239))*ISNUMBER(LT_seas),LT_upb),0)</f>
        <v>9.06299328860382</v>
      </c>
      <c r="Q239" s="34" t="n">
        <f aca="false">IFERROR(SUMPRODUCT(LT_incl*(ISNUMBER(LT_seas)*(LT_seas&gt;=$V239)*(LT_seas&lt;$W239)),LT_upb,LT_rti)/SUMPRODUCT(LT_incl*(ISNUMBER(LT_seas)*(LT_seas&gt;=$V239)*(LT_seas&lt;$W239))*ISNUMBER(LT_rti),LT_upb),0)</f>
        <v>18.9497581909972</v>
      </c>
      <c r="R239" s="34" t="n">
        <f aca="false">IFERROR(SUMPRODUCT(LT_incl*(ISNUMBER(LT_seas)*(LT_seas&gt;=$V239)*(LT_seas&lt;$W239)),LT_upb,LT_rte)/SUMPRODUCT(LT_incl*(ISNUMBER(LT_seas)*(LT_seas&gt;=$V239)*(LT_seas&lt;$W239))*ISNUMBER(LT_rte),LT_upb),0)</f>
        <v>38.1497159311888</v>
      </c>
      <c r="S239" s="32" t="n">
        <f aca="false">IFERROR(SUMPRODUCT(LT_incl*(ISNUMBER(LT_seas)*(LT_seas&gt;=$V239)*(LT_seas&lt;$W239)),LT_backdebt)/G239,0)</f>
        <v>0.632542857057408</v>
      </c>
      <c r="T239" s="32" t="n">
        <f aca="false">IFERROR(SUMPRODUCT(LT_incl*(ISNUMBER(LT_seas)*(LT_seas&gt;=$V239)*(LT_seas&lt;$W239)),LT_equity,LT_roe)/SUMPRODUCT(LT_incl*(ISNUMBER(LT_seas)*(LT_seas&gt;=$V239)*(LT_seas&lt;$W239))*ISNUMBER(LT_roe),LT_equity),0)</f>
        <v>0.101892857289997</v>
      </c>
      <c r="V239" s="49" t="n">
        <v>6</v>
      </c>
      <c r="W239" s="49" t="n">
        <v>12</v>
      </c>
    </row>
    <row r="240" customFormat="false" ht="15" hidden="false" customHeight="false" outlineLevel="0" collapsed="false">
      <c r="B240" s="18" t="s">
        <v>203</v>
      </c>
      <c r="C240" s="26" t="n">
        <f aca="false">SUMPRODUCT(LT_incl*(ISNUMBER(LT_seas)*(LT_seas&gt;=$V240)*(LT_seas&lt;$W240)))</f>
        <v>31</v>
      </c>
      <c r="D240" s="23" t="n">
        <f aca="false">IFERROR(C240/StratLoans,0)</f>
        <v>0.236641221374046</v>
      </c>
      <c r="E240" s="26" t="n">
        <f aca="false">SUMPRODUCT(LT_incl*(ISNUMBER(LT_seas)*(LT_seas&gt;=$V240)*(LT_seas&lt;$W240)),LT_units)</f>
        <v>4071</v>
      </c>
      <c r="F240" s="26" t="n">
        <f aca="false">SUMPRODUCT(LT_incl*(ISNUMBER(LT_seas)*(LT_seas&gt;=$V240)*(LT_seas&lt;$W240)),LT_beds)</f>
        <v>3446</v>
      </c>
      <c r="G240" s="22" t="n">
        <f aca="false">SUMPRODUCT(LT_incl*(ISNUMBER(LT_seas)*(LT_seas&gt;=$V240)*(LT_seas&lt;$W240)),LT_upb)</f>
        <v>967380373.47</v>
      </c>
      <c r="H240" s="23" t="n">
        <f aca="false">IFERROR(G240/StratUPB,0)</f>
        <v>0.260315101007783</v>
      </c>
      <c r="I240" s="22" t="n">
        <f aca="false">IFERROR(G240/C240,0)</f>
        <v>31205818.4990323</v>
      </c>
      <c r="J240" s="22" t="n">
        <f aca="false">SUMPRODUCT(LT_incl*(ISNUMBER(LT_seas)*(LT_seas&gt;=$V240)*(LT_seas&lt;$W240)),LT_unfunded)</f>
        <v>34303874.38</v>
      </c>
      <c r="K240" s="22" t="n">
        <f aca="false">SUMPRODUCT(LT_incl*(ISNUMBER(LT_seas)*(LT_seas&gt;=$V240)*(LT_seas&lt;$W240)),LT_navres)</f>
        <v>0</v>
      </c>
      <c r="L240" s="24" t="n">
        <f aca="false">IFERROR(SUMPRODUCT(LT_incl*(ISNUMBER(LT_seas)*(LT_seas&gt;=$V240)*(LT_seas&lt;$W240)),LT_upb,LT_eff)/SUMPRODUCT(LT_incl*(ISNUMBER(LT_seas)*(LT_seas&gt;=$V240)*(LT_seas&lt;$W240))*ISNUMBER(LT_eff),LT_upb),0)</f>
        <v>0.0404889685472874</v>
      </c>
      <c r="M240" s="24" t="n">
        <f aca="false">IFERROR(SUMPRODUCT(LT_incl*(ISNUMBER(LT_seas)*(LT_seas&gt;=$V240)*(LT_seas&lt;$W240)),LT_upb,LT_coupon)/SUMPRODUCT(LT_incl*(ISNUMBER(LT_seas)*(LT_seas&gt;=$V240)*(LT_seas&lt;$W240))*ISNUMBER(LT_coupon),LT_upb),0)</f>
        <v>0.0769889685472874</v>
      </c>
      <c r="N240" s="23" t="n">
        <f aca="false">IFERROR(SUMPRODUCT(LT_incl*(ISNUMBER(LT_seas)*(LT_seas&gt;=$V240)*(LT_seas&lt;$W240)),LT_upb,LT_ltv_asis)/SUMPRODUCT(LT_incl*(ISNUMBER(LT_seas)*(LT_seas&gt;=$V240)*(LT_seas&lt;$W240))*ISNUMBER(LT_ltv_asis),LT_upb),0)</f>
        <v>0.620414095876418</v>
      </c>
      <c r="O240" s="23" t="n">
        <f aca="false">IFERROR(SUMPRODUCT(LT_incl*(ISNUMBER(LT_seas)*(LT_seas&gt;=$V240)*(LT_seas&lt;$W240)),LT_upb,LT_ltv_stab)/SUMPRODUCT(LT_incl*(ISNUMBER(LT_seas)*(LT_seas&gt;=$V240)*(LT_seas&lt;$W240))*ISNUMBER(LT_ltv_stab),LT_upb),0)</f>
        <v>0.629176342601828</v>
      </c>
      <c r="P240" s="25" t="n">
        <f aca="false">IFERROR(SUMPRODUCT(LT_incl*(ISNUMBER(LT_seas)*(LT_seas&gt;=$V240)*(LT_seas&lt;$W240)),LT_upb,LT_seas)/SUMPRODUCT(LT_incl*(ISNUMBER(LT_seas)*(LT_seas&gt;=$V240)*(LT_seas&lt;$W240))*ISNUMBER(LT_seas),LT_upb),0)</f>
        <v>17.6555821407299</v>
      </c>
      <c r="Q240" s="25" t="n">
        <f aca="false">IFERROR(SUMPRODUCT(LT_incl*(ISNUMBER(LT_seas)*(LT_seas&gt;=$V240)*(LT_seas&lt;$W240)),LT_upb,LT_rti)/SUMPRODUCT(LT_incl*(ISNUMBER(LT_seas)*(LT_seas&gt;=$V240)*(LT_seas&lt;$W240))*ISNUMBER(LT_rti),LT_upb),0)</f>
        <v>8.34541621594969</v>
      </c>
      <c r="R240" s="25" t="n">
        <f aca="false">IFERROR(SUMPRODUCT(LT_incl*(ISNUMBER(LT_seas)*(LT_seas&gt;=$V240)*(LT_seas&lt;$W240)),LT_upb,LT_rte)/SUMPRODUCT(LT_incl*(ISNUMBER(LT_seas)*(LT_seas&gt;=$V240)*(LT_seas&lt;$W240))*ISNUMBER(LT_rte),LT_upb),0)</f>
        <v>26.2539291712819</v>
      </c>
      <c r="S240" s="23" t="n">
        <f aca="false">IFERROR(SUMPRODUCT(LT_incl*(ISNUMBER(LT_seas)*(LT_seas&gt;=$V240)*(LT_seas&lt;$W240)),LT_backdebt)/G240,0)</f>
        <v>0.678920563166185</v>
      </c>
      <c r="T240" s="23" t="n">
        <f aca="false">IFERROR(SUMPRODUCT(LT_incl*(ISNUMBER(LT_seas)*(LT_seas&gt;=$V240)*(LT_seas&lt;$W240)),LT_equity,LT_roe)/SUMPRODUCT(LT_incl*(ISNUMBER(LT_seas)*(LT_seas&gt;=$V240)*(LT_seas&lt;$W240))*ISNUMBER(LT_roe),LT_equity),0)</f>
        <v>0.120214874689085</v>
      </c>
      <c r="V240" s="49" t="n">
        <v>12</v>
      </c>
      <c r="W240" s="49" t="n">
        <v>24</v>
      </c>
    </row>
    <row r="241" customFormat="false" ht="15" hidden="false" customHeight="false" outlineLevel="0" collapsed="false">
      <c r="B241" s="27" t="s">
        <v>204</v>
      </c>
      <c r="C241" s="44" t="n">
        <f aca="false">SUMPRODUCT(LT_incl*(ISNUMBER(LT_seas)*(LT_seas&gt;=$V241)*(LT_seas&lt;$W241)))</f>
        <v>12</v>
      </c>
      <c r="D241" s="32" t="n">
        <f aca="false">IFERROR(C241/StratLoans,0)</f>
        <v>0.0916030534351145</v>
      </c>
      <c r="E241" s="44" t="n">
        <f aca="false">SUMPRODUCT(LT_incl*(ISNUMBER(LT_seas)*(LT_seas&gt;=$V241)*(LT_seas&lt;$W241)),LT_units)</f>
        <v>1405</v>
      </c>
      <c r="F241" s="44" t="n">
        <f aca="false">SUMPRODUCT(LT_incl*(ISNUMBER(LT_seas)*(LT_seas&gt;=$V241)*(LT_seas&lt;$W241)),LT_beds)</f>
        <v>1106</v>
      </c>
      <c r="G241" s="31" t="n">
        <f aca="false">SUMPRODUCT(LT_incl*(ISNUMBER(LT_seas)*(LT_seas&gt;=$V241)*(LT_seas&lt;$W241)),LT_upb)</f>
        <v>394360613.44</v>
      </c>
      <c r="H241" s="32" t="n">
        <f aca="false">IFERROR(G241/StratUPB,0)</f>
        <v>0.106119604797118</v>
      </c>
      <c r="I241" s="31" t="n">
        <f aca="false">IFERROR(G241/C241,0)</f>
        <v>32863384.4533333</v>
      </c>
      <c r="J241" s="31" t="n">
        <f aca="false">SUMPRODUCT(LT_incl*(ISNUMBER(LT_seas)*(LT_seas&gt;=$V241)*(LT_seas&lt;$W241)),LT_unfunded)</f>
        <v>1122480.72</v>
      </c>
      <c r="K241" s="31" t="n">
        <f aca="false">SUMPRODUCT(LT_incl*(ISNUMBER(LT_seas)*(LT_seas&gt;=$V241)*(LT_seas&lt;$W241)),LT_navres)</f>
        <v>0</v>
      </c>
      <c r="L241" s="33" t="n">
        <f aca="false">IFERROR(SUMPRODUCT(LT_incl*(ISNUMBER(LT_seas)*(LT_seas&gt;=$V241)*(LT_seas&lt;$W241)),LT_upb,LT_eff)/SUMPRODUCT(LT_incl*(ISNUMBER(LT_seas)*(LT_seas&gt;=$V241)*(LT_seas&lt;$W241))*ISNUMBER(LT_eff),LT_upb),0)</f>
        <v>0.0454598860689281</v>
      </c>
      <c r="M241" s="33" t="n">
        <f aca="false">IFERROR(SUMPRODUCT(LT_incl*(ISNUMBER(LT_seas)*(LT_seas&gt;=$V241)*(LT_seas&lt;$W241)),LT_upb,LT_coupon)/SUMPRODUCT(LT_incl*(ISNUMBER(LT_seas)*(LT_seas&gt;=$V241)*(LT_seas&lt;$W241))*ISNUMBER(LT_coupon),LT_upb),0)</f>
        <v>0.0819598860689281</v>
      </c>
      <c r="N241" s="32" t="n">
        <f aca="false">IFERROR(SUMPRODUCT(LT_incl*(ISNUMBER(LT_seas)*(LT_seas&gt;=$V241)*(LT_seas&lt;$W241)),LT_upb,LT_ltv_asis)/SUMPRODUCT(LT_incl*(ISNUMBER(LT_seas)*(LT_seas&gt;=$V241)*(LT_seas&lt;$W241))*ISNUMBER(LT_ltv_asis),LT_upb),0)</f>
        <v>0.622746033928975</v>
      </c>
      <c r="O241" s="32" t="n">
        <f aca="false">IFERROR(SUMPRODUCT(LT_incl*(ISNUMBER(LT_seas)*(LT_seas&gt;=$V241)*(LT_seas&lt;$W241)),LT_upb,LT_ltv_stab)/SUMPRODUCT(LT_incl*(ISNUMBER(LT_seas)*(LT_seas&gt;=$V241)*(LT_seas&lt;$W241))*ISNUMBER(LT_ltv_stab),LT_upb),0)</f>
        <v>0.633346890561331</v>
      </c>
      <c r="P241" s="34" t="n">
        <f aca="false">IFERROR(SUMPRODUCT(LT_incl*(ISNUMBER(LT_seas)*(LT_seas&gt;=$V241)*(LT_seas&lt;$W241)),LT_upb,LT_seas)/SUMPRODUCT(LT_incl*(ISNUMBER(LT_seas)*(LT_seas&gt;=$V241)*(LT_seas&lt;$W241))*ISNUMBER(LT_seas),LT_upb),0)</f>
        <v>30.7951896760672</v>
      </c>
      <c r="Q241" s="34" t="n">
        <f aca="false">IFERROR(SUMPRODUCT(LT_incl*(ISNUMBER(LT_seas)*(LT_seas&gt;=$V241)*(LT_seas&lt;$W241)),LT_upb,LT_rti)/SUMPRODUCT(LT_incl*(ISNUMBER(LT_seas)*(LT_seas&gt;=$V241)*(LT_seas&lt;$W241))*ISNUMBER(LT_rti),LT_upb),0)</f>
        <v>1.43871005173856</v>
      </c>
      <c r="R241" s="34" t="n">
        <f aca="false">IFERROR(SUMPRODUCT(LT_incl*(ISNUMBER(LT_seas)*(LT_seas&gt;=$V241)*(LT_seas&lt;$W241)),LT_upb,LT_rte)/SUMPRODUCT(LT_incl*(ISNUMBER(LT_seas)*(LT_seas&gt;=$V241)*(LT_seas&lt;$W241))*ISNUMBER(LT_rte),LT_upb),0)</f>
        <v>14.7535276482375</v>
      </c>
      <c r="S241" s="32" t="n">
        <f aca="false">IFERROR(SUMPRODUCT(LT_incl*(ISNUMBER(LT_seas)*(LT_seas&gt;=$V241)*(LT_seas&lt;$W241)),LT_backdebt)/G241,0)</f>
        <v>0.781205894692817</v>
      </c>
      <c r="T241" s="32" t="n">
        <f aca="false">IFERROR(SUMPRODUCT(LT_incl*(ISNUMBER(LT_seas)*(LT_seas&gt;=$V241)*(LT_seas&lt;$W241)),LT_equity,LT_roe)/SUMPRODUCT(LT_incl*(ISNUMBER(LT_seas)*(LT_seas&gt;=$V241)*(LT_seas&lt;$W241))*ISNUMBER(LT_roe),LT_equity),0)</f>
        <v>0.176910085547974</v>
      </c>
      <c r="V241" s="49" t="n">
        <v>24</v>
      </c>
      <c r="W241" s="49" t="n">
        <v>36</v>
      </c>
    </row>
    <row r="242" customFormat="false" ht="15" hidden="false" customHeight="false" outlineLevel="0" collapsed="false">
      <c r="B242" s="18" t="s">
        <v>205</v>
      </c>
      <c r="C242" s="26" t="n">
        <f aca="false">SUMPRODUCT(LT_incl*(ISNUMBER(LT_seas)*(LT_seas&gt;=$V242)*(LT_seas&lt;$W242)))</f>
        <v>5</v>
      </c>
      <c r="D242" s="23" t="n">
        <f aca="false">IFERROR(C242/StratLoans,0)</f>
        <v>0.0381679389312977</v>
      </c>
      <c r="E242" s="26" t="n">
        <f aca="false">SUMPRODUCT(LT_incl*(ISNUMBER(LT_seas)*(LT_seas&gt;=$V242)*(LT_seas&lt;$W242)),LT_units)</f>
        <v>1273</v>
      </c>
      <c r="F242" s="26" t="n">
        <f aca="false">SUMPRODUCT(LT_incl*(ISNUMBER(LT_seas)*(LT_seas&gt;=$V242)*(LT_seas&lt;$W242)),LT_beds)</f>
        <v>0</v>
      </c>
      <c r="G242" s="22" t="n">
        <f aca="false">SUMPRODUCT(LT_incl*(ISNUMBER(LT_seas)*(LT_seas&gt;=$V242)*(LT_seas&lt;$W242)),LT_upb)</f>
        <v>70897626.84</v>
      </c>
      <c r="H242" s="23" t="n">
        <f aca="false">IFERROR(G242/StratUPB,0)</f>
        <v>0.0190780414800704</v>
      </c>
      <c r="I242" s="22" t="n">
        <f aca="false">IFERROR(G242/C242,0)</f>
        <v>14179525.368</v>
      </c>
      <c r="J242" s="22" t="n">
        <f aca="false">SUMPRODUCT(LT_incl*(ISNUMBER(LT_seas)*(LT_seas&gt;=$V242)*(LT_seas&lt;$W242)),LT_unfunded)</f>
        <v>13373373.16</v>
      </c>
      <c r="K242" s="22" t="n">
        <f aca="false">SUMPRODUCT(LT_incl*(ISNUMBER(LT_seas)*(LT_seas&gt;=$V242)*(LT_seas&lt;$W242)),LT_navres)</f>
        <v>0</v>
      </c>
      <c r="L242" s="24" t="n">
        <f aca="false">IFERROR(SUMPRODUCT(LT_incl*(ISNUMBER(LT_seas)*(LT_seas&gt;=$V242)*(LT_seas&lt;$W242)),LT_upb,LT_eff)/SUMPRODUCT(LT_incl*(ISNUMBER(LT_seas)*(LT_seas&gt;=$V242)*(LT_seas&lt;$W242))*ISNUMBER(LT_eff),LT_upb),0)</f>
        <v>0.0412197846313695</v>
      </c>
      <c r="M242" s="24" t="n">
        <f aca="false">IFERROR(SUMPRODUCT(LT_incl*(ISNUMBER(LT_seas)*(LT_seas&gt;=$V242)*(LT_seas&lt;$W242)),LT_upb,LT_coupon)/SUMPRODUCT(LT_incl*(ISNUMBER(LT_seas)*(LT_seas&gt;=$V242)*(LT_seas&lt;$W242))*ISNUMBER(LT_coupon),LT_upb),0)</f>
        <v>0.0777197846313695</v>
      </c>
      <c r="N242" s="23" t="n">
        <f aca="false">IFERROR(SUMPRODUCT(LT_incl*(ISNUMBER(LT_seas)*(LT_seas&gt;=$V242)*(LT_seas&lt;$W242)),LT_upb,LT_ltv_asis)/SUMPRODUCT(LT_incl*(ISNUMBER(LT_seas)*(LT_seas&gt;=$V242)*(LT_seas&lt;$W242))*ISNUMBER(LT_ltv_asis),LT_upb),0)</f>
        <v>0.466829129454891</v>
      </c>
      <c r="O242" s="23" t="n">
        <f aca="false">IFERROR(SUMPRODUCT(LT_incl*(ISNUMBER(LT_seas)*(LT_seas&gt;=$V242)*(LT_seas&lt;$W242)),LT_upb,LT_ltv_stab)/SUMPRODUCT(LT_incl*(ISNUMBER(LT_seas)*(LT_seas&gt;=$V242)*(LT_seas&lt;$W242))*ISNUMBER(LT_ltv_stab),LT_upb),0)</f>
        <v>0.611217566897554</v>
      </c>
      <c r="P242" s="25" t="n">
        <f aca="false">IFERROR(SUMPRODUCT(LT_incl*(ISNUMBER(LT_seas)*(LT_seas&gt;=$V242)*(LT_seas&lt;$W242)),LT_upb,LT_seas)/SUMPRODUCT(LT_incl*(ISNUMBER(LT_seas)*(LT_seas&gt;=$V242)*(LT_seas&lt;$W242))*ISNUMBER(LT_seas),LT_upb),0)</f>
        <v>41.7754945756527</v>
      </c>
      <c r="Q242" s="25" t="n">
        <f aca="false">IFERROR(SUMPRODUCT(LT_incl*(ISNUMBER(LT_seas)*(LT_seas&gt;=$V242)*(LT_seas&lt;$W242)),LT_upb,LT_rti)/SUMPRODUCT(LT_incl*(ISNUMBER(LT_seas)*(LT_seas&gt;=$V242)*(LT_seas&lt;$W242))*ISNUMBER(LT_rti),LT_upb),0)</f>
        <v>4.02371696046597</v>
      </c>
      <c r="R242" s="25" t="n">
        <f aca="false">IFERROR(SUMPRODUCT(LT_incl*(ISNUMBER(LT_seas)*(LT_seas&gt;=$V242)*(LT_seas&lt;$W242)),LT_upb,LT_rte)/SUMPRODUCT(LT_incl*(ISNUMBER(LT_seas)*(LT_seas&gt;=$V242)*(LT_seas&lt;$W242))*ISNUMBER(LT_rte),LT_upb),0)</f>
        <v>14.309233001414</v>
      </c>
      <c r="S242" s="23" t="n">
        <f aca="false">IFERROR(SUMPRODUCT(LT_incl*(ISNUMBER(LT_seas)*(LT_seas&gt;=$V242)*(LT_seas&lt;$W242)),LT_backdebt)/G242,0)</f>
        <v>0.468568032150206</v>
      </c>
      <c r="T242" s="23" t="n">
        <f aca="false">IFERROR(SUMPRODUCT(LT_incl*(ISNUMBER(LT_seas)*(LT_seas&gt;=$V242)*(LT_seas&lt;$W242)),LT_equity,LT_roe)/SUMPRODUCT(LT_incl*(ISNUMBER(LT_seas)*(LT_seas&gt;=$V242)*(LT_seas&lt;$W242))*ISNUMBER(LT_roe),LT_equity),0)</f>
        <v>0.0992006305293255</v>
      </c>
      <c r="V242" s="49" t="n">
        <v>36</v>
      </c>
      <c r="W242" s="49" t="n">
        <v>48</v>
      </c>
    </row>
    <row r="243" customFormat="false" ht="15" hidden="false" customHeight="false" outlineLevel="0" collapsed="false">
      <c r="B243" s="27" t="s">
        <v>206</v>
      </c>
      <c r="C243" s="44" t="n">
        <f aca="false">SUMPRODUCT(LT_incl*(ISNUMBER(LT_seas)*(LT_seas&gt;=$V243)*(LT_seas&lt;$W243)))</f>
        <v>26</v>
      </c>
      <c r="D243" s="32" t="n">
        <f aca="false">IFERROR(C243/StratLoans,0)</f>
        <v>0.198473282442748</v>
      </c>
      <c r="E243" s="44" t="n">
        <f aca="false">SUMPRODUCT(LT_incl*(ISNUMBER(LT_seas)*(LT_seas&gt;=$V243)*(LT_seas&lt;$W243)),LT_units)</f>
        <v>6569</v>
      </c>
      <c r="F243" s="44" t="n">
        <f aca="false">SUMPRODUCT(LT_incl*(ISNUMBER(LT_seas)*(LT_seas&gt;=$V243)*(LT_seas&lt;$W243)),LT_beds)</f>
        <v>422</v>
      </c>
      <c r="G243" s="31" t="n">
        <f aca="false">SUMPRODUCT(LT_incl*(ISNUMBER(LT_seas)*(LT_seas&gt;=$V243)*(LT_seas&lt;$W243)),LT_upb)</f>
        <v>745711501.74</v>
      </c>
      <c r="H243" s="32" t="n">
        <f aca="false">IFERROR(G243/StratUPB,0)</f>
        <v>0.200665601889155</v>
      </c>
      <c r="I243" s="31" t="n">
        <f aca="false">IFERROR(G243/C243,0)</f>
        <v>28681211.6053846</v>
      </c>
      <c r="J243" s="31" t="n">
        <f aca="false">SUMPRODUCT(LT_incl*(ISNUMBER(LT_seas)*(LT_seas&gt;=$V243)*(LT_seas&lt;$W243)),LT_unfunded)</f>
        <v>5726685.11</v>
      </c>
      <c r="K243" s="31" t="n">
        <f aca="false">SUMPRODUCT(LT_incl*(ISNUMBER(LT_seas)*(LT_seas&gt;=$V243)*(LT_seas&lt;$W243)),LT_navres)</f>
        <v>-16242898.2134798</v>
      </c>
      <c r="L243" s="33" t="n">
        <f aca="false">IFERROR(SUMPRODUCT(LT_incl*(ISNUMBER(LT_seas)*(LT_seas&gt;=$V243)*(LT_seas&lt;$W243)),LT_upb,LT_eff)/SUMPRODUCT(LT_incl*(ISNUMBER(LT_seas)*(LT_seas&gt;=$V243)*(LT_seas&lt;$W243))*ISNUMBER(LT_eff),LT_upb),0)</f>
        <v>0.0365109805657629</v>
      </c>
      <c r="M243" s="33" t="n">
        <f aca="false">IFERROR(SUMPRODUCT(LT_incl*(ISNUMBER(LT_seas)*(LT_seas&gt;=$V243)*(LT_seas&lt;$W243)),LT_upb,LT_coupon)/SUMPRODUCT(LT_incl*(ISNUMBER(LT_seas)*(LT_seas&gt;=$V243)*(LT_seas&lt;$W243))*ISNUMBER(LT_coupon),LT_upb),0)</f>
        <v>0.0730109805657629</v>
      </c>
      <c r="N243" s="32" t="n">
        <f aca="false">IFERROR(SUMPRODUCT(LT_incl*(ISNUMBER(LT_seas)*(LT_seas&gt;=$V243)*(LT_seas&lt;$W243)),LT_upb,LT_ltv_asis)/SUMPRODUCT(LT_incl*(ISNUMBER(LT_seas)*(LT_seas&gt;=$V243)*(LT_seas&lt;$W243))*ISNUMBER(LT_ltv_asis),LT_upb),0)</f>
        <v>0.756388918523555</v>
      </c>
      <c r="O243" s="32" t="n">
        <f aca="false">IFERROR(SUMPRODUCT(LT_incl*(ISNUMBER(LT_seas)*(LT_seas&gt;=$V243)*(LT_seas&lt;$W243)),LT_upb,LT_ltv_stab)/SUMPRODUCT(LT_incl*(ISNUMBER(LT_seas)*(LT_seas&gt;=$V243)*(LT_seas&lt;$W243))*ISNUMBER(LT_ltv_stab),LT_upb),0)</f>
        <v>0.679213771672421</v>
      </c>
      <c r="P243" s="34" t="n">
        <f aca="false">IFERROR(SUMPRODUCT(LT_incl*(ISNUMBER(LT_seas)*(LT_seas&gt;=$V243)*(LT_seas&lt;$W243)),LT_upb,LT_seas)/SUMPRODUCT(LT_incl*(ISNUMBER(LT_seas)*(LT_seas&gt;=$V243)*(LT_seas&lt;$W243))*ISNUMBER(LT_seas),LT_upb),0)</f>
        <v>54.9635568279893</v>
      </c>
      <c r="Q243" s="34" t="n">
        <f aca="false">IFERROR(SUMPRODUCT(LT_incl*(ISNUMBER(LT_seas)*(LT_seas&gt;=$V243)*(LT_seas&lt;$W243)),LT_upb,LT_rti)/SUMPRODUCT(LT_incl*(ISNUMBER(LT_seas)*(LT_seas&gt;=$V243)*(LT_seas&lt;$W243))*ISNUMBER(LT_rti),LT_upb),0)</f>
        <v>0.929047023839864</v>
      </c>
      <c r="R243" s="34" t="n">
        <f aca="false">IFERROR(SUMPRODUCT(LT_incl*(ISNUMBER(LT_seas)*(LT_seas&gt;=$V243)*(LT_seas&lt;$W243)),LT_upb,LT_rte)/SUMPRODUCT(LT_incl*(ISNUMBER(LT_seas)*(LT_seas&gt;=$V243)*(LT_seas&lt;$W243))*ISNUMBER(LT_rte),LT_upb),0)</f>
        <v>4.10838023009501</v>
      </c>
      <c r="S243" s="32" t="n">
        <f aca="false">IFERROR(SUMPRODUCT(LT_incl*(ISNUMBER(LT_seas)*(LT_seas&gt;=$V243)*(LT_seas&lt;$W243)),LT_backdebt)/G243,0)</f>
        <v>0.467485896551917</v>
      </c>
      <c r="T243" s="32" t="n">
        <f aca="false">IFERROR(SUMPRODUCT(LT_incl*(ISNUMBER(LT_seas)*(LT_seas&gt;=$V243)*(LT_seas&lt;$W243)),LT_equity,LT_roe)/SUMPRODUCT(LT_incl*(ISNUMBER(LT_seas)*(LT_seas&gt;=$V243)*(LT_seas&lt;$W243))*ISNUMBER(LT_roe),LT_equity),0)</f>
        <v>0.0882621760931265</v>
      </c>
      <c r="V243" s="49" t="n">
        <v>48</v>
      </c>
      <c r="W243" s="49" t="n">
        <v>60</v>
      </c>
    </row>
    <row r="244" customFormat="false" ht="15" hidden="false" customHeight="false" outlineLevel="0" collapsed="false">
      <c r="B244" s="18" t="s">
        <v>207</v>
      </c>
      <c r="C244" s="26" t="n">
        <f aca="false">SUMPRODUCT(LT_incl*(ISNUMBER(LT_seas)*(LT_seas&gt;=$V244)*(LT_seas&lt;$W244)))</f>
        <v>13</v>
      </c>
      <c r="D244" s="23" t="n">
        <f aca="false">IFERROR(C244/StratLoans,0)</f>
        <v>0.099236641221374</v>
      </c>
      <c r="E244" s="26" t="n">
        <f aca="false">SUMPRODUCT(LT_incl*(ISNUMBER(LT_seas)*(LT_seas&gt;=$V244)*(LT_seas&lt;$W244)),LT_units)</f>
        <v>2460</v>
      </c>
      <c r="F244" s="26" t="n">
        <f aca="false">SUMPRODUCT(LT_incl*(ISNUMBER(LT_seas)*(LT_seas&gt;=$V244)*(LT_seas&lt;$W244)),LT_beds)</f>
        <v>536</v>
      </c>
      <c r="G244" s="22" t="n">
        <f aca="false">SUMPRODUCT(LT_incl*(ISNUMBER(LT_seas)*(LT_seas&gt;=$V244)*(LT_seas&lt;$W244)),LT_upb)</f>
        <v>230520255.4</v>
      </c>
      <c r="H244" s="23" t="n">
        <f aca="false">IFERROR(G244/StratUPB,0)</f>
        <v>0.0620313428042188</v>
      </c>
      <c r="I244" s="22" t="n">
        <f aca="false">IFERROR(G244/C244,0)</f>
        <v>17732327.3384615</v>
      </c>
      <c r="J244" s="22" t="n">
        <f aca="false">SUMPRODUCT(LT_incl*(ISNUMBER(LT_seas)*(LT_seas&gt;=$V244)*(LT_seas&lt;$W244)),LT_unfunded)</f>
        <v>0</v>
      </c>
      <c r="K244" s="22" t="n">
        <f aca="false">SUMPRODUCT(LT_incl*(ISNUMBER(LT_seas)*(LT_seas&gt;=$V244)*(LT_seas&lt;$W244)),LT_navres)</f>
        <v>-16988702.7548765</v>
      </c>
      <c r="L244" s="24" t="n">
        <f aca="false">IFERROR(SUMPRODUCT(LT_incl*(ISNUMBER(LT_seas)*(LT_seas&gt;=$V244)*(LT_seas&lt;$W244)),LT_upb,LT_eff)/SUMPRODUCT(LT_incl*(ISNUMBER(LT_seas)*(LT_seas&gt;=$V244)*(LT_seas&lt;$W244))*ISNUMBER(LT_eff),LT_upb),0)</f>
        <v>0.0404229744313827</v>
      </c>
      <c r="M244" s="24" t="n">
        <f aca="false">IFERROR(SUMPRODUCT(LT_incl*(ISNUMBER(LT_seas)*(LT_seas&gt;=$V244)*(LT_seas&lt;$W244)),LT_upb,LT_coupon)/SUMPRODUCT(LT_incl*(ISNUMBER(LT_seas)*(LT_seas&gt;=$V244)*(LT_seas&lt;$W244))*ISNUMBER(LT_coupon),LT_upb),0)</f>
        <v>0.0769229744313827</v>
      </c>
      <c r="N244" s="23" t="n">
        <f aca="false">IFERROR(SUMPRODUCT(LT_incl*(ISNUMBER(LT_seas)*(LT_seas&gt;=$V244)*(LT_seas&lt;$W244)),LT_upb,LT_ltv_asis)/SUMPRODUCT(LT_incl*(ISNUMBER(LT_seas)*(LT_seas&gt;=$V244)*(LT_seas&lt;$W244))*ISNUMBER(LT_ltv_asis),LT_upb),0)</f>
        <v>0.754427546553032</v>
      </c>
      <c r="O244" s="23" t="n">
        <f aca="false">IFERROR(SUMPRODUCT(LT_incl*(ISNUMBER(LT_seas)*(LT_seas&gt;=$V244)*(LT_seas&lt;$W244)),LT_upb,LT_ltv_stab)/SUMPRODUCT(LT_incl*(ISNUMBER(LT_seas)*(LT_seas&gt;=$V244)*(LT_seas&lt;$W244))*ISNUMBER(LT_ltv_stab),LT_upb),0)</f>
        <v>0.724637101807726</v>
      </c>
      <c r="P244" s="25" t="n">
        <f aca="false">IFERROR(SUMPRODUCT(LT_incl*(ISNUMBER(LT_seas)*(LT_seas&gt;=$V244)*(LT_seas&lt;$W244)),LT_upb,LT_seas)/SUMPRODUCT(LT_incl*(ISNUMBER(LT_seas)*(LT_seas&gt;=$V244)*(LT_seas&lt;$W244))*ISNUMBER(LT_seas),LT_upb),0)</f>
        <v>68.0463798394453</v>
      </c>
      <c r="Q244" s="25" t="n">
        <f aca="false">IFERROR(SUMPRODUCT(LT_incl*(ISNUMBER(LT_seas)*(LT_seas&gt;=$V244)*(LT_seas&lt;$W244)),LT_upb,LT_rti)/SUMPRODUCT(LT_incl*(ISNUMBER(LT_seas)*(LT_seas&gt;=$V244)*(LT_seas&lt;$W244))*ISNUMBER(LT_rti),LT_upb),0)</f>
        <v>2.13869996652409</v>
      </c>
      <c r="R244" s="25" t="n">
        <f aca="false">IFERROR(SUMPRODUCT(LT_incl*(ISNUMBER(LT_seas)*(LT_seas&gt;=$V244)*(LT_seas&lt;$W244)),LT_upb,LT_rte)/SUMPRODUCT(LT_incl*(ISNUMBER(LT_seas)*(LT_seas&gt;=$V244)*(LT_seas&lt;$W244))*ISNUMBER(LT_rte),LT_upb),0)</f>
        <v>5.05198518478581</v>
      </c>
      <c r="S244" s="23" t="n">
        <f aca="false">IFERROR(SUMPRODUCT(LT_incl*(ISNUMBER(LT_seas)*(LT_seas&gt;=$V244)*(LT_seas&lt;$W244)),LT_backdebt)/G244,0)</f>
        <v>0.360380478738616</v>
      </c>
      <c r="T244" s="23" t="n">
        <f aca="false">IFERROR(SUMPRODUCT(LT_incl*(ISNUMBER(LT_seas)*(LT_seas&gt;=$V244)*(LT_seas&lt;$W244)),LT_equity,LT_roe)/SUMPRODUCT(LT_incl*(ISNUMBER(LT_seas)*(LT_seas&gt;=$V244)*(LT_seas&lt;$W244))*ISNUMBER(LT_roe),LT_equity),0)</f>
        <v>0.0902725128451302</v>
      </c>
      <c r="V244" s="49" t="n">
        <v>60</v>
      </c>
      <c r="W244" s="49" t="n">
        <v>1000000000000</v>
      </c>
    </row>
    <row r="245" customFormat="false" ht="15" hidden="false" customHeight="false" outlineLevel="0" collapsed="false">
      <c r="B245" s="35" t="s">
        <v>76</v>
      </c>
      <c r="C245" s="45" t="n">
        <f aca="false">SUMPRODUCT(LT_incl*(1))</f>
        <v>131</v>
      </c>
      <c r="D245" s="38" t="n">
        <f aca="false">IFERROR(C245/StratLoans,0)</f>
        <v>1</v>
      </c>
      <c r="E245" s="45" t="n">
        <f aca="false">SUMPRODUCT(LT_incl*(1),LT_units)</f>
        <v>22360</v>
      </c>
      <c r="F245" s="45" t="n">
        <f aca="false">SUMPRODUCT(LT_incl*(1),LT_beds)</f>
        <v>8726</v>
      </c>
      <c r="G245" s="37" t="n">
        <f aca="false">SUMPRODUCT(LT_incl*(1),LT_upb)</f>
        <v>3716189993.3</v>
      </c>
      <c r="H245" s="38" t="n">
        <f aca="false">IFERROR(G245/StratUPB,0)</f>
        <v>1</v>
      </c>
      <c r="I245" s="37" t="n">
        <f aca="false">IFERROR(G245/C245,0)</f>
        <v>28367862.5442748</v>
      </c>
      <c r="J245" s="37" t="n">
        <f aca="false">SUMPRODUCT(LT_incl*(1),LT_unfunded)</f>
        <v>70425498.27</v>
      </c>
      <c r="K245" s="37" t="n">
        <f aca="false">SUMPRODUCT(LT_incl*(1),LT_navres)</f>
        <v>-35761255.0310469</v>
      </c>
      <c r="L245" s="39" t="n">
        <f aca="false">IFERROR(SUMPRODUCT(LT_incl*(1),LT_upb,LT_eff)/SUMPRODUCT(LT_incl*(1)*ISNUMBER(LT_eff),LT_upb),0)</f>
        <v>0.0384104790702225</v>
      </c>
      <c r="M245" s="39" t="n">
        <f aca="false">IFERROR(SUMPRODUCT(LT_incl*(1),LT_upb,LT_coupon)/SUMPRODUCT(LT_incl*(1)*ISNUMBER(LT_coupon),LT_upb),0)</f>
        <v>0.0749104790702225</v>
      </c>
      <c r="N245" s="38" t="n">
        <f aca="false">IFERROR(SUMPRODUCT(LT_incl*(1),LT_upb,LT_ltv_asis)/SUMPRODUCT(LT_incl*(1)*ISNUMBER(LT_ltv_asis),LT_upb),0)</f>
        <v>0.685976245136614</v>
      </c>
      <c r="O245" s="38" t="n">
        <f aca="false">IFERROR(SUMPRODUCT(LT_incl*(1),LT_upb,LT_ltv_stab)/SUMPRODUCT(LT_incl*(1)*ISNUMBER(LT_ltv_stab),LT_upb),0)</f>
        <v>0.658970555756018</v>
      </c>
      <c r="P245" s="40" t="n">
        <f aca="false">IFERROR(SUMPRODUCT(LT_incl*(1),LT_upb,LT_seas)/SUMPRODUCT(LT_incl*(1)*ISNUMBER(LT_seas),LT_upb),0)</f>
        <v>26.0197171750702</v>
      </c>
      <c r="Q245" s="40" t="n">
        <f aca="false">IFERROR(SUMPRODUCT(LT_incl*(1),LT_upb,LT_rti)/SUMPRODUCT(LT_incl*(1)*ISNUMBER(LT_rti),LT_upb),0)</f>
        <v>10.7164396387939</v>
      </c>
      <c r="R245" s="40" t="n">
        <f aca="false">IFERROR(SUMPRODUCT(LT_incl*(1),LT_upb,LT_rte)/SUMPRODUCT(LT_incl*(1)*ISNUMBER(LT_rte),LT_upb),0)</f>
        <v>23.051497716819</v>
      </c>
      <c r="S245" s="38" t="n">
        <f aca="false">IFERROR(SUMPRODUCT(LT_incl*(1),LT_backdebt)/G245,0)</f>
        <v>0.628005362553862</v>
      </c>
      <c r="T245" s="38" t="n">
        <f aca="false">IFERROR(SUMPRODUCT(LT_incl*(1),LT_equity,LT_roe)/SUMPRODUCT(LT_incl*(1)*ISNUMBER(LT_roe),LT_equity),0)</f>
        <v>0.107961987212177</v>
      </c>
    </row>
    <row r="247" customFormat="false" ht="15" hidden="false" customHeight="false" outlineLevel="0" collapsed="false">
      <c r="B247" s="3" t="s">
        <v>208</v>
      </c>
      <c r="C247" s="4"/>
      <c r="D247" s="4"/>
      <c r="E247" s="4"/>
      <c r="F247" s="4"/>
      <c r="G247" s="4"/>
      <c r="H247" s="4"/>
      <c r="I247" s="4"/>
      <c r="J247" s="4"/>
      <c r="K247" s="4"/>
      <c r="L247" s="4"/>
      <c r="M247" s="4"/>
      <c r="N247" s="4"/>
      <c r="O247" s="4"/>
      <c r="P247" s="4"/>
      <c r="Q247" s="4"/>
      <c r="R247" s="4"/>
      <c r="S247" s="4"/>
      <c r="T247" s="4"/>
    </row>
    <row r="248" customFormat="false" ht="39.75" hidden="false" customHeight="true" outlineLevel="0" collapsed="false">
      <c r="B248" s="16" t="s">
        <v>147</v>
      </c>
      <c r="C248" s="17" t="s">
        <v>13</v>
      </c>
      <c r="D248" s="17" t="s">
        <v>64</v>
      </c>
      <c r="E248" s="17" t="s">
        <v>65</v>
      </c>
      <c r="F248" s="17" t="s">
        <v>66</v>
      </c>
      <c r="G248" s="17" t="s">
        <v>16</v>
      </c>
      <c r="H248" s="17" t="s">
        <v>46</v>
      </c>
      <c r="I248" s="17" t="s">
        <v>19</v>
      </c>
      <c r="J248" s="17" t="s">
        <v>28</v>
      </c>
      <c r="K248" s="17" t="s">
        <v>31</v>
      </c>
      <c r="L248" s="17" t="s">
        <v>7</v>
      </c>
      <c r="M248" s="17" t="s">
        <v>11</v>
      </c>
      <c r="N248" s="17" t="s">
        <v>23</v>
      </c>
      <c r="O248" s="17" t="s">
        <v>67</v>
      </c>
      <c r="P248" s="17" t="s">
        <v>5</v>
      </c>
      <c r="Q248" s="17" t="s">
        <v>68</v>
      </c>
      <c r="R248" s="17" t="s">
        <v>69</v>
      </c>
      <c r="S248" s="17" t="s">
        <v>56</v>
      </c>
      <c r="T248" s="17" t="s">
        <v>70</v>
      </c>
      <c r="V248" s="17" t="s">
        <v>148</v>
      </c>
      <c r="W248" s="17" t="s">
        <v>149</v>
      </c>
    </row>
    <row r="249" customFormat="false" ht="15" hidden="false" customHeight="false" outlineLevel="0" collapsed="false">
      <c r="B249" s="18" t="s">
        <v>209</v>
      </c>
      <c r="C249" s="26" t="n">
        <f aca="false">SUMPRODUCT(LT_incl*(ISNUMBER(LT_m2i)*(LT_m2i&gt;=$V249)*(LT_m2i&lt;$W249)))</f>
        <v>45</v>
      </c>
      <c r="D249" s="23" t="n">
        <f aca="false">IFERROR(C249/StratLoans,0)</f>
        <v>0.343511450381679</v>
      </c>
      <c r="E249" s="26" t="n">
        <f aca="false">SUMPRODUCT(LT_incl*(ISNUMBER(LT_m2i)*(LT_m2i&gt;=$V249)*(LT_m2i&lt;$W249)),LT_units)</f>
        <v>8938</v>
      </c>
      <c r="F249" s="26" t="n">
        <f aca="false">SUMPRODUCT(LT_incl*(ISNUMBER(LT_m2i)*(LT_m2i&gt;=$V249)*(LT_m2i&lt;$W249)),LT_beds)</f>
        <v>1768</v>
      </c>
      <c r="G249" s="22" t="n">
        <f aca="false">SUMPRODUCT(LT_incl*(ISNUMBER(LT_m2i)*(LT_m2i&gt;=$V249)*(LT_m2i&lt;$W249)),LT_upb)</f>
        <v>1362319628.58</v>
      </c>
      <c r="H249" s="23" t="n">
        <f aca="false">IFERROR(G249/StratUPB,0)</f>
        <v>0.366590414116651</v>
      </c>
      <c r="I249" s="22" t="n">
        <f aca="false">IFERROR(G249/C249,0)</f>
        <v>30273769.524</v>
      </c>
      <c r="J249" s="22" t="n">
        <f aca="false">SUMPRODUCT(LT_incl*(ISNUMBER(LT_m2i)*(LT_m2i&gt;=$V249)*(LT_m2i&lt;$W249)),LT_unfunded)</f>
        <v>19600058.27</v>
      </c>
      <c r="K249" s="22" t="n">
        <f aca="false">SUMPRODUCT(LT_incl*(ISNUMBER(LT_m2i)*(LT_m2i&gt;=$V249)*(LT_m2i&lt;$W249)),LT_navres)</f>
        <v>-32874217.901026</v>
      </c>
      <c r="L249" s="24" t="n">
        <f aca="false">IFERROR(SUMPRODUCT(LT_incl*(ISNUMBER(LT_m2i)*(LT_m2i&gt;=$V249)*(LT_m2i&lt;$W249)),LT_upb,LT_eff)/SUMPRODUCT(LT_incl*(ISNUMBER(LT_m2i)*(LT_m2i&gt;=$V249)*(LT_m2i&lt;$W249))*ISNUMBER(LT_eff),LT_upb),0)</f>
        <v>0.0386161842663531</v>
      </c>
      <c r="M249" s="24" t="n">
        <f aca="false">IFERROR(SUMPRODUCT(LT_incl*(ISNUMBER(LT_m2i)*(LT_m2i&gt;=$V249)*(LT_m2i&lt;$W249)),LT_upb,LT_coupon)/SUMPRODUCT(LT_incl*(ISNUMBER(LT_m2i)*(LT_m2i&gt;=$V249)*(LT_m2i&lt;$W249))*ISNUMBER(LT_coupon),LT_upb),0)</f>
        <v>0.0751161842663531</v>
      </c>
      <c r="N249" s="23" t="n">
        <f aca="false">IFERROR(SUMPRODUCT(LT_incl*(ISNUMBER(LT_m2i)*(LT_m2i&gt;=$V249)*(LT_m2i&lt;$W249)),LT_upb,LT_ltv_asis)/SUMPRODUCT(LT_incl*(ISNUMBER(LT_m2i)*(LT_m2i&gt;=$V249)*(LT_m2i&lt;$W249))*ISNUMBER(LT_ltv_asis),LT_upb),0)</f>
        <v>0.706980193084077</v>
      </c>
      <c r="O249" s="23" t="n">
        <f aca="false">IFERROR(SUMPRODUCT(LT_incl*(ISNUMBER(LT_m2i)*(LT_m2i&gt;=$V249)*(LT_m2i&lt;$W249)),LT_upb,LT_ltv_stab)/SUMPRODUCT(LT_incl*(ISNUMBER(LT_m2i)*(LT_m2i&gt;=$V249)*(LT_m2i&lt;$W249))*ISNUMBER(LT_ltv_stab),LT_upb),0)</f>
        <v>0.666188443780262</v>
      </c>
      <c r="P249" s="25" t="n">
        <f aca="false">IFERROR(SUMPRODUCT(LT_incl*(ISNUMBER(LT_m2i)*(LT_m2i&gt;=$V249)*(LT_m2i&lt;$W249)),LT_upb,LT_seas)/SUMPRODUCT(LT_incl*(ISNUMBER(LT_m2i)*(LT_m2i&gt;=$V249)*(LT_m2i&lt;$W249))*ISNUMBER(LT_seas),LT_upb),0)</f>
        <v>50.1749981475387</v>
      </c>
      <c r="Q249" s="25" t="n">
        <f aca="false">IFERROR(SUMPRODUCT(LT_incl*(ISNUMBER(LT_m2i)*(LT_m2i&gt;=$V249)*(LT_m2i&lt;$W249)),LT_upb,LT_rti)/SUMPRODUCT(LT_incl*(ISNUMBER(LT_m2i)*(LT_m2i&gt;=$V249)*(LT_m2i&lt;$W249))*ISNUMBER(LT_rti),LT_upb),0)</f>
        <v>0</v>
      </c>
      <c r="R249" s="25" t="n">
        <f aca="false">IFERROR(SUMPRODUCT(LT_incl*(ISNUMBER(LT_m2i)*(LT_m2i&gt;=$V249)*(LT_m2i&lt;$W249)),LT_upb,LT_rte)/SUMPRODUCT(LT_incl*(ISNUMBER(LT_m2i)*(LT_m2i&gt;=$V249)*(LT_m2i&lt;$W249))*ISNUMBER(LT_rte),LT_upb),0)</f>
        <v>5.942069952909</v>
      </c>
      <c r="S249" s="23" t="n">
        <f aca="false">IFERROR(SUMPRODUCT(LT_incl*(ISNUMBER(LT_m2i)*(LT_m2i&gt;=$V249)*(LT_m2i&lt;$W249)),LT_backdebt)/G249,0)</f>
        <v>0.540482340726585</v>
      </c>
      <c r="T249" s="23" t="n">
        <f aca="false">IFERROR(SUMPRODUCT(LT_incl*(ISNUMBER(LT_m2i)*(LT_m2i&gt;=$V249)*(LT_m2i&lt;$W249)),LT_equity,LT_roe)/SUMPRODUCT(LT_incl*(ISNUMBER(LT_m2i)*(LT_m2i&gt;=$V249)*(LT_m2i&lt;$W249))*ISNUMBER(LT_roe),LT_equity),0)</f>
        <v>0.0985510929488579</v>
      </c>
      <c r="V249" s="49" t="n">
        <v>-1000000000000</v>
      </c>
      <c r="W249" s="49" t="n">
        <v>0</v>
      </c>
    </row>
    <row r="250" customFormat="false" ht="15" hidden="false" customHeight="false" outlineLevel="0" collapsed="false">
      <c r="B250" s="27" t="s">
        <v>210</v>
      </c>
      <c r="C250" s="44" t="n">
        <f aca="false">SUMPRODUCT(LT_incl*(ISNUMBER(LT_m2i)*(LT_m2i&gt;=$V250)*(LT_m2i&lt;$W250)))</f>
        <v>10</v>
      </c>
      <c r="D250" s="32" t="n">
        <f aca="false">IFERROR(C250/StratLoans,0)</f>
        <v>0.0763358778625954</v>
      </c>
      <c r="E250" s="44" t="n">
        <f aca="false">SUMPRODUCT(LT_incl*(ISNUMBER(LT_m2i)*(LT_m2i&gt;=$V250)*(LT_m2i&lt;$W250)),LT_units)</f>
        <v>1228</v>
      </c>
      <c r="F250" s="44" t="n">
        <f aca="false">SUMPRODUCT(LT_incl*(ISNUMBER(LT_m2i)*(LT_m2i&gt;=$V250)*(LT_m2i&lt;$W250)),LT_beds)</f>
        <v>679</v>
      </c>
      <c r="G250" s="31" t="n">
        <f aca="false">SUMPRODUCT(LT_incl*(ISNUMBER(LT_m2i)*(LT_m2i&gt;=$V250)*(LT_m2i&lt;$W250)),LT_upb)</f>
        <v>294352014.37</v>
      </c>
      <c r="H250" s="32" t="n">
        <f aca="false">IFERROR(G250/StratUPB,0)</f>
        <v>0.0792080100588758</v>
      </c>
      <c r="I250" s="31" t="n">
        <f aca="false">IFERROR(G250/C250,0)</f>
        <v>29435201.437</v>
      </c>
      <c r="J250" s="31" t="n">
        <f aca="false">SUMPRODUCT(LT_incl*(ISNUMBER(LT_m2i)*(LT_m2i&gt;=$V250)*(LT_m2i&lt;$W250)),LT_unfunded)</f>
        <v>18798697.93</v>
      </c>
      <c r="K250" s="31" t="n">
        <f aca="false">SUMPRODUCT(LT_incl*(ISNUMBER(LT_m2i)*(LT_m2i&gt;=$V250)*(LT_m2i&lt;$W250)),LT_navres)</f>
        <v>0</v>
      </c>
      <c r="L250" s="33" t="n">
        <f aca="false">IFERROR(SUMPRODUCT(LT_incl*(ISNUMBER(LT_m2i)*(LT_m2i&gt;=$V250)*(LT_m2i&lt;$W250)),LT_upb,LT_eff)/SUMPRODUCT(LT_incl*(ISNUMBER(LT_m2i)*(LT_m2i&gt;=$V250)*(LT_m2i&lt;$W250))*ISNUMBER(LT_eff),LT_upb),0)</f>
        <v>0.0374332765190106</v>
      </c>
      <c r="M250" s="33" t="n">
        <f aca="false">IFERROR(SUMPRODUCT(LT_incl*(ISNUMBER(LT_m2i)*(LT_m2i&gt;=$V250)*(LT_m2i&lt;$W250)),LT_upb,LT_coupon)/SUMPRODUCT(LT_incl*(ISNUMBER(LT_m2i)*(LT_m2i&gt;=$V250)*(LT_m2i&lt;$W250))*ISNUMBER(LT_coupon),LT_upb),0)</f>
        <v>0.0739332765190106</v>
      </c>
      <c r="N250" s="32" t="n">
        <f aca="false">IFERROR(SUMPRODUCT(LT_incl*(ISNUMBER(LT_m2i)*(LT_m2i&gt;=$V250)*(LT_m2i&lt;$W250)),LT_upb,LT_ltv_asis)/SUMPRODUCT(LT_incl*(ISNUMBER(LT_m2i)*(LT_m2i&gt;=$V250)*(LT_m2i&lt;$W250))*ISNUMBER(LT_ltv_asis),LT_upb),0)</f>
        <v>0.644920269700937</v>
      </c>
      <c r="O250" s="32" t="n">
        <f aca="false">IFERROR(SUMPRODUCT(LT_incl*(ISNUMBER(LT_m2i)*(LT_m2i&gt;=$V250)*(LT_m2i&lt;$W250)),LT_upb,LT_ltv_stab)/SUMPRODUCT(LT_incl*(ISNUMBER(LT_m2i)*(LT_m2i&gt;=$V250)*(LT_m2i&lt;$W250))*ISNUMBER(LT_ltv_stab),LT_upb),0)</f>
        <v>0.649681307633955</v>
      </c>
      <c r="P250" s="34" t="n">
        <f aca="false">IFERROR(SUMPRODUCT(LT_incl*(ISNUMBER(LT_m2i)*(LT_m2i&gt;=$V250)*(LT_m2i&lt;$W250)),LT_upb,LT_seas)/SUMPRODUCT(LT_incl*(ISNUMBER(LT_m2i)*(LT_m2i&gt;=$V250)*(LT_m2i&lt;$W250))*ISNUMBER(LT_seas),LT_upb),0)</f>
        <v>21.3686960818586</v>
      </c>
      <c r="Q250" s="34" t="n">
        <f aca="false">IFERROR(SUMPRODUCT(LT_incl*(ISNUMBER(LT_m2i)*(LT_m2i&gt;=$V250)*(LT_m2i&lt;$W250)),LT_upb,LT_rti)/SUMPRODUCT(LT_incl*(ISNUMBER(LT_m2i)*(LT_m2i&gt;=$V250)*(LT_m2i&lt;$W250))*ISNUMBER(LT_rti),LT_upb),0)</f>
        <v>2.32384468697421</v>
      </c>
      <c r="R250" s="34" t="n">
        <f aca="false">IFERROR(SUMPRODUCT(LT_incl*(ISNUMBER(LT_m2i)*(LT_m2i&gt;=$V250)*(LT_m2i&lt;$W250)),LT_upb,LT_rte)/SUMPRODUCT(LT_incl*(ISNUMBER(LT_m2i)*(LT_m2i&gt;=$V250)*(LT_m2i&lt;$W250))*ISNUMBER(LT_rte),LT_upb),0)</f>
        <v>25.8520198108985</v>
      </c>
      <c r="S250" s="32" t="n">
        <f aca="false">IFERROR(SUMPRODUCT(LT_incl*(ISNUMBER(LT_m2i)*(LT_m2i&gt;=$V250)*(LT_m2i&lt;$W250)),LT_backdebt)/G250,0)</f>
        <v>0.74162845827479</v>
      </c>
      <c r="T250" s="32" t="n">
        <f aca="false">IFERROR(SUMPRODUCT(LT_incl*(ISNUMBER(LT_m2i)*(LT_m2i&gt;=$V250)*(LT_m2i&lt;$W250)),LT_equity,LT_roe)/SUMPRODUCT(LT_incl*(ISNUMBER(LT_m2i)*(LT_m2i&gt;=$V250)*(LT_m2i&lt;$W250))*ISNUMBER(LT_roe),LT_equity),0)</f>
        <v>0.128105641463176</v>
      </c>
      <c r="V250" s="49" t="n">
        <v>0</v>
      </c>
      <c r="W250" s="49" t="n">
        <v>6</v>
      </c>
    </row>
    <row r="251" customFormat="false" ht="15" hidden="false" customHeight="false" outlineLevel="0" collapsed="false">
      <c r="B251" s="18" t="s">
        <v>202</v>
      </c>
      <c r="C251" s="26" t="n">
        <f aca="false">SUMPRODUCT(LT_incl*(ISNUMBER(LT_m2i)*(LT_m2i&gt;=$V251)*(LT_m2i&lt;$W251)))</f>
        <v>17</v>
      </c>
      <c r="D251" s="23" t="n">
        <f aca="false">IFERROR(C251/StratLoans,0)</f>
        <v>0.129770992366412</v>
      </c>
      <c r="E251" s="26" t="n">
        <f aca="false">SUMPRODUCT(LT_incl*(ISNUMBER(LT_m2i)*(LT_m2i&gt;=$V251)*(LT_m2i&lt;$W251)),LT_units)</f>
        <v>2473</v>
      </c>
      <c r="F251" s="26" t="n">
        <f aca="false">SUMPRODUCT(LT_incl*(ISNUMBER(LT_m2i)*(LT_m2i&gt;=$V251)*(LT_m2i&lt;$W251)),LT_beds)</f>
        <v>2530</v>
      </c>
      <c r="G251" s="22" t="n">
        <f aca="false">SUMPRODUCT(LT_incl*(ISNUMBER(LT_m2i)*(LT_m2i&gt;=$V251)*(LT_m2i&lt;$W251)),LT_upb)</f>
        <v>552919076.28</v>
      </c>
      <c r="H251" s="23" t="n">
        <f aca="false">IFERROR(G251/StratUPB,0)</f>
        <v>0.148786546779597</v>
      </c>
      <c r="I251" s="22" t="n">
        <f aca="false">IFERROR(G251/C251,0)</f>
        <v>32524651.5458824</v>
      </c>
      <c r="J251" s="22" t="n">
        <f aca="false">SUMPRODUCT(LT_incl*(ISNUMBER(LT_m2i)*(LT_m2i&gt;=$V251)*(LT_m2i&lt;$W251)),LT_unfunded)</f>
        <v>4947914.88</v>
      </c>
      <c r="K251" s="22" t="n">
        <f aca="false">SUMPRODUCT(LT_incl*(ISNUMBER(LT_m2i)*(LT_m2i&gt;=$V251)*(LT_m2i&lt;$W251)),LT_navres)</f>
        <v>0</v>
      </c>
      <c r="L251" s="24" t="n">
        <f aca="false">IFERROR(SUMPRODUCT(LT_incl*(ISNUMBER(LT_m2i)*(LT_m2i&gt;=$V251)*(LT_m2i&lt;$W251)),LT_upb,LT_eff)/SUMPRODUCT(LT_incl*(ISNUMBER(LT_m2i)*(LT_m2i&gt;=$V251)*(LT_m2i&lt;$W251))*ISNUMBER(LT_eff),LT_upb),0)</f>
        <v>0.0408883909055911</v>
      </c>
      <c r="M251" s="24" t="n">
        <f aca="false">IFERROR(SUMPRODUCT(LT_incl*(ISNUMBER(LT_m2i)*(LT_m2i&gt;=$V251)*(LT_m2i&lt;$W251)),LT_upb,LT_coupon)/SUMPRODUCT(LT_incl*(ISNUMBER(LT_m2i)*(LT_m2i&gt;=$V251)*(LT_m2i&lt;$W251))*ISNUMBER(LT_coupon),LT_upb),0)</f>
        <v>0.0773883909055911</v>
      </c>
      <c r="N251" s="23" t="n">
        <f aca="false">IFERROR(SUMPRODUCT(LT_incl*(ISNUMBER(LT_m2i)*(LT_m2i&gt;=$V251)*(LT_m2i&lt;$W251)),LT_upb,LT_ltv_asis)/SUMPRODUCT(LT_incl*(ISNUMBER(LT_m2i)*(LT_m2i&gt;=$V251)*(LT_m2i&lt;$W251))*ISNUMBER(LT_ltv_asis),LT_upb),0)</f>
        <v>0.646181804683185</v>
      </c>
      <c r="O251" s="23" t="n">
        <f aca="false">IFERROR(SUMPRODUCT(LT_incl*(ISNUMBER(LT_m2i)*(LT_m2i&gt;=$V251)*(LT_m2i&lt;$W251)),LT_upb,LT_ltv_stab)/SUMPRODUCT(LT_incl*(ISNUMBER(LT_m2i)*(LT_m2i&gt;=$V251)*(LT_m2i&lt;$W251))*ISNUMBER(LT_ltv_stab),LT_upb),0)</f>
        <v>0.625935528496257</v>
      </c>
      <c r="P251" s="25" t="n">
        <f aca="false">IFERROR(SUMPRODUCT(LT_incl*(ISNUMBER(LT_m2i)*(LT_m2i&gt;=$V251)*(LT_m2i&lt;$W251)),LT_upb,LT_seas)/SUMPRODUCT(LT_incl*(ISNUMBER(LT_m2i)*(LT_m2i&gt;=$V251)*(LT_m2i&lt;$W251))*ISNUMBER(LT_seas),LT_upb),0)</f>
        <v>16.4928608366047</v>
      </c>
      <c r="Q251" s="25" t="n">
        <f aca="false">IFERROR(SUMPRODUCT(LT_incl*(ISNUMBER(LT_m2i)*(LT_m2i&gt;=$V251)*(LT_m2i&lt;$W251)),LT_upb,LT_rti)/SUMPRODUCT(LT_incl*(ISNUMBER(LT_m2i)*(LT_m2i&gt;=$V251)*(LT_m2i&lt;$W251))*ISNUMBER(LT_rti),LT_upb),0)</f>
        <v>9.01074674989354</v>
      </c>
      <c r="R251" s="25" t="n">
        <f aca="false">IFERROR(SUMPRODUCT(LT_incl*(ISNUMBER(LT_m2i)*(LT_m2i&gt;=$V251)*(LT_m2i&lt;$W251)),LT_upb,LT_rte)/SUMPRODUCT(LT_incl*(ISNUMBER(LT_m2i)*(LT_m2i&gt;=$V251)*(LT_m2i&lt;$W251))*ISNUMBER(LT_rte),LT_upb),0)</f>
        <v>23.577034345366</v>
      </c>
      <c r="S251" s="23" t="n">
        <f aca="false">IFERROR(SUMPRODUCT(LT_incl*(ISNUMBER(LT_m2i)*(LT_m2i&gt;=$V251)*(LT_m2i&lt;$W251)),LT_backdebt)/G251,0)</f>
        <v>0.658034462876577</v>
      </c>
      <c r="T251" s="23" t="n">
        <f aca="false">IFERROR(SUMPRODUCT(LT_incl*(ISNUMBER(LT_m2i)*(LT_m2i&gt;=$V251)*(LT_m2i&lt;$W251)),LT_equity,LT_roe)/SUMPRODUCT(LT_incl*(ISNUMBER(LT_m2i)*(LT_m2i&gt;=$V251)*(LT_m2i&lt;$W251))*ISNUMBER(LT_roe),LT_equity),0)</f>
        <v>0.121509457603623</v>
      </c>
      <c r="V251" s="49" t="n">
        <v>6</v>
      </c>
      <c r="W251" s="49" t="n">
        <v>12</v>
      </c>
    </row>
    <row r="252" customFormat="false" ht="15" hidden="false" customHeight="false" outlineLevel="0" collapsed="false">
      <c r="B252" s="27" t="s">
        <v>203</v>
      </c>
      <c r="C252" s="44" t="n">
        <f aca="false">SUMPRODUCT(LT_incl*(ISNUMBER(LT_m2i)*(LT_m2i&gt;=$V252)*(LT_m2i&lt;$W252)))</f>
        <v>33</v>
      </c>
      <c r="D252" s="32" t="n">
        <f aca="false">IFERROR(C252/StratLoans,0)</f>
        <v>0.251908396946565</v>
      </c>
      <c r="E252" s="44" t="n">
        <f aca="false">SUMPRODUCT(LT_incl*(ISNUMBER(LT_m2i)*(LT_m2i&gt;=$V252)*(LT_m2i&lt;$W252)),LT_units)</f>
        <v>3885</v>
      </c>
      <c r="F252" s="44" t="n">
        <f aca="false">SUMPRODUCT(LT_incl*(ISNUMBER(LT_m2i)*(LT_m2i&gt;=$V252)*(LT_m2i&lt;$W252)),LT_beds)</f>
        <v>3277</v>
      </c>
      <c r="G252" s="31" t="n">
        <f aca="false">SUMPRODUCT(LT_incl*(ISNUMBER(LT_m2i)*(LT_m2i&gt;=$V252)*(LT_m2i&lt;$W252)),LT_upb)</f>
        <v>960921467.88</v>
      </c>
      <c r="H252" s="32" t="n">
        <f aca="false">IFERROR(G252/StratUPB,0)</f>
        <v>0.258577055966586</v>
      </c>
      <c r="I252" s="31" t="n">
        <f aca="false">IFERROR(G252/C252,0)</f>
        <v>29118832.36</v>
      </c>
      <c r="J252" s="31" t="n">
        <f aca="false">SUMPRODUCT(LT_incl*(ISNUMBER(LT_m2i)*(LT_m2i&gt;=$V252)*(LT_m2i&lt;$W252)),LT_unfunded)</f>
        <v>14179742.29</v>
      </c>
      <c r="K252" s="31" t="n">
        <f aca="false">SUMPRODUCT(LT_incl*(ISNUMBER(LT_m2i)*(LT_m2i&gt;=$V252)*(LT_m2i&lt;$W252)),LT_navres)</f>
        <v>0</v>
      </c>
      <c r="L252" s="33" t="n">
        <f aca="false">IFERROR(SUMPRODUCT(LT_incl*(ISNUMBER(LT_m2i)*(LT_m2i&gt;=$V252)*(LT_m2i&lt;$W252)),LT_upb,LT_eff)/SUMPRODUCT(LT_incl*(ISNUMBER(LT_m2i)*(LT_m2i&gt;=$V252)*(LT_m2i&lt;$W252))*ISNUMBER(LT_eff),LT_upb),0)</f>
        <v>0.0399448892621404</v>
      </c>
      <c r="M252" s="33" t="n">
        <f aca="false">IFERROR(SUMPRODUCT(LT_incl*(ISNUMBER(LT_m2i)*(LT_m2i&gt;=$V252)*(LT_m2i&lt;$W252)),LT_upb,LT_coupon)/SUMPRODUCT(LT_incl*(ISNUMBER(LT_m2i)*(LT_m2i&gt;=$V252)*(LT_m2i&lt;$W252))*ISNUMBER(LT_coupon),LT_upb),0)</f>
        <v>0.0764448892621404</v>
      </c>
      <c r="N252" s="32" t="n">
        <f aca="false">IFERROR(SUMPRODUCT(LT_incl*(ISNUMBER(LT_m2i)*(LT_m2i&gt;=$V252)*(LT_m2i&lt;$W252)),LT_upb,LT_ltv_asis)/SUMPRODUCT(LT_incl*(ISNUMBER(LT_m2i)*(LT_m2i&gt;=$V252)*(LT_m2i&lt;$W252))*ISNUMBER(LT_ltv_asis),LT_upb),0)</f>
        <v>0.648965110065629</v>
      </c>
      <c r="O252" s="32" t="n">
        <f aca="false">IFERROR(SUMPRODUCT(LT_incl*(ISNUMBER(LT_m2i)*(LT_m2i&gt;=$V252)*(LT_m2i&lt;$W252)),LT_upb,LT_ltv_stab)/SUMPRODUCT(LT_incl*(ISNUMBER(LT_m2i)*(LT_m2i&gt;=$V252)*(LT_m2i&lt;$W252))*ISNUMBER(LT_ltv_stab),LT_upb),0)</f>
        <v>0.642106866707599</v>
      </c>
      <c r="P252" s="34" t="n">
        <f aca="false">IFERROR(SUMPRODUCT(LT_incl*(ISNUMBER(LT_m2i)*(LT_m2i&gt;=$V252)*(LT_m2i&lt;$W252)),LT_upb,LT_seas)/SUMPRODUCT(LT_incl*(ISNUMBER(LT_m2i)*(LT_m2i&gt;=$V252)*(LT_m2i&lt;$W252))*ISNUMBER(LT_seas),LT_upb),0)</f>
        <v>9.15366721333421</v>
      </c>
      <c r="Q252" s="34" t="n">
        <f aca="false">IFERROR(SUMPRODUCT(LT_incl*(ISNUMBER(LT_m2i)*(LT_m2i&gt;=$V252)*(LT_m2i&lt;$W252)),LT_upb,LT_rti)/SUMPRODUCT(LT_incl*(ISNUMBER(LT_m2i)*(LT_m2i&gt;=$V252)*(LT_m2i&lt;$W252))*ISNUMBER(LT_rti),LT_upb),0)</f>
        <v>17.4345582385556</v>
      </c>
      <c r="R252" s="34" t="n">
        <f aca="false">IFERROR(SUMPRODUCT(LT_incl*(ISNUMBER(LT_m2i)*(LT_m2i&gt;=$V252)*(LT_m2i&lt;$W252)),LT_upb,LT_rte)/SUMPRODUCT(LT_incl*(ISNUMBER(LT_m2i)*(LT_m2i&gt;=$V252)*(LT_m2i&lt;$W252))*ISNUMBER(LT_rte),LT_upb),0)</f>
        <v>33.2240400404037</v>
      </c>
      <c r="S252" s="32" t="n">
        <f aca="false">IFERROR(SUMPRODUCT(LT_incl*(ISNUMBER(LT_m2i)*(LT_m2i&gt;=$V252)*(LT_m2i&lt;$W252)),LT_backdebt)/G252,0)</f>
        <v>0.708035550405924</v>
      </c>
      <c r="T252" s="32" t="n">
        <f aca="false">IFERROR(SUMPRODUCT(LT_incl*(ISNUMBER(LT_m2i)*(LT_m2i&gt;=$V252)*(LT_m2i&lt;$W252)),LT_equity,LT_roe)/SUMPRODUCT(LT_incl*(ISNUMBER(LT_m2i)*(LT_m2i&gt;=$V252)*(LT_m2i&lt;$W252))*ISNUMBER(LT_roe),LT_equity),0)</f>
        <v>0.124390378187758</v>
      </c>
      <c r="V252" s="49" t="n">
        <v>12</v>
      </c>
      <c r="W252" s="49" t="n">
        <v>24</v>
      </c>
    </row>
    <row r="253" customFormat="false" ht="15" hidden="false" customHeight="false" outlineLevel="0" collapsed="false">
      <c r="B253" s="18" t="s">
        <v>204</v>
      </c>
      <c r="C253" s="26" t="n">
        <f aca="false">SUMPRODUCT(LT_incl*(ISNUMBER(LT_m2i)*(LT_m2i&gt;=$V253)*(LT_m2i&lt;$W253)))</f>
        <v>18</v>
      </c>
      <c r="D253" s="23" t="n">
        <f aca="false">IFERROR(C253/StratLoans,0)</f>
        <v>0.137404580152672</v>
      </c>
      <c r="E253" s="26" t="n">
        <f aca="false">SUMPRODUCT(LT_incl*(ISNUMBER(LT_m2i)*(LT_m2i&gt;=$V253)*(LT_m2i&lt;$W253)),LT_units)</f>
        <v>2583</v>
      </c>
      <c r="F253" s="26" t="n">
        <f aca="false">SUMPRODUCT(LT_incl*(ISNUMBER(LT_m2i)*(LT_m2i&gt;=$V253)*(LT_m2i&lt;$W253)),LT_beds)</f>
        <v>472</v>
      </c>
      <c r="G253" s="22" t="n">
        <f aca="false">SUMPRODUCT(LT_incl*(ISNUMBER(LT_m2i)*(LT_m2i&gt;=$V253)*(LT_m2i&lt;$W253)),LT_upb)</f>
        <v>518987235.22</v>
      </c>
      <c r="H253" s="23" t="n">
        <f aca="false">IFERROR(G253/StratUPB,0)</f>
        <v>0.139655732391426</v>
      </c>
      <c r="I253" s="22" t="n">
        <f aca="false">IFERROR(G253/C253,0)</f>
        <v>28832624.1788889</v>
      </c>
      <c r="J253" s="22" t="n">
        <f aca="false">SUMPRODUCT(LT_incl*(ISNUMBER(LT_m2i)*(LT_m2i&gt;=$V253)*(LT_m2i&lt;$W253)),LT_unfunded)</f>
        <v>12899084.9</v>
      </c>
      <c r="K253" s="22" t="n">
        <f aca="false">SUMPRODUCT(LT_incl*(ISNUMBER(LT_m2i)*(LT_m2i&gt;=$V253)*(LT_m2i&lt;$W253)),LT_navres)</f>
        <v>-2529654.06269062</v>
      </c>
      <c r="L253" s="24" t="n">
        <f aca="false">IFERROR(SUMPRODUCT(LT_incl*(ISNUMBER(LT_m2i)*(LT_m2i&gt;=$V253)*(LT_m2i&lt;$W253)),LT_upb,LT_eff)/SUMPRODUCT(LT_incl*(ISNUMBER(LT_m2i)*(LT_m2i&gt;=$V253)*(LT_m2i&lt;$W253))*ISNUMBER(LT_eff),LT_upb),0)</f>
        <v>0.0305696963181949</v>
      </c>
      <c r="M253" s="24" t="n">
        <f aca="false">IFERROR(SUMPRODUCT(LT_incl*(ISNUMBER(LT_m2i)*(LT_m2i&gt;=$V253)*(LT_m2i&lt;$W253)),LT_upb,LT_coupon)/SUMPRODUCT(LT_incl*(ISNUMBER(LT_m2i)*(LT_m2i&gt;=$V253)*(LT_m2i&lt;$W253))*ISNUMBER(LT_coupon),LT_upb),0)</f>
        <v>0.0670696963181949</v>
      </c>
      <c r="N253" s="23" t="n">
        <f aca="false">IFERROR(SUMPRODUCT(LT_incl*(ISNUMBER(LT_m2i)*(LT_m2i&gt;=$V253)*(LT_m2i&lt;$W253)),LT_upb,LT_ltv_asis)/SUMPRODUCT(LT_incl*(ISNUMBER(LT_m2i)*(LT_m2i&gt;=$V253)*(LT_m2i&lt;$W253))*ISNUMBER(LT_ltv_asis),LT_upb),0)</f>
        <v>0.759158604037934</v>
      </c>
      <c r="O253" s="23" t="n">
        <f aca="false">IFERROR(SUMPRODUCT(LT_incl*(ISNUMBER(LT_m2i)*(LT_m2i&gt;=$V253)*(LT_m2i&lt;$W253)),LT_upb,LT_ltv_stab)/SUMPRODUCT(LT_incl*(ISNUMBER(LT_m2i)*(LT_m2i&gt;=$V253)*(LT_m2i&lt;$W253))*ISNUMBER(LT_ltv_stab),LT_upb),0)</f>
        <v>0.70536974999538</v>
      </c>
      <c r="P253" s="25" t="n">
        <f aca="false">IFERROR(SUMPRODUCT(LT_incl*(ISNUMBER(LT_m2i)*(LT_m2i&gt;=$V253)*(LT_m2i&lt;$W253)),LT_upb,LT_seas)/SUMPRODUCT(LT_incl*(ISNUMBER(LT_m2i)*(LT_m2i&gt;=$V253)*(LT_m2i&lt;$W253))*ISNUMBER(LT_seas),LT_upb),0)</f>
        <v>5.68167937997944</v>
      </c>
      <c r="Q253" s="25" t="n">
        <f aca="false">IFERROR(SUMPRODUCT(LT_incl*(ISNUMBER(LT_m2i)*(LT_m2i&gt;=$V253)*(LT_m2i&lt;$W253)),LT_upb,LT_rti)/SUMPRODUCT(LT_incl*(ISNUMBER(LT_m2i)*(LT_m2i&gt;=$V253)*(LT_m2i&lt;$W253))*ISNUMBER(LT_rti),LT_upb),0)</f>
        <v>29.6912564254776</v>
      </c>
      <c r="R253" s="25" t="n">
        <f aca="false">IFERROR(SUMPRODUCT(LT_incl*(ISNUMBER(LT_m2i)*(LT_m2i&gt;=$V253)*(LT_m2i&lt;$W253)),LT_upb,LT_rte)/SUMPRODUCT(LT_incl*(ISNUMBER(LT_m2i)*(LT_m2i&gt;=$V253)*(LT_m2i&lt;$W253))*ISNUMBER(LT_rte),LT_upb),0)</f>
        <v>44.3205657715509</v>
      </c>
      <c r="S253" s="23" t="n">
        <f aca="false">IFERROR(SUMPRODUCT(LT_incl*(ISNUMBER(LT_m2i)*(LT_m2i&gt;=$V253)*(LT_m2i&lt;$W253)),LT_backdebt)/G253,0)</f>
        <v>0.645432722170912</v>
      </c>
      <c r="T253" s="23" t="n">
        <f aca="false">IFERROR(SUMPRODUCT(LT_incl*(ISNUMBER(LT_m2i)*(LT_m2i&gt;=$V253)*(LT_m2i&lt;$W253)),LT_equity,LT_roe)/SUMPRODUCT(LT_incl*(ISNUMBER(LT_m2i)*(LT_m2i&gt;=$V253)*(LT_m2i&lt;$W253))*ISNUMBER(LT_roe),LT_equity),0)</f>
        <v>0.0907828045570955</v>
      </c>
      <c r="V253" s="49" t="n">
        <v>24</v>
      </c>
      <c r="W253" s="49" t="n">
        <v>36</v>
      </c>
    </row>
    <row r="254" customFormat="false" ht="15" hidden="false" customHeight="false" outlineLevel="0" collapsed="false">
      <c r="B254" s="27" t="s">
        <v>211</v>
      </c>
      <c r="C254" s="44" t="n">
        <f aca="false">SUMPRODUCT(LT_incl*(ISNUMBER(LT_m2i)*(LT_m2i&gt;=$V254)*(LT_m2i&lt;$W254)))</f>
        <v>8</v>
      </c>
      <c r="D254" s="32" t="n">
        <f aca="false">IFERROR(C254/StratLoans,0)</f>
        <v>0.0610687022900763</v>
      </c>
      <c r="E254" s="44" t="n">
        <f aca="false">SUMPRODUCT(LT_incl*(ISNUMBER(LT_m2i)*(LT_m2i&gt;=$V254)*(LT_m2i&lt;$W254)),LT_units)</f>
        <v>3253</v>
      </c>
      <c r="F254" s="44" t="n">
        <f aca="false">SUMPRODUCT(LT_incl*(ISNUMBER(LT_m2i)*(LT_m2i&gt;=$V254)*(LT_m2i&lt;$W254)),LT_beds)</f>
        <v>0</v>
      </c>
      <c r="G254" s="31" t="n">
        <f aca="false">SUMPRODUCT(LT_incl*(ISNUMBER(LT_m2i)*(LT_m2i&gt;=$V254)*(LT_m2i&lt;$W254)),LT_upb)</f>
        <v>26690570.97</v>
      </c>
      <c r="H254" s="32" t="n">
        <f aca="false">IFERROR(G254/StratUPB,0)</f>
        <v>0.00718224068686504</v>
      </c>
      <c r="I254" s="31" t="n">
        <f aca="false">IFERROR(G254/C254,0)</f>
        <v>3336321.37125</v>
      </c>
      <c r="J254" s="31" t="n">
        <f aca="false">SUMPRODUCT(LT_incl*(ISNUMBER(LT_m2i)*(LT_m2i&gt;=$V254)*(LT_m2i&lt;$W254)),LT_unfunded)</f>
        <v>0</v>
      </c>
      <c r="K254" s="31" t="n">
        <f aca="false">SUMPRODUCT(LT_incl*(ISNUMBER(LT_m2i)*(LT_m2i&gt;=$V254)*(LT_m2i&lt;$W254)),LT_navres)</f>
        <v>-357383.067330304</v>
      </c>
      <c r="L254" s="33" t="n">
        <f aca="false">IFERROR(SUMPRODUCT(LT_incl*(ISNUMBER(LT_m2i)*(LT_m2i&gt;=$V254)*(LT_m2i&lt;$W254)),LT_upb,LT_eff)/SUMPRODUCT(LT_incl*(ISNUMBER(LT_m2i)*(LT_m2i&gt;=$V254)*(LT_m2i&lt;$W254))*ISNUMBER(LT_eff),LT_upb),0)</f>
        <v>0.0845743119745258</v>
      </c>
      <c r="M254" s="33" t="n">
        <f aca="false">IFERROR(SUMPRODUCT(LT_incl*(ISNUMBER(LT_m2i)*(LT_m2i&gt;=$V254)*(LT_m2i&lt;$W254)),LT_upb,LT_coupon)/SUMPRODUCT(LT_incl*(ISNUMBER(LT_m2i)*(LT_m2i&gt;=$V254)*(LT_m2i&lt;$W254))*ISNUMBER(LT_coupon),LT_upb),0)</f>
        <v>0.121074311974526</v>
      </c>
      <c r="N254" s="32" t="n">
        <f aca="false">IFERROR(SUMPRODUCT(LT_incl*(ISNUMBER(LT_m2i)*(LT_m2i&gt;=$V254)*(LT_m2i&lt;$W254)),LT_upb,LT_ltv_asis)/SUMPRODUCT(LT_incl*(ISNUMBER(LT_m2i)*(LT_m2i&gt;=$V254)*(LT_m2i&lt;$W254))*ISNUMBER(LT_ltv_asis),LT_upb),0)</f>
        <v>0.806450906468096</v>
      </c>
      <c r="O254" s="32" t="n">
        <f aca="false">IFERROR(SUMPRODUCT(LT_incl*(ISNUMBER(LT_m2i)*(LT_m2i&gt;=$V254)*(LT_m2i&lt;$W254)),LT_upb,LT_ltv_stab)/SUMPRODUCT(LT_incl*(ISNUMBER(LT_m2i)*(LT_m2i&gt;=$V254)*(LT_m2i&lt;$W254))*ISNUMBER(LT_ltv_stab),LT_upb),0)</f>
        <v>0.7843017292721</v>
      </c>
      <c r="P254" s="34" t="n">
        <f aca="false">IFERROR(SUMPRODUCT(LT_incl*(ISNUMBER(LT_m2i)*(LT_m2i&gt;=$V254)*(LT_m2i&lt;$W254)),LT_upb,LT_seas)/SUMPRODUCT(LT_incl*(ISNUMBER(LT_m2i)*(LT_m2i&gt;=$V254)*(LT_m2i&lt;$W254))*ISNUMBER(LT_seas),LT_upb),0)</f>
        <v>44.4358133956119</v>
      </c>
      <c r="Q254" s="34" t="n">
        <f aca="false">IFERROR(SUMPRODUCT(LT_incl*(ISNUMBER(LT_m2i)*(LT_m2i&gt;=$V254)*(LT_m2i&lt;$W254)),LT_upb,LT_rti)/SUMPRODUCT(LT_incl*(ISNUMBER(LT_m2i)*(LT_m2i&gt;=$V254)*(LT_m2i&lt;$W254))*ISNUMBER(LT_rti),LT_upb),0)</f>
        <v>74.7627033005492</v>
      </c>
      <c r="R254" s="34" t="n">
        <f aca="false">IFERROR(SUMPRODUCT(LT_incl*(ISNUMBER(LT_m2i)*(LT_m2i&gt;=$V254)*(LT_m2i&lt;$W254)),LT_upb,LT_rte)/SUMPRODUCT(LT_incl*(ISNUMBER(LT_m2i)*(LT_m2i&gt;=$V254)*(LT_m2i&lt;$W254))*ISNUMBER(LT_rte),LT_upb),0)</f>
        <v>74.7627033005492</v>
      </c>
      <c r="S254" s="32" t="n">
        <f aca="false">IFERROR(SUMPRODUCT(LT_incl*(ISNUMBER(LT_m2i)*(LT_m2i&gt;=$V254)*(LT_m2i&lt;$W254)),LT_backdebt)/G254,0)</f>
        <v>0</v>
      </c>
      <c r="T254" s="32" t="n">
        <f aca="false">IFERROR(SUMPRODUCT(LT_incl*(ISNUMBER(LT_m2i)*(LT_m2i&gt;=$V254)*(LT_m2i&lt;$W254)),LT_equity,LT_roe)/SUMPRODUCT(LT_incl*(ISNUMBER(LT_m2i)*(LT_m2i&gt;=$V254)*(LT_m2i&lt;$W254))*ISNUMBER(LT_roe),LT_equity),0)</f>
        <v>0.121074311974526</v>
      </c>
      <c r="V254" s="49" t="n">
        <v>36</v>
      </c>
      <c r="W254" s="49" t="n">
        <v>1000000000000</v>
      </c>
    </row>
    <row r="255" customFormat="false" ht="15" hidden="false" customHeight="false" outlineLevel="0" collapsed="false">
      <c r="B255" s="35" t="s">
        <v>76</v>
      </c>
      <c r="C255" s="45" t="n">
        <f aca="false">SUMPRODUCT(LT_incl*(1))</f>
        <v>131</v>
      </c>
      <c r="D255" s="38" t="n">
        <f aca="false">IFERROR(C255/StratLoans,0)</f>
        <v>1</v>
      </c>
      <c r="E255" s="45" t="n">
        <f aca="false">SUMPRODUCT(LT_incl*(1),LT_units)</f>
        <v>22360</v>
      </c>
      <c r="F255" s="45" t="n">
        <f aca="false">SUMPRODUCT(LT_incl*(1),LT_beds)</f>
        <v>8726</v>
      </c>
      <c r="G255" s="37" t="n">
        <f aca="false">SUMPRODUCT(LT_incl*(1),LT_upb)</f>
        <v>3716189993.3</v>
      </c>
      <c r="H255" s="38" t="n">
        <f aca="false">IFERROR(G255/StratUPB,0)</f>
        <v>1</v>
      </c>
      <c r="I255" s="37" t="n">
        <f aca="false">IFERROR(G255/C255,0)</f>
        <v>28367862.5442748</v>
      </c>
      <c r="J255" s="37" t="n">
        <f aca="false">SUMPRODUCT(LT_incl*(1),LT_unfunded)</f>
        <v>70425498.27</v>
      </c>
      <c r="K255" s="37" t="n">
        <f aca="false">SUMPRODUCT(LT_incl*(1),LT_navres)</f>
        <v>-35761255.0310469</v>
      </c>
      <c r="L255" s="39" t="n">
        <f aca="false">IFERROR(SUMPRODUCT(LT_incl*(1),LT_upb,LT_eff)/SUMPRODUCT(LT_incl*(1)*ISNUMBER(LT_eff),LT_upb),0)</f>
        <v>0.0384104790702225</v>
      </c>
      <c r="M255" s="39" t="n">
        <f aca="false">IFERROR(SUMPRODUCT(LT_incl*(1),LT_upb,LT_coupon)/SUMPRODUCT(LT_incl*(1)*ISNUMBER(LT_coupon),LT_upb),0)</f>
        <v>0.0749104790702225</v>
      </c>
      <c r="N255" s="38" t="n">
        <f aca="false">IFERROR(SUMPRODUCT(LT_incl*(1),LT_upb,LT_ltv_asis)/SUMPRODUCT(LT_incl*(1)*ISNUMBER(LT_ltv_asis),LT_upb),0)</f>
        <v>0.685976245136614</v>
      </c>
      <c r="O255" s="38" t="n">
        <f aca="false">IFERROR(SUMPRODUCT(LT_incl*(1),LT_upb,LT_ltv_stab)/SUMPRODUCT(LT_incl*(1)*ISNUMBER(LT_ltv_stab),LT_upb),0)</f>
        <v>0.658970555756018</v>
      </c>
      <c r="P255" s="40" t="n">
        <f aca="false">IFERROR(SUMPRODUCT(LT_incl*(1),LT_upb,LT_seas)/SUMPRODUCT(LT_incl*(1)*ISNUMBER(LT_seas),LT_upb),0)</f>
        <v>26.0197171750702</v>
      </c>
      <c r="Q255" s="40" t="n">
        <f aca="false">IFERROR(SUMPRODUCT(LT_incl*(1),LT_upb,LT_rti)/SUMPRODUCT(LT_incl*(1)*ISNUMBER(LT_rti),LT_upb),0)</f>
        <v>10.7164396387939</v>
      </c>
      <c r="R255" s="40" t="n">
        <f aca="false">IFERROR(SUMPRODUCT(LT_incl*(1),LT_upb,LT_rte)/SUMPRODUCT(LT_incl*(1)*ISNUMBER(LT_rte),LT_upb),0)</f>
        <v>23.051497716819</v>
      </c>
      <c r="S255" s="38" t="n">
        <f aca="false">IFERROR(SUMPRODUCT(LT_incl*(1),LT_backdebt)/G255,0)</f>
        <v>0.628005362553862</v>
      </c>
      <c r="T255" s="38" t="n">
        <f aca="false">IFERROR(SUMPRODUCT(LT_incl*(1),LT_equity,LT_roe)/SUMPRODUCT(LT_incl*(1)*ISNUMBER(LT_roe),LT_equity),0)</f>
        <v>0.107961987212177</v>
      </c>
    </row>
    <row r="257" customFormat="false" ht="15" hidden="false" customHeight="false" outlineLevel="0" collapsed="false">
      <c r="B257" s="3" t="s">
        <v>212</v>
      </c>
      <c r="C257" s="4"/>
      <c r="D257" s="4"/>
      <c r="E257" s="4"/>
      <c r="F257" s="4"/>
      <c r="G257" s="4"/>
      <c r="H257" s="4"/>
      <c r="I257" s="4"/>
      <c r="J257" s="4"/>
      <c r="K257" s="4"/>
      <c r="L257" s="4"/>
      <c r="M257" s="4"/>
      <c r="N257" s="4"/>
      <c r="O257" s="4"/>
      <c r="P257" s="4"/>
      <c r="Q257" s="4"/>
      <c r="R257" s="4"/>
      <c r="S257" s="4"/>
      <c r="T257" s="4"/>
    </row>
    <row r="258" customFormat="false" ht="39.75" hidden="false" customHeight="true" outlineLevel="0" collapsed="false">
      <c r="B258" s="16" t="s">
        <v>147</v>
      </c>
      <c r="C258" s="17" t="s">
        <v>13</v>
      </c>
      <c r="D258" s="17" t="s">
        <v>64</v>
      </c>
      <c r="E258" s="17" t="s">
        <v>65</v>
      </c>
      <c r="F258" s="17" t="s">
        <v>66</v>
      </c>
      <c r="G258" s="17" t="s">
        <v>16</v>
      </c>
      <c r="H258" s="17" t="s">
        <v>46</v>
      </c>
      <c r="I258" s="17" t="s">
        <v>19</v>
      </c>
      <c r="J258" s="17" t="s">
        <v>28</v>
      </c>
      <c r="K258" s="17" t="s">
        <v>31</v>
      </c>
      <c r="L258" s="17" t="s">
        <v>7</v>
      </c>
      <c r="M258" s="17" t="s">
        <v>11</v>
      </c>
      <c r="N258" s="17" t="s">
        <v>23</v>
      </c>
      <c r="O258" s="17" t="s">
        <v>67</v>
      </c>
      <c r="P258" s="17" t="s">
        <v>5</v>
      </c>
      <c r="Q258" s="17" t="s">
        <v>68</v>
      </c>
      <c r="R258" s="17" t="s">
        <v>69</v>
      </c>
      <c r="S258" s="17" t="s">
        <v>56</v>
      </c>
      <c r="T258" s="17" t="s">
        <v>70</v>
      </c>
      <c r="V258" s="17" t="s">
        <v>148</v>
      </c>
      <c r="W258" s="17" t="s">
        <v>149</v>
      </c>
    </row>
    <row r="259" customFormat="false" ht="15" hidden="false" customHeight="false" outlineLevel="0" collapsed="false">
      <c r="B259" s="18" t="s">
        <v>213</v>
      </c>
      <c r="C259" s="26" t="n">
        <f aca="false">SUMPRODUCT(LT_incl*(ISNUMBER(LT_m2e)*(LT_m2e&gt;=$V259)*(LT_m2e&lt;$W259)))</f>
        <v>8</v>
      </c>
      <c r="D259" s="23" t="n">
        <f aca="false">IFERROR(C259/StratLoans,0)</f>
        <v>0.0610687022900763</v>
      </c>
      <c r="E259" s="26" t="n">
        <f aca="false">SUMPRODUCT(LT_incl*(ISNUMBER(LT_m2e)*(LT_m2e&gt;=$V259)*(LT_m2e&lt;$W259)),LT_units)</f>
        <v>448</v>
      </c>
      <c r="F259" s="26" t="n">
        <f aca="false">SUMPRODUCT(LT_incl*(ISNUMBER(LT_m2e)*(LT_m2e&gt;=$V259)*(LT_m2e&lt;$W259)),LT_beds)</f>
        <v>958</v>
      </c>
      <c r="G259" s="22" t="n">
        <f aca="false">SUMPRODUCT(LT_incl*(ISNUMBER(LT_m2e)*(LT_m2e&gt;=$V259)*(LT_m2e&lt;$W259)),LT_upb)</f>
        <v>159565102.39</v>
      </c>
      <c r="H259" s="23" t="n">
        <f aca="false">IFERROR(G259/StratUPB,0)</f>
        <v>0.0429378214455352</v>
      </c>
      <c r="I259" s="22" t="n">
        <f aca="false">IFERROR(G259/C259,0)</f>
        <v>19945637.79875</v>
      </c>
      <c r="J259" s="22" t="n">
        <f aca="false">SUMPRODUCT(LT_incl*(ISNUMBER(LT_m2e)*(LT_m2e&gt;=$V259)*(LT_m2e&lt;$W259)),LT_unfunded)</f>
        <v>18084.46</v>
      </c>
      <c r="K259" s="22" t="n">
        <f aca="false">SUMPRODUCT(LT_incl*(ISNUMBER(LT_m2e)*(LT_m2e&gt;=$V259)*(LT_m2e&lt;$W259)),LT_navres)</f>
        <v>-18490467.85</v>
      </c>
      <c r="L259" s="24" t="n">
        <f aca="false">IFERROR(SUMPRODUCT(LT_incl*(ISNUMBER(LT_m2e)*(LT_m2e&gt;=$V259)*(LT_m2e&lt;$W259)),LT_upb,LT_eff)/SUMPRODUCT(LT_incl*(ISNUMBER(LT_m2e)*(LT_m2e&gt;=$V259)*(LT_m2e&lt;$W259))*ISNUMBER(LT_eff),LT_upb),0)</f>
        <v>0.0497995893158904</v>
      </c>
      <c r="M259" s="24" t="n">
        <f aca="false">IFERROR(SUMPRODUCT(LT_incl*(ISNUMBER(LT_m2e)*(LT_m2e&gt;=$V259)*(LT_m2e&lt;$W259)),LT_upb,LT_coupon)/SUMPRODUCT(LT_incl*(ISNUMBER(LT_m2e)*(LT_m2e&gt;=$V259)*(LT_m2e&lt;$W259))*ISNUMBER(LT_coupon),LT_upb),0)</f>
        <v>0.0862995893158904</v>
      </c>
      <c r="N259" s="23" t="n">
        <f aca="false">IFERROR(SUMPRODUCT(LT_incl*(ISNUMBER(LT_m2e)*(LT_m2e&gt;=$V259)*(LT_m2e&lt;$W259)),LT_upb,LT_ltv_asis)/SUMPRODUCT(LT_incl*(ISNUMBER(LT_m2e)*(LT_m2e&gt;=$V259)*(LT_m2e&lt;$W259))*ISNUMBER(LT_ltv_asis),LT_upb),0)</f>
        <v>0.738354223438898</v>
      </c>
      <c r="O259" s="23" t="n">
        <f aca="false">IFERROR(SUMPRODUCT(LT_incl*(ISNUMBER(LT_m2e)*(LT_m2e&gt;=$V259)*(LT_m2e&lt;$W259)),LT_upb,LT_ltv_stab)/SUMPRODUCT(LT_incl*(ISNUMBER(LT_m2e)*(LT_m2e&gt;=$V259)*(LT_m2e&lt;$W259))*ISNUMBER(LT_ltv_stab),LT_upb),0)</f>
        <v>0.71788988109296</v>
      </c>
      <c r="P259" s="25" t="n">
        <f aca="false">IFERROR(SUMPRODUCT(LT_incl*(ISNUMBER(LT_m2e)*(LT_m2e&gt;=$V259)*(LT_m2e&lt;$W259)),LT_upb,LT_seas)/SUMPRODUCT(LT_incl*(ISNUMBER(LT_m2e)*(LT_m2e&gt;=$V259)*(LT_m2e&lt;$W259))*ISNUMBER(LT_seas),LT_upb),0)</f>
        <v>63.7636119862215</v>
      </c>
      <c r="Q259" s="25" t="n">
        <f aca="false">IFERROR(SUMPRODUCT(LT_incl*(ISNUMBER(LT_m2e)*(LT_m2e&gt;=$V259)*(LT_m2e&lt;$W259)),LT_upb,LT_rti)/SUMPRODUCT(LT_incl*(ISNUMBER(LT_m2e)*(LT_m2e&gt;=$V259)*(LT_m2e&lt;$W259))*ISNUMBER(LT_rti),LT_upb),0)</f>
        <v>0</v>
      </c>
      <c r="R259" s="25" t="n">
        <f aca="false">IFERROR(SUMPRODUCT(LT_incl*(ISNUMBER(LT_m2e)*(LT_m2e&gt;=$V259)*(LT_m2e&lt;$W259)),LT_upb,LT_rte)/SUMPRODUCT(LT_incl*(ISNUMBER(LT_m2e)*(LT_m2e&gt;=$V259)*(LT_m2e&lt;$W259))*ISNUMBER(LT_rte),LT_upb),0)</f>
        <v>0</v>
      </c>
      <c r="S259" s="23" t="n">
        <f aca="false">IFERROR(SUMPRODUCT(LT_incl*(ISNUMBER(LT_m2e)*(LT_m2e&gt;=$V259)*(LT_m2e&lt;$W259)),LT_backdebt)/G259,0)</f>
        <v>0</v>
      </c>
      <c r="T259" s="23" t="n">
        <f aca="false">IFERROR(SUMPRODUCT(LT_incl*(ISNUMBER(LT_m2e)*(LT_m2e&gt;=$V259)*(LT_m2e&lt;$W259)),LT_equity,LT_roe)/SUMPRODUCT(LT_incl*(ISNUMBER(LT_m2e)*(LT_m2e&gt;=$V259)*(LT_m2e&lt;$W259))*ISNUMBER(LT_roe),LT_equity),0)</f>
        <v>0.0862995893158904</v>
      </c>
      <c r="V259" s="49" t="n">
        <v>-1000000000000</v>
      </c>
      <c r="W259" s="49" t="n">
        <v>0</v>
      </c>
    </row>
    <row r="260" customFormat="false" ht="15" hidden="false" customHeight="false" outlineLevel="0" collapsed="false">
      <c r="B260" s="27" t="s">
        <v>210</v>
      </c>
      <c r="C260" s="44" t="n">
        <f aca="false">SUMPRODUCT(LT_incl*(ISNUMBER(LT_m2e)*(LT_m2e&gt;=$V260)*(LT_m2e&lt;$W260)))</f>
        <v>21</v>
      </c>
      <c r="D260" s="32" t="n">
        <f aca="false">IFERROR(C260/StratLoans,0)</f>
        <v>0.16030534351145</v>
      </c>
      <c r="E260" s="44" t="n">
        <f aca="false">SUMPRODUCT(LT_incl*(ISNUMBER(LT_m2e)*(LT_m2e&gt;=$V260)*(LT_m2e&lt;$W260)),LT_units)</f>
        <v>4935</v>
      </c>
      <c r="F260" s="44" t="n">
        <f aca="false">SUMPRODUCT(LT_incl*(ISNUMBER(LT_m2e)*(LT_m2e&gt;=$V260)*(LT_m2e&lt;$W260)),LT_beds)</f>
        <v>715</v>
      </c>
      <c r="G260" s="31" t="n">
        <f aca="false">SUMPRODUCT(LT_incl*(ISNUMBER(LT_m2e)*(LT_m2e&gt;=$V260)*(LT_m2e&lt;$W260)),LT_upb)</f>
        <v>638958899.35</v>
      </c>
      <c r="H260" s="32" t="n">
        <f aca="false">IFERROR(G260/StratUPB,0)</f>
        <v>0.171939244361024</v>
      </c>
      <c r="I260" s="31" t="n">
        <f aca="false">IFERROR(G260/C260,0)</f>
        <v>30426614.2547619</v>
      </c>
      <c r="J260" s="31" t="n">
        <f aca="false">SUMPRODUCT(LT_incl*(ISNUMBER(LT_m2e)*(LT_m2e&gt;=$V260)*(LT_m2e&lt;$W260)),LT_unfunded)</f>
        <v>6558600.65</v>
      </c>
      <c r="K260" s="31" t="n">
        <f aca="false">SUMPRODUCT(LT_incl*(ISNUMBER(LT_m2e)*(LT_m2e&gt;=$V260)*(LT_m2e&lt;$W260)),LT_navres)</f>
        <v>-11882049.0123036</v>
      </c>
      <c r="L260" s="33" t="n">
        <f aca="false">IFERROR(SUMPRODUCT(LT_incl*(ISNUMBER(LT_m2e)*(LT_m2e&gt;=$V260)*(LT_m2e&lt;$W260)),LT_upb,LT_eff)/SUMPRODUCT(LT_incl*(ISNUMBER(LT_m2e)*(LT_m2e&gt;=$V260)*(LT_m2e&lt;$W260))*ISNUMBER(LT_eff),LT_upb),0)</f>
        <v>0.0388090554099033</v>
      </c>
      <c r="M260" s="33" t="n">
        <f aca="false">IFERROR(SUMPRODUCT(LT_incl*(ISNUMBER(LT_m2e)*(LT_m2e&gt;=$V260)*(LT_m2e&lt;$W260)),LT_upb,LT_coupon)/SUMPRODUCT(LT_incl*(ISNUMBER(LT_m2e)*(LT_m2e&gt;=$V260)*(LT_m2e&lt;$W260))*ISNUMBER(LT_coupon),LT_upb),0)</f>
        <v>0.0753090554099033</v>
      </c>
      <c r="N260" s="32" t="n">
        <f aca="false">IFERROR(SUMPRODUCT(LT_incl*(ISNUMBER(LT_m2e)*(LT_m2e&gt;=$V260)*(LT_m2e&lt;$W260)),LT_upb,LT_ltv_asis)/SUMPRODUCT(LT_incl*(ISNUMBER(LT_m2e)*(LT_m2e&gt;=$V260)*(LT_m2e&lt;$W260))*ISNUMBER(LT_ltv_asis),LT_upb),0)</f>
        <v>0.752477730184973</v>
      </c>
      <c r="O260" s="32" t="n">
        <f aca="false">IFERROR(SUMPRODUCT(LT_incl*(ISNUMBER(LT_m2e)*(LT_m2e&gt;=$V260)*(LT_m2e&lt;$W260)),LT_upb,LT_ltv_stab)/SUMPRODUCT(LT_incl*(ISNUMBER(LT_m2e)*(LT_m2e&gt;=$V260)*(LT_m2e&lt;$W260))*ISNUMBER(LT_ltv_stab),LT_upb),0)</f>
        <v>0.690848811062495</v>
      </c>
      <c r="P260" s="34" t="n">
        <f aca="false">IFERROR(SUMPRODUCT(LT_incl*(ISNUMBER(LT_m2e)*(LT_m2e&gt;=$V260)*(LT_m2e&lt;$W260)),LT_upb,LT_seas)/SUMPRODUCT(LT_incl*(ISNUMBER(LT_m2e)*(LT_m2e&gt;=$V260)*(LT_m2e&lt;$W260))*ISNUMBER(LT_seas),LT_upb),0)</f>
        <v>52.1402130296058</v>
      </c>
      <c r="Q260" s="34" t="n">
        <f aca="false">IFERROR(SUMPRODUCT(LT_incl*(ISNUMBER(LT_m2e)*(LT_m2e&gt;=$V260)*(LT_m2e&lt;$W260)),LT_upb,LT_rti)/SUMPRODUCT(LT_incl*(ISNUMBER(LT_m2e)*(LT_m2e&gt;=$V260)*(LT_m2e&lt;$W260))*ISNUMBER(LT_rti),LT_upb),0)</f>
        <v>0</v>
      </c>
      <c r="R260" s="34" t="n">
        <f aca="false">IFERROR(SUMPRODUCT(LT_incl*(ISNUMBER(LT_m2e)*(LT_m2e&gt;=$V260)*(LT_m2e&lt;$W260)),LT_upb,LT_rte)/SUMPRODUCT(LT_incl*(ISNUMBER(LT_m2e)*(LT_m2e&gt;=$V260)*(LT_m2e&lt;$W260))*ISNUMBER(LT_rte),LT_upb),0)</f>
        <v>2.27286848431809</v>
      </c>
      <c r="S260" s="32" t="n">
        <f aca="false">IFERROR(SUMPRODUCT(LT_incl*(ISNUMBER(LT_m2e)*(LT_m2e&gt;=$V260)*(LT_m2e&lt;$W260)),LT_backdebt)/G260,0)</f>
        <v>0.575974692868208</v>
      </c>
      <c r="T260" s="32" t="n">
        <f aca="false">IFERROR(SUMPRODUCT(LT_incl*(ISNUMBER(LT_m2e)*(LT_m2e&gt;=$V260)*(LT_m2e&lt;$W260)),LT_equity,LT_roe)/SUMPRODUCT(LT_incl*(ISNUMBER(LT_m2e)*(LT_m2e&gt;=$V260)*(LT_m2e&lt;$W260))*ISNUMBER(LT_roe),LT_equity),0)</f>
        <v>0.101725559829577</v>
      </c>
      <c r="V260" s="49" t="n">
        <v>0</v>
      </c>
      <c r="W260" s="49" t="n">
        <v>6</v>
      </c>
    </row>
    <row r="261" customFormat="false" ht="15" hidden="false" customHeight="false" outlineLevel="0" collapsed="false">
      <c r="B261" s="18" t="s">
        <v>202</v>
      </c>
      <c r="C261" s="26" t="n">
        <f aca="false">SUMPRODUCT(LT_incl*(ISNUMBER(LT_m2e)*(LT_m2e&gt;=$V261)*(LT_m2e&lt;$W261)))</f>
        <v>12</v>
      </c>
      <c r="D261" s="23" t="n">
        <f aca="false">IFERROR(C261/StratLoans,0)</f>
        <v>0.0916030534351145</v>
      </c>
      <c r="E261" s="26" t="n">
        <f aca="false">SUMPRODUCT(LT_incl*(ISNUMBER(LT_m2e)*(LT_m2e&gt;=$V261)*(LT_m2e&lt;$W261)),LT_units)</f>
        <v>2717</v>
      </c>
      <c r="F261" s="26" t="n">
        <f aca="false">SUMPRODUCT(LT_incl*(ISNUMBER(LT_m2e)*(LT_m2e&gt;=$V261)*(LT_m2e&lt;$W261)),LT_beds)</f>
        <v>391</v>
      </c>
      <c r="G261" s="22" t="n">
        <f aca="false">SUMPRODUCT(LT_incl*(ISNUMBER(LT_m2e)*(LT_m2e&gt;=$V261)*(LT_m2e&lt;$W261)),LT_upb)</f>
        <v>456188094.43</v>
      </c>
      <c r="H261" s="23" t="n">
        <f aca="false">IFERROR(G261/StratUPB,0)</f>
        <v>0.122756935262317</v>
      </c>
      <c r="I261" s="22" t="n">
        <f aca="false">IFERROR(G261/C261,0)</f>
        <v>38015674.5358333</v>
      </c>
      <c r="J261" s="22" t="n">
        <f aca="false">SUMPRODUCT(LT_incl*(ISNUMBER(LT_m2e)*(LT_m2e&gt;=$V261)*(LT_m2e&lt;$W261)),LT_unfunded)</f>
        <v>1250000</v>
      </c>
      <c r="K261" s="22" t="n">
        <f aca="false">SUMPRODUCT(LT_incl*(ISNUMBER(LT_m2e)*(LT_m2e&gt;=$V261)*(LT_m2e&lt;$W261)),LT_navres)</f>
        <v>-2501701.03872236</v>
      </c>
      <c r="L261" s="24" t="n">
        <f aca="false">IFERROR(SUMPRODUCT(LT_incl*(ISNUMBER(LT_m2e)*(LT_m2e&gt;=$V261)*(LT_m2e&lt;$W261)),LT_upb,LT_eff)/SUMPRODUCT(LT_incl*(ISNUMBER(LT_m2e)*(LT_m2e&gt;=$V261)*(LT_m2e&lt;$W261))*ISNUMBER(LT_eff),LT_upb),0)</f>
        <v>0.0365826413128495</v>
      </c>
      <c r="M261" s="24" t="n">
        <f aca="false">IFERROR(SUMPRODUCT(LT_incl*(ISNUMBER(LT_m2e)*(LT_m2e&gt;=$V261)*(LT_m2e&lt;$W261)),LT_upb,LT_coupon)/SUMPRODUCT(LT_incl*(ISNUMBER(LT_m2e)*(LT_m2e&gt;=$V261)*(LT_m2e&lt;$W261))*ISNUMBER(LT_coupon),LT_upb),0)</f>
        <v>0.0730826413128495</v>
      </c>
      <c r="N261" s="23" t="n">
        <f aca="false">IFERROR(SUMPRODUCT(LT_incl*(ISNUMBER(LT_m2e)*(LT_m2e&gt;=$V261)*(LT_m2e&lt;$W261)),LT_upb,LT_ltv_asis)/SUMPRODUCT(LT_incl*(ISNUMBER(LT_m2e)*(LT_m2e&gt;=$V261)*(LT_m2e&lt;$W261))*ISNUMBER(LT_ltv_asis),LT_upb),0)</f>
        <v>0.655708545926777</v>
      </c>
      <c r="O261" s="23" t="n">
        <f aca="false">IFERROR(SUMPRODUCT(LT_incl*(ISNUMBER(LT_m2e)*(LT_m2e&gt;=$V261)*(LT_m2e&lt;$W261)),LT_upb,LT_ltv_stab)/SUMPRODUCT(LT_incl*(ISNUMBER(LT_m2e)*(LT_m2e&gt;=$V261)*(LT_m2e&lt;$W261))*ISNUMBER(LT_ltv_stab),LT_upb),0)</f>
        <v>0.62463667631531</v>
      </c>
      <c r="P261" s="25" t="n">
        <f aca="false">IFERROR(SUMPRODUCT(LT_incl*(ISNUMBER(LT_m2e)*(LT_m2e&gt;=$V261)*(LT_m2e&lt;$W261)),LT_upb,LT_seas)/SUMPRODUCT(LT_incl*(ISNUMBER(LT_m2e)*(LT_m2e&gt;=$V261)*(LT_m2e&lt;$W261))*ISNUMBER(LT_seas),LT_upb),0)</f>
        <v>46.9552889872124</v>
      </c>
      <c r="Q261" s="25" t="n">
        <f aca="false">IFERROR(SUMPRODUCT(LT_incl*(ISNUMBER(LT_m2e)*(LT_m2e&gt;=$V261)*(LT_m2e&lt;$W261)),LT_upb,LT_rti)/SUMPRODUCT(LT_incl*(ISNUMBER(LT_m2e)*(LT_m2e&gt;=$V261)*(LT_m2e&lt;$W261))*ISNUMBER(LT_rti),LT_upb),0)</f>
        <v>0.625213195363439</v>
      </c>
      <c r="R261" s="25" t="n">
        <f aca="false">IFERROR(SUMPRODUCT(LT_incl*(ISNUMBER(LT_m2e)*(LT_m2e&gt;=$V261)*(LT_m2e&lt;$W261)),LT_upb,LT_rte)/SUMPRODUCT(LT_incl*(ISNUMBER(LT_m2e)*(LT_m2e&gt;=$V261)*(LT_m2e&lt;$W261))*ISNUMBER(LT_rte),LT_upb),0)</f>
        <v>7.61273188030074</v>
      </c>
      <c r="S261" s="23" t="n">
        <f aca="false">IFERROR(SUMPRODUCT(LT_incl*(ISNUMBER(LT_m2e)*(LT_m2e&gt;=$V261)*(LT_m2e&lt;$W261)),LT_backdebt)/G261,0)</f>
        <v>0.656245484096834</v>
      </c>
      <c r="T261" s="23" t="n">
        <f aca="false">IFERROR(SUMPRODUCT(LT_incl*(ISNUMBER(LT_m2e)*(LT_m2e&gt;=$V261)*(LT_m2e&lt;$W261)),LT_equity,LT_roe)/SUMPRODUCT(LT_incl*(ISNUMBER(LT_m2e)*(LT_m2e&gt;=$V261)*(LT_m2e&lt;$W261))*ISNUMBER(LT_roe),LT_equity),0)</f>
        <v>0.108555060565708</v>
      </c>
      <c r="V261" s="49" t="n">
        <v>6</v>
      </c>
      <c r="W261" s="49" t="n">
        <v>12</v>
      </c>
    </row>
    <row r="262" customFormat="false" ht="15" hidden="false" customHeight="false" outlineLevel="0" collapsed="false">
      <c r="B262" s="27" t="s">
        <v>203</v>
      </c>
      <c r="C262" s="44" t="n">
        <f aca="false">SUMPRODUCT(LT_incl*(ISNUMBER(LT_m2e)*(LT_m2e&gt;=$V262)*(LT_m2e&lt;$W262)))</f>
        <v>25</v>
      </c>
      <c r="D262" s="32" t="n">
        <f aca="false">IFERROR(C262/StratLoans,0)</f>
        <v>0.190839694656489</v>
      </c>
      <c r="E262" s="44" t="n">
        <f aca="false">SUMPRODUCT(LT_incl*(ISNUMBER(LT_m2e)*(LT_m2e&gt;=$V262)*(LT_m2e&lt;$W262)),LT_units)</f>
        <v>2816</v>
      </c>
      <c r="F262" s="44" t="n">
        <f aca="false">SUMPRODUCT(LT_incl*(ISNUMBER(LT_m2e)*(LT_m2e&gt;=$V262)*(LT_m2e&lt;$W262)),LT_beds)</f>
        <v>3326</v>
      </c>
      <c r="G262" s="31" t="n">
        <f aca="false">SUMPRODUCT(LT_incl*(ISNUMBER(LT_m2e)*(LT_m2e&gt;=$V262)*(LT_m2e&lt;$W262)),LT_upb)</f>
        <v>638987307.46</v>
      </c>
      <c r="H262" s="32" t="n">
        <f aca="false">IFERROR(G262/StratUPB,0)</f>
        <v>0.171946888779111</v>
      </c>
      <c r="I262" s="31" t="n">
        <f aca="false">IFERROR(G262/C262,0)</f>
        <v>25559492.2984</v>
      </c>
      <c r="J262" s="31" t="n">
        <f aca="false">SUMPRODUCT(LT_incl*(ISNUMBER(LT_m2e)*(LT_m2e&gt;=$V262)*(LT_m2e&lt;$W262)),LT_unfunded)</f>
        <v>40663373.16</v>
      </c>
      <c r="K262" s="31" t="n">
        <f aca="false">SUMPRODUCT(LT_incl*(ISNUMBER(LT_m2e)*(LT_m2e&gt;=$V262)*(LT_m2e&lt;$W262)),LT_navres)</f>
        <v>0</v>
      </c>
      <c r="L262" s="33" t="n">
        <f aca="false">IFERROR(SUMPRODUCT(LT_incl*(ISNUMBER(LT_m2e)*(LT_m2e&gt;=$V262)*(LT_m2e&lt;$W262)),LT_upb,LT_eff)/SUMPRODUCT(LT_incl*(ISNUMBER(LT_m2e)*(LT_m2e&gt;=$V262)*(LT_m2e&lt;$W262))*ISNUMBER(LT_eff),LT_upb),0)</f>
        <v>0.0431680364405622</v>
      </c>
      <c r="M262" s="33" t="n">
        <f aca="false">IFERROR(SUMPRODUCT(LT_incl*(ISNUMBER(LT_m2e)*(LT_m2e&gt;=$V262)*(LT_m2e&lt;$W262)),LT_upb,LT_coupon)/SUMPRODUCT(LT_incl*(ISNUMBER(LT_m2e)*(LT_m2e&gt;=$V262)*(LT_m2e&lt;$W262))*ISNUMBER(LT_coupon),LT_upb),0)</f>
        <v>0.0796680364405622</v>
      </c>
      <c r="N262" s="32" t="n">
        <f aca="false">IFERROR(SUMPRODUCT(LT_incl*(ISNUMBER(LT_m2e)*(LT_m2e&gt;=$V262)*(LT_m2e&lt;$W262)),LT_upb,LT_ltv_asis)/SUMPRODUCT(LT_incl*(ISNUMBER(LT_m2e)*(LT_m2e&gt;=$V262)*(LT_m2e&lt;$W262))*ISNUMBER(LT_ltv_asis),LT_upb),0)</f>
        <v>0.626043592048332</v>
      </c>
      <c r="O262" s="32" t="n">
        <f aca="false">IFERROR(SUMPRODUCT(LT_incl*(ISNUMBER(LT_m2e)*(LT_m2e&gt;=$V262)*(LT_m2e&lt;$W262)),LT_upb,LT_ltv_stab)/SUMPRODUCT(LT_incl*(ISNUMBER(LT_m2e)*(LT_m2e&gt;=$V262)*(LT_m2e&lt;$W262))*ISNUMBER(LT_ltv_stab),LT_upb),0)</f>
        <v>0.645457621285556</v>
      </c>
      <c r="P262" s="34" t="n">
        <f aca="false">IFERROR(SUMPRODUCT(LT_incl*(ISNUMBER(LT_m2e)*(LT_m2e&gt;=$V262)*(LT_m2e&lt;$W262)),LT_upb,LT_seas)/SUMPRODUCT(LT_incl*(ISNUMBER(LT_m2e)*(LT_m2e&gt;=$V262)*(LT_m2e&lt;$W262))*ISNUMBER(LT_seas),LT_upb),0)</f>
        <v>17.8031865290175</v>
      </c>
      <c r="Q262" s="34" t="n">
        <f aca="false">IFERROR(SUMPRODUCT(LT_incl*(ISNUMBER(LT_m2e)*(LT_m2e&gt;=$V262)*(LT_m2e&lt;$W262)),LT_upb,LT_rti)/SUMPRODUCT(LT_incl*(ISNUMBER(LT_m2e)*(LT_m2e&gt;=$V262)*(LT_m2e&lt;$W262))*ISNUMBER(LT_rti),LT_upb),0)</f>
        <v>8.50336276674286</v>
      </c>
      <c r="R262" s="34" t="n">
        <f aca="false">IFERROR(SUMPRODUCT(LT_incl*(ISNUMBER(LT_m2e)*(LT_m2e&gt;=$V262)*(LT_m2e&lt;$W262)),LT_upb,LT_rte)/SUMPRODUCT(LT_incl*(ISNUMBER(LT_m2e)*(LT_m2e&gt;=$V262)*(LT_m2e&lt;$W262))*ISNUMBER(LT_rte),LT_upb),0)</f>
        <v>19.7038943413101</v>
      </c>
      <c r="S262" s="32" t="n">
        <f aca="false">IFERROR(SUMPRODUCT(LT_incl*(ISNUMBER(LT_m2e)*(LT_m2e&gt;=$V262)*(LT_m2e&lt;$W262)),LT_backdebt)/G262,0)</f>
        <v>0.556032232871013</v>
      </c>
      <c r="T262" s="32" t="n">
        <f aca="false">IFERROR(SUMPRODUCT(LT_incl*(ISNUMBER(LT_m2e)*(LT_m2e&gt;=$V262)*(LT_m2e&lt;$W262)),LT_equity,LT_roe)/SUMPRODUCT(LT_incl*(ISNUMBER(LT_m2e)*(LT_m2e&gt;=$V262)*(LT_m2e&lt;$W262))*ISNUMBER(LT_roe),LT_equity),0)</f>
        <v>0.109675439189197</v>
      </c>
      <c r="V262" s="49" t="n">
        <v>12</v>
      </c>
      <c r="W262" s="49" t="n">
        <v>24</v>
      </c>
    </row>
    <row r="263" customFormat="false" ht="15" hidden="false" customHeight="false" outlineLevel="0" collapsed="false">
      <c r="B263" s="18" t="s">
        <v>204</v>
      </c>
      <c r="C263" s="26" t="n">
        <f aca="false">SUMPRODUCT(LT_incl*(ISNUMBER(LT_m2e)*(LT_m2e&gt;=$V263)*(LT_m2e&lt;$W263)))</f>
        <v>37</v>
      </c>
      <c r="D263" s="23" t="n">
        <f aca="false">IFERROR(C263/StratLoans,0)</f>
        <v>0.282442748091603</v>
      </c>
      <c r="E263" s="26" t="n">
        <f aca="false">SUMPRODUCT(LT_incl*(ISNUMBER(LT_m2e)*(LT_m2e&gt;=$V263)*(LT_m2e&lt;$W263)),LT_units)</f>
        <v>3803</v>
      </c>
      <c r="F263" s="26" t="n">
        <f aca="false">SUMPRODUCT(LT_incl*(ISNUMBER(LT_m2e)*(LT_m2e&gt;=$V263)*(LT_m2e&lt;$W263)),LT_beds)</f>
        <v>2976</v>
      </c>
      <c r="G263" s="22" t="n">
        <f aca="false">SUMPRODUCT(LT_incl*(ISNUMBER(LT_m2e)*(LT_m2e&gt;=$V263)*(LT_m2e&lt;$W263)),LT_upb)</f>
        <v>1013467084.71</v>
      </c>
      <c r="H263" s="23" t="n">
        <f aca="false">IFERROR(G263/StratUPB,0)</f>
        <v>0.272716703542392</v>
      </c>
      <c r="I263" s="22" t="n">
        <f aca="false">IFERROR(G263/C263,0)</f>
        <v>27391002.2894595</v>
      </c>
      <c r="J263" s="22" t="n">
        <f aca="false">SUMPRODUCT(LT_incl*(ISNUMBER(LT_m2e)*(LT_m2e&gt;=$V263)*(LT_m2e&lt;$W263)),LT_unfunded)</f>
        <v>8512480.72</v>
      </c>
      <c r="K263" s="22" t="n">
        <f aca="false">SUMPRODUCT(LT_incl*(ISNUMBER(LT_m2e)*(LT_m2e&gt;=$V263)*(LT_m2e&lt;$W263)),LT_navres)</f>
        <v>0</v>
      </c>
      <c r="L263" s="24" t="n">
        <f aca="false">IFERROR(SUMPRODUCT(LT_incl*(ISNUMBER(LT_m2e)*(LT_m2e&gt;=$V263)*(LT_m2e&lt;$W263)),LT_upb,LT_eff)/SUMPRODUCT(LT_incl*(ISNUMBER(LT_m2e)*(LT_m2e&gt;=$V263)*(LT_m2e&lt;$W263))*ISNUMBER(LT_eff),LT_upb),0)</f>
        <v>0.0383457369247323</v>
      </c>
      <c r="M263" s="24" t="n">
        <f aca="false">IFERROR(SUMPRODUCT(LT_incl*(ISNUMBER(LT_m2e)*(LT_m2e&gt;=$V263)*(LT_m2e&lt;$W263)),LT_upb,LT_coupon)/SUMPRODUCT(LT_incl*(ISNUMBER(LT_m2e)*(LT_m2e&gt;=$V263)*(LT_m2e&lt;$W263))*ISNUMBER(LT_coupon),LT_upb),0)</f>
        <v>0.0748457369247323</v>
      </c>
      <c r="N263" s="23" t="n">
        <f aca="false">IFERROR(SUMPRODUCT(LT_incl*(ISNUMBER(LT_m2e)*(LT_m2e&gt;=$V263)*(LT_m2e&lt;$W263)),LT_upb,LT_ltv_asis)/SUMPRODUCT(LT_incl*(ISNUMBER(LT_m2e)*(LT_m2e&gt;=$V263)*(LT_m2e&lt;$W263))*ISNUMBER(LT_ltv_asis),LT_upb),0)</f>
        <v>0.691391369547801</v>
      </c>
      <c r="O263" s="23" t="n">
        <f aca="false">IFERROR(SUMPRODUCT(LT_incl*(ISNUMBER(LT_m2e)*(LT_m2e&gt;=$V263)*(LT_m2e&lt;$W263)),LT_upb,LT_ltv_stab)/SUMPRODUCT(LT_incl*(ISNUMBER(LT_m2e)*(LT_m2e&gt;=$V263)*(LT_m2e&lt;$W263))*ISNUMBER(LT_ltv_stab),LT_upb),0)</f>
        <v>0.65535412007736</v>
      </c>
      <c r="P263" s="25" t="n">
        <f aca="false">IFERROR(SUMPRODUCT(LT_incl*(ISNUMBER(LT_m2e)*(LT_m2e&gt;=$V263)*(LT_m2e&lt;$W263)),LT_upb,LT_seas)/SUMPRODUCT(LT_incl*(ISNUMBER(LT_m2e)*(LT_m2e&gt;=$V263)*(LT_m2e&lt;$W263))*ISNUMBER(LT_seas),LT_upb),0)</f>
        <v>11.1636508257275</v>
      </c>
      <c r="Q263" s="25" t="n">
        <f aca="false">IFERROR(SUMPRODUCT(LT_incl*(ISNUMBER(LT_m2e)*(LT_m2e&gt;=$V263)*(LT_m2e&lt;$W263)),LT_upb,LT_rti)/SUMPRODUCT(LT_incl*(ISNUMBER(LT_m2e)*(LT_m2e&gt;=$V263)*(LT_m2e&lt;$W263))*ISNUMBER(LT_rti),LT_upb),0)</f>
        <v>14.4390488321265</v>
      </c>
      <c r="R263" s="25" t="n">
        <f aca="false">IFERROR(SUMPRODUCT(LT_incl*(ISNUMBER(LT_m2e)*(LT_m2e&gt;=$V263)*(LT_m2e&lt;$W263)),LT_upb,LT_rte)/SUMPRODUCT(LT_incl*(ISNUMBER(LT_m2e)*(LT_m2e&gt;=$V263)*(LT_m2e&lt;$W263))*ISNUMBER(LT_rte),LT_upb),0)</f>
        <v>30.3219807188511</v>
      </c>
      <c r="S263" s="23" t="n">
        <f aca="false">IFERROR(SUMPRODUCT(LT_incl*(ISNUMBER(LT_m2e)*(LT_m2e&gt;=$V263)*(LT_m2e&lt;$W263)),LT_backdebt)/G263,0)</f>
        <v>0.740504888258476</v>
      </c>
      <c r="T263" s="23" t="n">
        <f aca="false">IFERROR(SUMPRODUCT(LT_incl*(ISNUMBER(LT_m2e)*(LT_m2e&gt;=$V263)*(LT_m2e&lt;$W263)),LT_equity,LT_roe)/SUMPRODUCT(LT_incl*(ISNUMBER(LT_m2e)*(LT_m2e&gt;=$V263)*(LT_m2e&lt;$W263))*ISNUMBER(LT_roe),LT_equity),0)</f>
        <v>0.129780629501917</v>
      </c>
      <c r="V263" s="49" t="n">
        <v>24</v>
      </c>
      <c r="W263" s="49" t="n">
        <v>36</v>
      </c>
    </row>
    <row r="264" customFormat="false" ht="15" hidden="false" customHeight="false" outlineLevel="0" collapsed="false">
      <c r="B264" s="27" t="s">
        <v>205</v>
      </c>
      <c r="C264" s="44" t="n">
        <f aca="false">SUMPRODUCT(LT_incl*(ISNUMBER(LT_m2e)*(LT_m2e&gt;=$V264)*(LT_m2e&lt;$W264)))</f>
        <v>16</v>
      </c>
      <c r="D264" s="32" t="n">
        <f aca="false">IFERROR(C264/StratLoans,0)</f>
        <v>0.122137404580153</v>
      </c>
      <c r="E264" s="44" t="n">
        <f aca="false">SUMPRODUCT(LT_incl*(ISNUMBER(LT_m2e)*(LT_m2e&gt;=$V264)*(LT_m2e&lt;$W264)),LT_units)</f>
        <v>2888</v>
      </c>
      <c r="F264" s="44" t="n">
        <f aca="false">SUMPRODUCT(LT_incl*(ISNUMBER(LT_m2e)*(LT_m2e&gt;=$V264)*(LT_m2e&lt;$W264)),LT_beds)</f>
        <v>360</v>
      </c>
      <c r="G264" s="31" t="n">
        <f aca="false">SUMPRODUCT(LT_incl*(ISNUMBER(LT_m2e)*(LT_m2e&gt;=$V264)*(LT_m2e&lt;$W264)),LT_upb)</f>
        <v>493434835.44</v>
      </c>
      <c r="H264" s="32" t="n">
        <f aca="false">IFERROR(G264/StratUPB,0)</f>
        <v>0.132779765385953</v>
      </c>
      <c r="I264" s="31" t="n">
        <f aca="false">IFERROR(G264/C264,0)</f>
        <v>30839677.215</v>
      </c>
      <c r="J264" s="31" t="n">
        <f aca="false">SUMPRODUCT(LT_incl*(ISNUMBER(LT_m2e)*(LT_m2e&gt;=$V264)*(LT_m2e&lt;$W264)),LT_unfunded)</f>
        <v>6713874.37999999</v>
      </c>
      <c r="K264" s="31" t="n">
        <f aca="false">SUMPRODUCT(LT_incl*(ISNUMBER(LT_m2e)*(LT_m2e&gt;=$V264)*(LT_m2e&lt;$W264)),LT_navres)</f>
        <v>0</v>
      </c>
      <c r="L264" s="33" t="n">
        <f aca="false">IFERROR(SUMPRODUCT(LT_incl*(ISNUMBER(LT_m2e)*(LT_m2e&gt;=$V264)*(LT_m2e&lt;$W264)),LT_upb,LT_eff)/SUMPRODUCT(LT_incl*(ISNUMBER(LT_m2e)*(LT_m2e&gt;=$V264)*(LT_m2e&lt;$W264))*ISNUMBER(LT_eff),LT_upb),0)</f>
        <v>0.0341946002690292</v>
      </c>
      <c r="M264" s="33" t="n">
        <f aca="false">IFERROR(SUMPRODUCT(LT_incl*(ISNUMBER(LT_m2e)*(LT_m2e&gt;=$V264)*(LT_m2e&lt;$W264)),LT_upb,LT_coupon)/SUMPRODUCT(LT_incl*(ISNUMBER(LT_m2e)*(LT_m2e&gt;=$V264)*(LT_m2e&lt;$W264))*ISNUMBER(LT_coupon),LT_upb),0)</f>
        <v>0.0706946002690292</v>
      </c>
      <c r="N264" s="32" t="n">
        <f aca="false">IFERROR(SUMPRODUCT(LT_incl*(ISNUMBER(LT_m2e)*(LT_m2e&gt;=$V264)*(LT_m2e&lt;$W264)),LT_upb,LT_ltv_asis)/SUMPRODUCT(LT_incl*(ISNUMBER(LT_m2e)*(LT_m2e&gt;=$V264)*(LT_m2e&lt;$W264))*ISNUMBER(LT_ltv_asis),LT_upb),0)</f>
        <v>0.623942822670004</v>
      </c>
      <c r="O264" s="32" t="n">
        <f aca="false">IFERROR(SUMPRODUCT(LT_incl*(ISNUMBER(LT_m2e)*(LT_m2e&gt;=$V264)*(LT_m2e&lt;$W264)),LT_upb,LT_ltv_stab)/SUMPRODUCT(LT_incl*(ISNUMBER(LT_m2e)*(LT_m2e&gt;=$V264)*(LT_m2e&lt;$W264))*ISNUMBER(LT_ltv_stab),LT_upb),0)</f>
        <v>0.626228488931526</v>
      </c>
      <c r="P264" s="34" t="n">
        <f aca="false">IFERROR(SUMPRODUCT(LT_incl*(ISNUMBER(LT_m2e)*(LT_m2e&gt;=$V264)*(LT_m2e&lt;$W264)),LT_upb,LT_seas)/SUMPRODUCT(LT_incl*(ISNUMBER(LT_m2e)*(LT_m2e&gt;=$V264)*(LT_m2e&lt;$W264))*ISNUMBER(LT_seas),LT_upb),0)</f>
        <v>11.7856266745645</v>
      </c>
      <c r="Q264" s="34" t="n">
        <f aca="false">IFERROR(SUMPRODUCT(LT_incl*(ISNUMBER(LT_m2e)*(LT_m2e&gt;=$V264)*(LT_m2e&lt;$W264)),LT_upb,LT_rti)/SUMPRODUCT(LT_incl*(ISNUMBER(LT_m2e)*(LT_m2e&gt;=$V264)*(LT_m2e&lt;$W264))*ISNUMBER(LT_rti),LT_upb),0)</f>
        <v>21.5593988450225</v>
      </c>
      <c r="R264" s="34" t="n">
        <f aca="false">IFERROR(SUMPRODUCT(LT_incl*(ISNUMBER(LT_m2e)*(LT_m2e&gt;=$V264)*(LT_m2e&lt;$W264)),LT_upb,LT_rte)/SUMPRODUCT(LT_incl*(ISNUMBER(LT_m2e)*(LT_m2e&gt;=$V264)*(LT_m2e&lt;$W264))*ISNUMBER(LT_rte),LT_upb),0)</f>
        <v>40.8174091567121</v>
      </c>
      <c r="S264" s="32" t="n">
        <f aca="false">IFERROR(SUMPRODUCT(LT_incl*(ISNUMBER(LT_m2e)*(LT_m2e&gt;=$V264)*(LT_m2e&lt;$W264)),LT_backdebt)/G264,0)</f>
        <v>0.788871830213003</v>
      </c>
      <c r="T264" s="32" t="n">
        <f aca="false">IFERROR(SUMPRODUCT(LT_incl*(ISNUMBER(LT_m2e)*(LT_m2e&gt;=$V264)*(LT_m2e&lt;$W264)),LT_equity,LT_roe)/SUMPRODUCT(LT_incl*(ISNUMBER(LT_m2e)*(LT_m2e&gt;=$V264)*(LT_m2e&lt;$W264))*ISNUMBER(LT_roe),LT_equity),0)</f>
        <v>0.124168623489751</v>
      </c>
      <c r="V264" s="49" t="n">
        <v>36</v>
      </c>
      <c r="W264" s="49" t="n">
        <v>48</v>
      </c>
    </row>
    <row r="265" customFormat="false" ht="15" hidden="false" customHeight="false" outlineLevel="0" collapsed="false">
      <c r="B265" s="18" t="s">
        <v>214</v>
      </c>
      <c r="C265" s="26" t="n">
        <f aca="false">SUMPRODUCT(LT_incl*(ISNUMBER(LT_m2e)*(LT_m2e&gt;=$V265)*(LT_m2e&lt;$W265)))</f>
        <v>12</v>
      </c>
      <c r="D265" s="23" t="n">
        <f aca="false">IFERROR(C265/StratLoans,0)</f>
        <v>0.0916030534351145</v>
      </c>
      <c r="E265" s="26" t="n">
        <f aca="false">SUMPRODUCT(LT_incl*(ISNUMBER(LT_m2e)*(LT_m2e&gt;=$V265)*(LT_m2e&lt;$W265)),LT_units)</f>
        <v>4753</v>
      </c>
      <c r="F265" s="26" t="n">
        <f aca="false">SUMPRODUCT(LT_incl*(ISNUMBER(LT_m2e)*(LT_m2e&gt;=$V265)*(LT_m2e&lt;$W265)),LT_beds)</f>
        <v>0</v>
      </c>
      <c r="G265" s="22" t="n">
        <f aca="false">SUMPRODUCT(LT_incl*(ISNUMBER(LT_m2e)*(LT_m2e&gt;=$V265)*(LT_m2e&lt;$W265)),LT_upb)</f>
        <v>315588669.52</v>
      </c>
      <c r="H265" s="23" t="n">
        <f aca="false">IFERROR(G265/StratUPB,0)</f>
        <v>0.0849226412236677</v>
      </c>
      <c r="I265" s="22" t="n">
        <f aca="false">IFERROR(G265/C265,0)</f>
        <v>26299055.7933333</v>
      </c>
      <c r="J265" s="22" t="n">
        <f aca="false">SUMPRODUCT(LT_incl*(ISNUMBER(LT_m2e)*(LT_m2e&gt;=$V265)*(LT_m2e&lt;$W265)),LT_unfunded)</f>
        <v>6709084.9</v>
      </c>
      <c r="K265" s="22" t="n">
        <f aca="false">SUMPRODUCT(LT_incl*(ISNUMBER(LT_m2e)*(LT_m2e&gt;=$V265)*(LT_m2e&lt;$W265)),LT_navres)</f>
        <v>-2887037.13002092</v>
      </c>
      <c r="L265" s="24" t="n">
        <f aca="false">IFERROR(SUMPRODUCT(LT_incl*(ISNUMBER(LT_m2e)*(LT_m2e&gt;=$V265)*(LT_m2e&lt;$W265)),LT_upb,LT_eff)/SUMPRODUCT(LT_incl*(ISNUMBER(LT_m2e)*(LT_m2e&gt;=$V265)*(LT_m2e&lt;$W265))*ISNUMBER(LT_eff),LT_upb),0)</f>
        <v>0.0316539503907219</v>
      </c>
      <c r="M265" s="24" t="n">
        <f aca="false">IFERROR(SUMPRODUCT(LT_incl*(ISNUMBER(LT_m2e)*(LT_m2e&gt;=$V265)*(LT_m2e&lt;$W265)),LT_upb,LT_coupon)/SUMPRODUCT(LT_incl*(ISNUMBER(LT_m2e)*(LT_m2e&gt;=$V265)*(LT_m2e&lt;$W265))*ISNUMBER(LT_coupon),LT_upb),0)</f>
        <v>0.0681539503907219</v>
      </c>
      <c r="N265" s="23" t="n">
        <f aca="false">IFERROR(SUMPRODUCT(LT_incl*(ISNUMBER(LT_m2e)*(LT_m2e&gt;=$V265)*(LT_m2e&lt;$W265)),LT_upb,LT_ltv_asis)/SUMPRODUCT(LT_incl*(ISNUMBER(LT_m2e)*(LT_m2e&gt;=$V265)*(LT_m2e&lt;$W265))*ISNUMBER(LT_ltv_asis),LT_upb),0)</f>
        <v>0.770798021605754</v>
      </c>
      <c r="O265" s="23" t="n">
        <f aca="false">IFERROR(SUMPRODUCT(LT_incl*(ISNUMBER(LT_m2e)*(LT_m2e&gt;=$V265)*(LT_m2e&lt;$W265)),LT_upb,LT_ltv_stab)/SUMPRODUCT(LT_incl*(ISNUMBER(LT_m2e)*(LT_m2e&gt;=$V265)*(LT_m2e&lt;$W265))*ISNUMBER(LT_ltv_stab),LT_upb),0)</f>
        <v>0.705835506224516</v>
      </c>
      <c r="P265" s="25" t="n">
        <f aca="false">IFERROR(SUMPRODUCT(LT_incl*(ISNUMBER(LT_m2e)*(LT_m2e&gt;=$V265)*(LT_m2e&lt;$W265)),LT_upb,LT_seas)/SUMPRODUCT(LT_incl*(ISNUMBER(LT_m2e)*(LT_m2e&gt;=$V265)*(LT_m2e&lt;$W265))*ISNUMBER(LT_seas),LT_upb),0)</f>
        <v>10.388290391434</v>
      </c>
      <c r="Q265" s="25" t="n">
        <f aca="false">IFERROR(SUMPRODUCT(LT_incl*(ISNUMBER(LT_m2e)*(LT_m2e&gt;=$V265)*(LT_m2e&lt;$W265)),LT_upb,LT_rti)/SUMPRODUCT(LT_incl*(ISNUMBER(LT_m2e)*(LT_m2e&gt;=$V265)*(LT_m2e&lt;$W265))*ISNUMBER(LT_rti),LT_upb),0)</f>
        <v>27.9918506608105</v>
      </c>
      <c r="R265" s="25" t="n">
        <f aca="false">IFERROR(SUMPRODUCT(LT_incl*(ISNUMBER(LT_m2e)*(LT_m2e&gt;=$V265)*(LT_m2e&lt;$W265)),LT_upb,LT_rte)/SUMPRODUCT(LT_incl*(ISNUMBER(LT_m2e)*(LT_m2e&gt;=$V265)*(LT_m2e&lt;$W265))*ISNUMBER(LT_rte),LT_upb),0)</f>
        <v>54.7454337108612</v>
      </c>
      <c r="S265" s="23" t="n">
        <f aca="false">IFERROR(SUMPRODUCT(LT_incl*(ISNUMBER(LT_m2e)*(LT_m2e&gt;=$V265)*(LT_m2e&lt;$W265)),LT_backdebt)/G265,0)</f>
        <v>0.542985273396009</v>
      </c>
      <c r="T265" s="23" t="n">
        <f aca="false">IFERROR(SUMPRODUCT(LT_incl*(ISNUMBER(LT_m2e)*(LT_m2e&gt;=$V265)*(LT_m2e&lt;$W265)),LT_equity,LT_roe)/SUMPRODUCT(LT_incl*(ISNUMBER(LT_m2e)*(LT_m2e&gt;=$V265)*(LT_m2e&lt;$W265))*ISNUMBER(LT_roe),LT_equity),0)</f>
        <v>0.0881370851485062</v>
      </c>
      <c r="V265" s="49" t="n">
        <v>48</v>
      </c>
      <c r="W265" s="49" t="n">
        <v>1000000000000</v>
      </c>
    </row>
    <row r="266" customFormat="false" ht="15" hidden="false" customHeight="false" outlineLevel="0" collapsed="false">
      <c r="B266" s="35" t="s">
        <v>76</v>
      </c>
      <c r="C266" s="45" t="n">
        <f aca="false">SUMPRODUCT(LT_incl*(1))</f>
        <v>131</v>
      </c>
      <c r="D266" s="38" t="n">
        <f aca="false">IFERROR(C266/StratLoans,0)</f>
        <v>1</v>
      </c>
      <c r="E266" s="45" t="n">
        <f aca="false">SUMPRODUCT(LT_incl*(1),LT_units)</f>
        <v>22360</v>
      </c>
      <c r="F266" s="45" t="n">
        <f aca="false">SUMPRODUCT(LT_incl*(1),LT_beds)</f>
        <v>8726</v>
      </c>
      <c r="G266" s="37" t="n">
        <f aca="false">SUMPRODUCT(LT_incl*(1),LT_upb)</f>
        <v>3716189993.3</v>
      </c>
      <c r="H266" s="38" t="n">
        <f aca="false">IFERROR(G266/StratUPB,0)</f>
        <v>1</v>
      </c>
      <c r="I266" s="37" t="n">
        <f aca="false">IFERROR(G266/C266,0)</f>
        <v>28367862.5442748</v>
      </c>
      <c r="J266" s="37" t="n">
        <f aca="false">SUMPRODUCT(LT_incl*(1),LT_unfunded)</f>
        <v>70425498.27</v>
      </c>
      <c r="K266" s="37" t="n">
        <f aca="false">SUMPRODUCT(LT_incl*(1),LT_navres)</f>
        <v>-35761255.0310469</v>
      </c>
      <c r="L266" s="39" t="n">
        <f aca="false">IFERROR(SUMPRODUCT(LT_incl*(1),LT_upb,LT_eff)/SUMPRODUCT(LT_incl*(1)*ISNUMBER(LT_eff),LT_upb),0)</f>
        <v>0.0384104790702225</v>
      </c>
      <c r="M266" s="39" t="n">
        <f aca="false">IFERROR(SUMPRODUCT(LT_incl*(1),LT_upb,LT_coupon)/SUMPRODUCT(LT_incl*(1)*ISNUMBER(LT_coupon),LT_upb),0)</f>
        <v>0.0749104790702225</v>
      </c>
      <c r="N266" s="38" t="n">
        <f aca="false">IFERROR(SUMPRODUCT(LT_incl*(1),LT_upb,LT_ltv_asis)/SUMPRODUCT(LT_incl*(1)*ISNUMBER(LT_ltv_asis),LT_upb),0)</f>
        <v>0.685976245136614</v>
      </c>
      <c r="O266" s="38" t="n">
        <f aca="false">IFERROR(SUMPRODUCT(LT_incl*(1),LT_upb,LT_ltv_stab)/SUMPRODUCT(LT_incl*(1)*ISNUMBER(LT_ltv_stab),LT_upb),0)</f>
        <v>0.658970555756018</v>
      </c>
      <c r="P266" s="40" t="n">
        <f aca="false">IFERROR(SUMPRODUCT(LT_incl*(1),LT_upb,LT_seas)/SUMPRODUCT(LT_incl*(1)*ISNUMBER(LT_seas),LT_upb),0)</f>
        <v>26.0197171750702</v>
      </c>
      <c r="Q266" s="40" t="n">
        <f aca="false">IFERROR(SUMPRODUCT(LT_incl*(1),LT_upb,LT_rti)/SUMPRODUCT(LT_incl*(1)*ISNUMBER(LT_rti),LT_upb),0)</f>
        <v>10.7164396387939</v>
      </c>
      <c r="R266" s="40" t="n">
        <f aca="false">IFERROR(SUMPRODUCT(LT_incl*(1),LT_upb,LT_rte)/SUMPRODUCT(LT_incl*(1)*ISNUMBER(LT_rte),LT_upb),0)</f>
        <v>23.051497716819</v>
      </c>
      <c r="S266" s="38" t="n">
        <f aca="false">IFERROR(SUMPRODUCT(LT_incl*(1),LT_backdebt)/G266,0)</f>
        <v>0.628005362553862</v>
      </c>
      <c r="T266" s="38" t="n">
        <f aca="false">IFERROR(SUMPRODUCT(LT_incl*(1),LT_equity,LT_roe)/SUMPRODUCT(LT_incl*(1)*ISNUMBER(LT_roe),LT_equity),0)</f>
        <v>0.107961987212177</v>
      </c>
    </row>
    <row r="268" customFormat="false" ht="15" hidden="false" customHeight="false" outlineLevel="0" collapsed="false">
      <c r="B268" s="3" t="s">
        <v>215</v>
      </c>
      <c r="C268" s="4"/>
      <c r="D268" s="4"/>
      <c r="E268" s="4"/>
      <c r="F268" s="4"/>
      <c r="G268" s="4"/>
      <c r="H268" s="4"/>
      <c r="I268" s="4"/>
      <c r="J268" s="4"/>
      <c r="K268" s="4"/>
      <c r="L268" s="4"/>
      <c r="M268" s="4"/>
      <c r="N268" s="4"/>
      <c r="O268" s="4"/>
      <c r="P268" s="4"/>
      <c r="Q268" s="4"/>
      <c r="R268" s="4"/>
      <c r="S268" s="4"/>
      <c r="T268" s="4"/>
    </row>
    <row r="269" customFormat="false" ht="39.75" hidden="false" customHeight="true" outlineLevel="0" collapsed="false">
      <c r="B269" s="16" t="s">
        <v>147</v>
      </c>
      <c r="C269" s="17" t="s">
        <v>13</v>
      </c>
      <c r="D269" s="17" t="s">
        <v>64</v>
      </c>
      <c r="E269" s="17" t="s">
        <v>65</v>
      </c>
      <c r="F269" s="17" t="s">
        <v>66</v>
      </c>
      <c r="G269" s="17" t="s">
        <v>16</v>
      </c>
      <c r="H269" s="17" t="s">
        <v>46</v>
      </c>
      <c r="I269" s="17" t="s">
        <v>19</v>
      </c>
      <c r="J269" s="17" t="s">
        <v>28</v>
      </c>
      <c r="K269" s="17" t="s">
        <v>31</v>
      </c>
      <c r="L269" s="17" t="s">
        <v>7</v>
      </c>
      <c r="M269" s="17" t="s">
        <v>11</v>
      </c>
      <c r="N269" s="17" t="s">
        <v>23</v>
      </c>
      <c r="O269" s="17" t="s">
        <v>67</v>
      </c>
      <c r="P269" s="17" t="s">
        <v>5</v>
      </c>
      <c r="Q269" s="17" t="s">
        <v>68</v>
      </c>
      <c r="R269" s="17" t="s">
        <v>69</v>
      </c>
      <c r="S269" s="17" t="s">
        <v>56</v>
      </c>
      <c r="T269" s="17" t="s">
        <v>70</v>
      </c>
      <c r="V269" s="17" t="s">
        <v>148</v>
      </c>
      <c r="W269" s="17" t="s">
        <v>149</v>
      </c>
    </row>
    <row r="270" customFormat="false" ht="15" hidden="false" customHeight="false" outlineLevel="0" collapsed="false">
      <c r="B270" s="18" t="s">
        <v>216</v>
      </c>
      <c r="C270" s="26" t="n">
        <f aca="false">SUMPRODUCT(LT_incl*(ISNUMBER(LT_iyr)*(LT_iyr&gt;=$V270)*(LT_iyr&lt;$W270)))</f>
        <v>37</v>
      </c>
      <c r="D270" s="23" t="n">
        <f aca="false">IFERROR(C270/StratLoans,0)</f>
        <v>0.282442748091603</v>
      </c>
      <c r="E270" s="26" t="n">
        <f aca="false">SUMPRODUCT(LT_incl*(ISNUMBER(LT_iyr)*(LT_iyr&gt;=$V270)*(LT_iyr&lt;$W270)),LT_units)</f>
        <v>7600</v>
      </c>
      <c r="F270" s="26" t="n">
        <f aca="false">SUMPRODUCT(LT_incl*(ISNUMBER(LT_iyr)*(LT_iyr&gt;=$V270)*(LT_iyr&lt;$W270)),LT_beds)</f>
        <v>1673</v>
      </c>
      <c r="G270" s="22" t="n">
        <f aca="false">SUMPRODUCT(LT_incl*(ISNUMBER(LT_iyr)*(LT_iyr&gt;=$V270)*(LT_iyr&lt;$W270)),LT_upb)</f>
        <v>1198183501.74</v>
      </c>
      <c r="H270" s="23" t="n">
        <f aca="false">IFERROR(G270/StratUPB,0)</f>
        <v>0.322422562866869</v>
      </c>
      <c r="I270" s="22" t="n">
        <f aca="false">IFERROR(G270/C270,0)</f>
        <v>32383337.8848649</v>
      </c>
      <c r="J270" s="22" t="n">
        <f aca="false">SUMPRODUCT(LT_incl*(ISNUMBER(LT_iyr)*(LT_iyr&gt;=$V270)*(LT_iyr&lt;$W270)),LT_unfunded)</f>
        <v>7826685.11</v>
      </c>
      <c r="K270" s="22" t="n">
        <f aca="false">SUMPRODUCT(LT_incl*(ISNUMBER(LT_iyr)*(LT_iyr&gt;=$V270)*(LT_iyr&lt;$W270)),LT_navres)</f>
        <v>-32874217.901026</v>
      </c>
      <c r="L270" s="24" t="n">
        <f aca="false">IFERROR(SUMPRODUCT(LT_incl*(ISNUMBER(LT_iyr)*(LT_iyr&gt;=$V270)*(LT_iyr&lt;$W270)),LT_upb,LT_eff)/SUMPRODUCT(LT_incl*(ISNUMBER(LT_iyr)*(LT_iyr&gt;=$V270)*(LT_iyr&lt;$W270))*ISNUMBER(LT_eff),LT_upb),0)</f>
        <v>0.0388361557976054</v>
      </c>
      <c r="M270" s="24" t="n">
        <f aca="false">IFERROR(SUMPRODUCT(LT_incl*(ISNUMBER(LT_iyr)*(LT_iyr&gt;=$V270)*(LT_iyr&lt;$W270)),LT_upb,LT_coupon)/SUMPRODUCT(LT_incl*(ISNUMBER(LT_iyr)*(LT_iyr&gt;=$V270)*(LT_iyr&lt;$W270))*ISNUMBER(LT_coupon),LT_upb),0)</f>
        <v>0.0753361557976054</v>
      </c>
      <c r="N270" s="23" t="n">
        <f aca="false">IFERROR(SUMPRODUCT(LT_incl*(ISNUMBER(LT_iyr)*(LT_iyr&gt;=$V270)*(LT_iyr&lt;$W270)),LT_upb,LT_ltv_asis)/SUMPRODUCT(LT_incl*(ISNUMBER(LT_iyr)*(LT_iyr&gt;=$V270)*(LT_iyr&lt;$W270))*ISNUMBER(LT_ltv_asis),LT_upb),0)</f>
        <v>0.719067058141429</v>
      </c>
      <c r="O270" s="23" t="n">
        <f aca="false">IFERROR(SUMPRODUCT(LT_incl*(ISNUMBER(LT_iyr)*(LT_iyr&gt;=$V270)*(LT_iyr&lt;$W270)),LT_upb,LT_ltv_stab)/SUMPRODUCT(LT_incl*(ISNUMBER(LT_iyr)*(LT_iyr&gt;=$V270)*(LT_iyr&lt;$W270))*ISNUMBER(LT_ltv_stab),LT_upb),0)</f>
        <v>0.669922798054752</v>
      </c>
      <c r="P270" s="25" t="n">
        <f aca="false">IFERROR(SUMPRODUCT(LT_incl*(ISNUMBER(LT_iyr)*(LT_iyr&gt;=$V270)*(LT_iyr&lt;$W270)),LT_upb,LT_seas)/SUMPRODUCT(LT_incl*(ISNUMBER(LT_iyr)*(LT_iyr&gt;=$V270)*(LT_iyr&lt;$W270))*ISNUMBER(LT_seas),LT_upb),0)</f>
        <v>53.0905346607318</v>
      </c>
      <c r="Q270" s="25" t="n">
        <f aca="false">IFERROR(SUMPRODUCT(LT_incl*(ISNUMBER(LT_iyr)*(LT_iyr&gt;=$V270)*(LT_iyr&lt;$W270)),LT_upb,LT_rti)/SUMPRODUCT(LT_incl*(ISNUMBER(LT_iyr)*(LT_iyr&gt;=$V270)*(LT_iyr&lt;$W270))*ISNUMBER(LT_rti),LT_upb),0)</f>
        <v>0</v>
      </c>
      <c r="R270" s="25" t="n">
        <f aca="false">IFERROR(SUMPRODUCT(LT_incl*(ISNUMBER(LT_iyr)*(LT_iyr&gt;=$V270)*(LT_iyr&lt;$W270)),LT_upb,LT_rte)/SUMPRODUCT(LT_incl*(ISNUMBER(LT_iyr)*(LT_iyr&gt;=$V270)*(LT_iyr&lt;$W270))*ISNUMBER(LT_rte),LT_upb),0)</f>
        <v>3.9540583804398</v>
      </c>
      <c r="S270" s="23" t="n">
        <f aca="false">IFERROR(SUMPRODUCT(LT_incl*(ISNUMBER(LT_iyr)*(LT_iyr&gt;=$V270)*(LT_iyr&lt;$W270)),LT_backdebt)/G270,0)</f>
        <v>0.518503002976683</v>
      </c>
      <c r="T270" s="23" t="n">
        <f aca="false">IFERROR(SUMPRODUCT(LT_incl*(ISNUMBER(LT_iyr)*(LT_iyr&gt;=$V270)*(LT_iyr&lt;$W270)),LT_equity,LT_roe)/SUMPRODUCT(LT_incl*(ISNUMBER(LT_iyr)*(LT_iyr&gt;=$V270)*(LT_iyr&lt;$W270))*ISNUMBER(LT_roe),LT_equity),0)</f>
        <v>0.09702572684786</v>
      </c>
      <c r="V270" s="50" t="n">
        <v>-1000000000000</v>
      </c>
      <c r="W270" s="50" t="n">
        <v>2026</v>
      </c>
    </row>
    <row r="271" customFormat="false" ht="15" hidden="false" customHeight="false" outlineLevel="0" collapsed="false">
      <c r="B271" s="27" t="s">
        <v>217</v>
      </c>
      <c r="C271" s="44" t="n">
        <f aca="false">SUMPRODUCT(LT_incl*(ISNUMBER(LT_iyr)*(LT_iyr&gt;=$V271)*(LT_iyr&lt;$W271)))</f>
        <v>18</v>
      </c>
      <c r="D271" s="32" t="n">
        <f aca="false">IFERROR(C271/StratLoans,0)</f>
        <v>0.137404580152672</v>
      </c>
      <c r="E271" s="44" t="n">
        <f aca="false">SUMPRODUCT(LT_incl*(ISNUMBER(LT_iyr)*(LT_iyr&gt;=$V271)*(LT_iyr&lt;$W271)),LT_units)</f>
        <v>2566</v>
      </c>
      <c r="F271" s="44" t="n">
        <f aca="false">SUMPRODUCT(LT_incl*(ISNUMBER(LT_iyr)*(LT_iyr&gt;=$V271)*(LT_iyr&lt;$W271)),LT_beds)</f>
        <v>774</v>
      </c>
      <c r="G271" s="31" t="n">
        <f aca="false">SUMPRODUCT(LT_incl*(ISNUMBER(LT_iyr)*(LT_iyr&gt;=$V271)*(LT_iyr&lt;$W271)),LT_upb)</f>
        <v>458488141.21</v>
      </c>
      <c r="H271" s="32" t="n">
        <f aca="false">IFERROR(G271/StratUPB,0)</f>
        <v>0.123375861308657</v>
      </c>
      <c r="I271" s="31" t="n">
        <f aca="false">IFERROR(G271/C271,0)</f>
        <v>25471563.4005556</v>
      </c>
      <c r="J271" s="31" t="n">
        <f aca="false">SUMPRODUCT(LT_incl*(ISNUMBER(LT_iyr)*(LT_iyr&gt;=$V271)*(LT_iyr&lt;$W271)),LT_unfunded)</f>
        <v>30572071.09</v>
      </c>
      <c r="K271" s="31" t="n">
        <f aca="false">SUMPRODUCT(LT_incl*(ISNUMBER(LT_iyr)*(LT_iyr&gt;=$V271)*(LT_iyr&lt;$W271)),LT_navres)</f>
        <v>0</v>
      </c>
      <c r="L271" s="33" t="n">
        <f aca="false">IFERROR(SUMPRODUCT(LT_incl*(ISNUMBER(LT_iyr)*(LT_iyr&gt;=$V271)*(LT_iyr&lt;$W271)),LT_upb,LT_eff)/SUMPRODUCT(LT_incl*(ISNUMBER(LT_iyr)*(LT_iyr&gt;=$V271)*(LT_iyr&lt;$W271))*ISNUMBER(LT_eff),LT_upb),0)</f>
        <v>0.037281891221764</v>
      </c>
      <c r="M271" s="33" t="n">
        <f aca="false">IFERROR(SUMPRODUCT(LT_incl*(ISNUMBER(LT_iyr)*(LT_iyr&gt;=$V271)*(LT_iyr&lt;$W271)),LT_upb,LT_coupon)/SUMPRODUCT(LT_incl*(ISNUMBER(LT_iyr)*(LT_iyr&gt;=$V271)*(LT_iyr&lt;$W271))*ISNUMBER(LT_coupon),LT_upb),0)</f>
        <v>0.073781891221764</v>
      </c>
      <c r="N271" s="32" t="n">
        <f aca="false">IFERROR(SUMPRODUCT(LT_incl*(ISNUMBER(LT_iyr)*(LT_iyr&gt;=$V271)*(LT_iyr&lt;$W271)),LT_upb,LT_ltv_asis)/SUMPRODUCT(LT_incl*(ISNUMBER(LT_iyr)*(LT_iyr&gt;=$V271)*(LT_iyr&lt;$W271))*ISNUMBER(LT_ltv_asis),LT_upb),0)</f>
        <v>0.635748046959574</v>
      </c>
      <c r="O271" s="32" t="n">
        <f aca="false">IFERROR(SUMPRODUCT(LT_incl*(ISNUMBER(LT_iyr)*(LT_iyr&gt;=$V271)*(LT_iyr&lt;$W271)),LT_upb,LT_ltv_stab)/SUMPRODUCT(LT_incl*(ISNUMBER(LT_iyr)*(LT_iyr&gt;=$V271)*(LT_iyr&lt;$W271))*ISNUMBER(LT_ltv_stab),LT_upb),0)</f>
        <v>0.645892732803146</v>
      </c>
      <c r="P271" s="34" t="n">
        <f aca="false">IFERROR(SUMPRODUCT(LT_incl*(ISNUMBER(LT_iyr)*(LT_iyr&gt;=$V271)*(LT_iyr&lt;$W271)),LT_upb,LT_seas)/SUMPRODUCT(LT_incl*(ISNUMBER(LT_iyr)*(LT_iyr&gt;=$V271)*(LT_iyr&lt;$W271))*ISNUMBER(LT_seas),LT_upb),0)</f>
        <v>24.0619109980755</v>
      </c>
      <c r="Q271" s="34" t="n">
        <f aca="false">IFERROR(SUMPRODUCT(LT_incl*(ISNUMBER(LT_iyr)*(LT_iyr&gt;=$V271)*(LT_iyr&lt;$W271)),LT_upb,LT_rti)/SUMPRODUCT(LT_incl*(ISNUMBER(LT_iyr)*(LT_iyr&gt;=$V271)*(LT_iyr&lt;$W271))*ISNUMBER(LT_rti),LT_upb),0)</f>
        <v>1.49192160758762</v>
      </c>
      <c r="R271" s="34" t="n">
        <f aca="false">IFERROR(SUMPRODUCT(LT_incl*(ISNUMBER(LT_iyr)*(LT_iyr&gt;=$V271)*(LT_iyr&lt;$W271)),LT_upb,LT_rte)/SUMPRODUCT(LT_incl*(ISNUMBER(LT_iyr)*(LT_iyr&gt;=$V271)*(LT_iyr&lt;$W271))*ISNUMBER(LT_rte),LT_upb),0)</f>
        <v>23.9197138072359</v>
      </c>
      <c r="S271" s="32" t="n">
        <f aca="false">IFERROR(SUMPRODUCT(LT_incl*(ISNUMBER(LT_iyr)*(LT_iyr&gt;=$V271)*(LT_iyr&lt;$W271)),LT_backdebt)/G271,0)</f>
        <v>0.727058692578053</v>
      </c>
      <c r="T271" s="32" t="n">
        <f aca="false">IFERROR(SUMPRODUCT(LT_incl*(ISNUMBER(LT_iyr)*(LT_iyr&gt;=$V271)*(LT_iyr&lt;$W271)),LT_equity,LT_roe)/SUMPRODUCT(LT_incl*(ISNUMBER(LT_iyr)*(LT_iyr&gt;=$V271)*(LT_iyr&lt;$W271))*ISNUMBER(LT_roe),LT_equity),0)</f>
        <v>0.123544668399986</v>
      </c>
      <c r="V271" s="50" t="n">
        <v>2026</v>
      </c>
      <c r="W271" s="50" t="n">
        <v>2027</v>
      </c>
    </row>
    <row r="272" customFormat="false" ht="15" hidden="false" customHeight="false" outlineLevel="0" collapsed="false">
      <c r="B272" s="18" t="s">
        <v>218</v>
      </c>
      <c r="C272" s="26" t="n">
        <f aca="false">SUMPRODUCT(LT_incl*(ISNUMBER(LT_iyr)*(LT_iyr&gt;=$V272)*(LT_iyr&lt;$W272)))</f>
        <v>31</v>
      </c>
      <c r="D272" s="23" t="n">
        <f aca="false">IFERROR(C272/StratLoans,0)</f>
        <v>0.236641221374046</v>
      </c>
      <c r="E272" s="26" t="n">
        <f aca="false">SUMPRODUCT(LT_incl*(ISNUMBER(LT_iyr)*(LT_iyr&gt;=$V272)*(LT_iyr&lt;$W272)),LT_units)</f>
        <v>4528</v>
      </c>
      <c r="F272" s="26" t="n">
        <f aca="false">SUMPRODUCT(LT_incl*(ISNUMBER(LT_iyr)*(LT_iyr&gt;=$V272)*(LT_iyr&lt;$W272)),LT_beds)</f>
        <v>3863</v>
      </c>
      <c r="G272" s="22" t="n">
        <f aca="false">SUMPRODUCT(LT_incl*(ISNUMBER(LT_iyr)*(LT_iyr&gt;=$V272)*(LT_iyr&lt;$W272)),LT_upb)</f>
        <v>1039294076.28</v>
      </c>
      <c r="H272" s="23" t="n">
        <f aca="false">IFERROR(G272/StratUPB,0)</f>
        <v>0.279666561223663</v>
      </c>
      <c r="I272" s="22" t="n">
        <f aca="false">IFERROR(G272/C272,0)</f>
        <v>33525615.363871</v>
      </c>
      <c r="J272" s="22" t="n">
        <f aca="false">SUMPRODUCT(LT_incl*(ISNUMBER(LT_iyr)*(LT_iyr&gt;=$V272)*(LT_iyr&lt;$W272)),LT_unfunded)</f>
        <v>16947914.88</v>
      </c>
      <c r="K272" s="22" t="n">
        <f aca="false">SUMPRODUCT(LT_incl*(ISNUMBER(LT_iyr)*(LT_iyr&gt;=$V272)*(LT_iyr&lt;$W272)),LT_navres)</f>
        <v>0</v>
      </c>
      <c r="L272" s="24" t="n">
        <f aca="false">IFERROR(SUMPRODUCT(LT_incl*(ISNUMBER(LT_iyr)*(LT_iyr&gt;=$V272)*(LT_iyr&lt;$W272)),LT_upb,LT_eff)/SUMPRODUCT(LT_incl*(ISNUMBER(LT_iyr)*(LT_iyr&gt;=$V272)*(LT_iyr&lt;$W272))*ISNUMBER(LT_eff),LT_upb),0)</f>
        <v>0.0398064992135577</v>
      </c>
      <c r="M272" s="24" t="n">
        <f aca="false">IFERROR(SUMPRODUCT(LT_incl*(ISNUMBER(LT_iyr)*(LT_iyr&gt;=$V272)*(LT_iyr&lt;$W272)),LT_upb,LT_coupon)/SUMPRODUCT(LT_incl*(ISNUMBER(LT_iyr)*(LT_iyr&gt;=$V272)*(LT_iyr&lt;$W272))*ISNUMBER(LT_coupon),LT_upb),0)</f>
        <v>0.0763064992135577</v>
      </c>
      <c r="N272" s="23" t="n">
        <f aca="false">IFERROR(SUMPRODUCT(LT_incl*(ISNUMBER(LT_iyr)*(LT_iyr&gt;=$V272)*(LT_iyr&lt;$W272)),LT_upb,LT_ltv_asis)/SUMPRODUCT(LT_incl*(ISNUMBER(LT_iyr)*(LT_iyr&gt;=$V272)*(LT_iyr&lt;$W272))*ISNUMBER(LT_ltv_asis),LT_upb),0)</f>
        <v>0.65644600153047</v>
      </c>
      <c r="O272" s="23" t="n">
        <f aca="false">IFERROR(SUMPRODUCT(LT_incl*(ISNUMBER(LT_iyr)*(LT_iyr&gt;=$V272)*(LT_iyr&lt;$W272)),LT_upb,LT_ltv_stab)/SUMPRODUCT(LT_incl*(ISNUMBER(LT_iyr)*(LT_iyr&gt;=$V272)*(LT_iyr&lt;$W272))*ISNUMBER(LT_ltv_stab),LT_upb),0)</f>
        <v>0.641454244653886</v>
      </c>
      <c r="P272" s="25" t="n">
        <f aca="false">IFERROR(SUMPRODUCT(LT_incl*(ISNUMBER(LT_iyr)*(LT_iyr&gt;=$V272)*(LT_iyr&lt;$W272)),LT_upb,LT_seas)/SUMPRODUCT(LT_incl*(ISNUMBER(LT_iyr)*(LT_iyr&gt;=$V272)*(LT_iyr&lt;$W272))*ISNUMBER(LT_seas),LT_upb),0)</f>
        <v>14.5079839059052</v>
      </c>
      <c r="Q272" s="25" t="n">
        <f aca="false">IFERROR(SUMPRODUCT(LT_incl*(ISNUMBER(LT_iyr)*(LT_iyr&gt;=$V272)*(LT_iyr&lt;$W272)),LT_upb,LT_rti)/SUMPRODUCT(LT_incl*(ISNUMBER(LT_iyr)*(LT_iyr&gt;=$V272)*(LT_iyr&lt;$W272))*ISNUMBER(LT_rti),LT_upb),0)</f>
        <v>11.7689916814626</v>
      </c>
      <c r="R272" s="25" t="n">
        <f aca="false">IFERROR(SUMPRODUCT(LT_incl*(ISNUMBER(LT_iyr)*(LT_iyr&gt;=$V272)*(LT_iyr&lt;$W272)),LT_upb,LT_rte)/SUMPRODUCT(LT_incl*(ISNUMBER(LT_iyr)*(LT_iyr&gt;=$V272)*(LT_iyr&lt;$W272))*ISNUMBER(LT_rte),LT_upb),0)</f>
        <v>28.1263025705173</v>
      </c>
      <c r="S272" s="23" t="n">
        <f aca="false">IFERROR(SUMPRODUCT(LT_incl*(ISNUMBER(LT_iyr)*(LT_iyr&gt;=$V272)*(LT_iyr&lt;$W272)),LT_backdebt)/G272,0)</f>
        <v>0.679807166208862</v>
      </c>
      <c r="T272" s="23" t="n">
        <f aca="false">IFERROR(SUMPRODUCT(LT_incl*(ISNUMBER(LT_iyr)*(LT_iyr&gt;=$V272)*(LT_iyr&lt;$W272)),LT_equity,LT_roe)/SUMPRODUCT(LT_incl*(ISNUMBER(LT_iyr)*(LT_iyr&gt;=$V272)*(LT_iyr&lt;$W272))*ISNUMBER(LT_roe),LT_equity),0)</f>
        <v>0.122145810191115</v>
      </c>
      <c r="V272" s="50" t="n">
        <v>2027</v>
      </c>
      <c r="W272" s="50" t="n">
        <v>2028</v>
      </c>
    </row>
    <row r="273" customFormat="false" ht="15" hidden="false" customHeight="false" outlineLevel="0" collapsed="false">
      <c r="B273" s="27" t="s">
        <v>219</v>
      </c>
      <c r="C273" s="44" t="n">
        <f aca="false">SUMPRODUCT(LT_incl*(ISNUMBER(LT_iyr)*(LT_iyr&gt;=$V273)*(LT_iyr&lt;$W273)))</f>
        <v>32</v>
      </c>
      <c r="D273" s="32" t="n">
        <f aca="false">IFERROR(C273/StratLoans,0)</f>
        <v>0.244274809160305</v>
      </c>
      <c r="E273" s="44" t="n">
        <f aca="false">SUMPRODUCT(LT_incl*(ISNUMBER(LT_iyr)*(LT_iyr&gt;=$V273)*(LT_iyr&lt;$W273)),LT_units)</f>
        <v>3310</v>
      </c>
      <c r="F273" s="44" t="n">
        <f aca="false">SUMPRODUCT(LT_incl*(ISNUMBER(LT_iyr)*(LT_iyr&gt;=$V273)*(LT_iyr&lt;$W273)),LT_beds)</f>
        <v>2416</v>
      </c>
      <c r="G273" s="31" t="n">
        <f aca="false">SUMPRODUCT(LT_incl*(ISNUMBER(LT_iyr)*(LT_iyr&gt;=$V273)*(LT_iyr&lt;$W273)),LT_upb)</f>
        <v>752733703.1</v>
      </c>
      <c r="H273" s="32" t="n">
        <f aca="false">IFERROR(G273/StratUPB,0)</f>
        <v>0.202555225770781</v>
      </c>
      <c r="I273" s="31" t="n">
        <f aca="false">IFERROR(G273/C273,0)</f>
        <v>23522928.221875</v>
      </c>
      <c r="J273" s="31" t="n">
        <f aca="false">SUMPRODUCT(LT_incl*(ISNUMBER(LT_iyr)*(LT_iyr&gt;=$V273)*(LT_iyr&lt;$W273)),LT_unfunded)</f>
        <v>11978827.19</v>
      </c>
      <c r="K273" s="31" t="n">
        <f aca="false">SUMPRODUCT(LT_incl*(ISNUMBER(LT_iyr)*(LT_iyr&gt;=$V273)*(LT_iyr&lt;$W273)),LT_navres)</f>
        <v>-2529654.06269062</v>
      </c>
      <c r="L273" s="33" t="n">
        <f aca="false">IFERROR(SUMPRODUCT(LT_incl*(ISNUMBER(LT_iyr)*(LT_iyr&gt;=$V273)*(LT_iyr&lt;$W273)),LT_upb,LT_eff)/SUMPRODUCT(LT_incl*(ISNUMBER(LT_iyr)*(LT_iyr&gt;=$V273)*(LT_iyr&lt;$W273))*ISNUMBER(LT_eff),LT_upb),0)</f>
        <v>0.0381248988581059</v>
      </c>
      <c r="M273" s="33" t="n">
        <f aca="false">IFERROR(SUMPRODUCT(LT_incl*(ISNUMBER(LT_iyr)*(LT_iyr&gt;=$V273)*(LT_iyr&lt;$W273)),LT_upb,LT_coupon)/SUMPRODUCT(LT_incl*(ISNUMBER(LT_iyr)*(LT_iyr&gt;=$V273)*(LT_iyr&lt;$W273))*ISNUMBER(LT_coupon),LT_upb),0)</f>
        <v>0.0746248988581059</v>
      </c>
      <c r="N273" s="32" t="n">
        <f aca="false">IFERROR(SUMPRODUCT(LT_incl*(ISNUMBER(LT_iyr)*(LT_iyr&gt;=$V273)*(LT_iyr&lt;$W273)),LT_upb,LT_ltv_asis)/SUMPRODUCT(LT_incl*(ISNUMBER(LT_iyr)*(LT_iyr&gt;=$V273)*(LT_iyr&lt;$W273))*ISNUMBER(LT_ltv_asis),LT_upb),0)</f>
        <v>0.683709482485815</v>
      </c>
      <c r="O273" s="32" t="n">
        <f aca="false">IFERROR(SUMPRODUCT(LT_incl*(ISNUMBER(LT_iyr)*(LT_iyr&gt;=$V273)*(LT_iyr&lt;$W273)),LT_upb,LT_ltv_stab)/SUMPRODUCT(LT_incl*(ISNUMBER(LT_iyr)*(LT_iyr&gt;=$V273)*(LT_iyr&lt;$W273))*ISNUMBER(LT_ltv_stab),LT_upb),0)</f>
        <v>0.660369154058686</v>
      </c>
      <c r="P273" s="34" t="n">
        <f aca="false">IFERROR(SUMPRODUCT(LT_incl*(ISNUMBER(LT_iyr)*(LT_iyr&gt;=$V273)*(LT_iyr&lt;$W273)),LT_upb,LT_seas)/SUMPRODUCT(LT_incl*(ISNUMBER(LT_iyr)*(LT_iyr&gt;=$V273)*(LT_iyr&lt;$W273))*ISNUMBER(LT_seas),LT_upb),0)</f>
        <v>6.44719834376114</v>
      </c>
      <c r="Q273" s="34" t="n">
        <f aca="false">IFERROR(SUMPRODUCT(LT_incl*(ISNUMBER(LT_iyr)*(LT_iyr&gt;=$V273)*(LT_iyr&lt;$W273)),LT_upb,LT_rti)/SUMPRODUCT(LT_incl*(ISNUMBER(LT_iyr)*(LT_iyr&gt;=$V273)*(LT_iyr&lt;$W273))*ISNUMBER(LT_rti),LT_upb),0)</f>
        <v>22.7797167124471</v>
      </c>
      <c r="R273" s="34" t="n">
        <f aca="false">IFERROR(SUMPRODUCT(LT_incl*(ISNUMBER(LT_iyr)*(LT_iyr&gt;=$V273)*(LT_iyr&lt;$W273)),LT_upb,LT_rte)/SUMPRODUCT(LT_incl*(ISNUMBER(LT_iyr)*(LT_iyr&gt;=$V273)*(LT_iyr&lt;$W273))*ISNUMBER(LT_rte),LT_upb),0)</f>
        <v>36.7032060850813</v>
      </c>
      <c r="S273" s="32" t="n">
        <f aca="false">IFERROR(SUMPRODUCT(LT_incl*(ISNUMBER(LT_iyr)*(LT_iyr&gt;=$V273)*(LT_iyr&lt;$W273)),LT_backdebt)/G273,0)</f>
        <v>0.636955870254355</v>
      </c>
      <c r="T273" s="32" t="n">
        <f aca="false">IFERROR(SUMPRODUCT(LT_incl*(ISNUMBER(LT_iyr)*(LT_iyr&gt;=$V273)*(LT_iyr&lt;$W273)),LT_equity,LT_roe)/SUMPRODUCT(LT_incl*(ISNUMBER(LT_iyr)*(LT_iyr&gt;=$V273)*(LT_iyr&lt;$W273))*ISNUMBER(LT_roe),LT_equity),0)</f>
        <v>0.104488806683023</v>
      </c>
      <c r="V273" s="50" t="n">
        <v>2028</v>
      </c>
      <c r="W273" s="50" t="n">
        <v>2029</v>
      </c>
    </row>
    <row r="274" customFormat="false" ht="15" hidden="false" customHeight="false" outlineLevel="0" collapsed="false">
      <c r="B274" s="18" t="s">
        <v>220</v>
      </c>
      <c r="C274" s="26" t="n">
        <f aca="false">SUMPRODUCT(LT_incl*(ISNUMBER(LT_iyr)*(LT_iyr&gt;=$V274)*(LT_iyr&lt;$W274)))</f>
        <v>6</v>
      </c>
      <c r="D274" s="23" t="n">
        <f aca="false">IFERROR(C274/StratLoans,0)</f>
        <v>0.0458015267175573</v>
      </c>
      <c r="E274" s="26" t="n">
        <f aca="false">SUMPRODUCT(LT_incl*(ISNUMBER(LT_iyr)*(LT_iyr&gt;=$V274)*(LT_iyr&lt;$W274)),LT_units)</f>
        <v>1252</v>
      </c>
      <c r="F274" s="26" t="n">
        <f aca="false">SUMPRODUCT(LT_incl*(ISNUMBER(LT_iyr)*(LT_iyr&gt;=$V274)*(LT_iyr&lt;$W274)),LT_beds)</f>
        <v>0</v>
      </c>
      <c r="G274" s="22" t="n">
        <f aca="false">SUMPRODUCT(LT_incl*(ISNUMBER(LT_iyr)*(LT_iyr&gt;=$V274)*(LT_iyr&lt;$W274)),LT_upb)</f>
        <v>241603570.97</v>
      </c>
      <c r="H274" s="23" t="n">
        <f aca="false">IFERROR(G274/StratUPB,0)</f>
        <v>0.0650137833118308</v>
      </c>
      <c r="I274" s="22" t="n">
        <f aca="false">IFERROR(G274/C274,0)</f>
        <v>40267261.8283333</v>
      </c>
      <c r="J274" s="22" t="n">
        <f aca="false">SUMPRODUCT(LT_incl*(ISNUMBER(LT_iyr)*(LT_iyr&gt;=$V274)*(LT_iyr&lt;$W274)),LT_unfunded)</f>
        <v>3100000</v>
      </c>
      <c r="K274" s="22" t="n">
        <f aca="false">SUMPRODUCT(LT_incl*(ISNUMBER(LT_iyr)*(LT_iyr&gt;=$V274)*(LT_iyr&lt;$W274)),LT_navres)</f>
        <v>0</v>
      </c>
      <c r="L274" s="24" t="n">
        <f aca="false">IFERROR(SUMPRODUCT(LT_incl*(ISNUMBER(LT_iyr)*(LT_iyr&gt;=$V274)*(LT_iyr&lt;$W274)),LT_upb,LT_eff)/SUMPRODUCT(LT_incl*(ISNUMBER(LT_iyr)*(LT_iyr&gt;=$V274)*(LT_iyr&lt;$W274))*ISNUMBER(LT_eff),LT_upb),0)</f>
        <v>0.0283758147632937</v>
      </c>
      <c r="M274" s="24" t="n">
        <f aca="false">IFERROR(SUMPRODUCT(LT_incl*(ISNUMBER(LT_iyr)*(LT_iyr&gt;=$V274)*(LT_iyr&lt;$W274)),LT_upb,LT_coupon)/SUMPRODUCT(LT_incl*(ISNUMBER(LT_iyr)*(LT_iyr&gt;=$V274)*(LT_iyr&lt;$W274))*ISNUMBER(LT_coupon),LT_upb),0)</f>
        <v>0.0648758147632937</v>
      </c>
      <c r="N274" s="23" t="n">
        <f aca="false">IFERROR(SUMPRODUCT(LT_incl*(ISNUMBER(LT_iyr)*(LT_iyr&gt;=$V274)*(LT_iyr&lt;$W274)),LT_upb,LT_ltv_asis)/SUMPRODUCT(LT_incl*(ISNUMBER(LT_iyr)*(LT_iyr&gt;=$V274)*(LT_iyr&lt;$W274))*ISNUMBER(LT_ltv_asis),LT_upb),0)</f>
        <v>0.739454304531933</v>
      </c>
      <c r="O274" s="23" t="n">
        <f aca="false">IFERROR(SUMPRODUCT(LT_incl*(ISNUMBER(LT_iyr)*(LT_iyr&gt;=$V274)*(LT_iyr&lt;$W274)),LT_upb,LT_ltv_stab)/SUMPRODUCT(LT_incl*(ISNUMBER(LT_iyr)*(LT_iyr&gt;=$V274)*(LT_iyr&lt;$W274))*ISNUMBER(LT_ltv_stab),LT_upb),0)</f>
        <v>0.687511398261062</v>
      </c>
      <c r="P274" s="25" t="n">
        <f aca="false">IFERROR(SUMPRODUCT(LT_incl*(ISNUMBER(LT_iyr)*(LT_iyr&gt;=$V274)*(LT_iyr&lt;$W274)),LT_upb,LT_seas)/SUMPRODUCT(LT_incl*(ISNUMBER(LT_iyr)*(LT_iyr&gt;=$V274)*(LT_iyr&lt;$W274))*ISNUMBER(LT_seas),LT_upb),0)</f>
        <v>4.12337045229414</v>
      </c>
      <c r="Q274" s="25" t="n">
        <f aca="false">IFERROR(SUMPRODUCT(LT_incl*(ISNUMBER(LT_iyr)*(LT_iyr&gt;=$V274)*(LT_iyr&lt;$W274)),LT_upb,LT_rti)/SUMPRODUCT(LT_incl*(ISNUMBER(LT_iyr)*(LT_iyr&gt;=$V274)*(LT_iyr&lt;$W274))*ISNUMBER(LT_rti),LT_upb),0)</f>
        <v>32.2820855871592</v>
      </c>
      <c r="R274" s="25" t="n">
        <f aca="false">IFERROR(SUMPRODUCT(LT_incl*(ISNUMBER(LT_iyr)*(LT_iyr&gt;=$V274)*(LT_iyr&lt;$W274)),LT_upb,LT_rte)/SUMPRODUCT(LT_incl*(ISNUMBER(LT_iyr)*(LT_iyr&gt;=$V274)*(LT_iyr&lt;$W274))*ISNUMBER(LT_rte),LT_upb),0)</f>
        <v>46.0985994867975</v>
      </c>
      <c r="S274" s="23" t="n">
        <f aca="false">IFERROR(SUMPRODUCT(LT_incl*(ISNUMBER(LT_iyr)*(LT_iyr&gt;=$V274)*(LT_iyr&lt;$W274)),LT_backdebt)/G274,0)</f>
        <v>0.799657054837115</v>
      </c>
      <c r="T274" s="23" t="n">
        <f aca="false">IFERROR(SUMPRODUCT(LT_incl*(ISNUMBER(LT_iyr)*(LT_iyr&gt;=$V274)*(LT_iyr&lt;$W274)),LT_equity,LT_roe)/SUMPRODUCT(LT_incl*(ISNUMBER(LT_iyr)*(LT_iyr&gt;=$V274)*(LT_iyr&lt;$W274))*ISNUMBER(LT_roe),LT_equity),0)</f>
        <v>0.113088939652669</v>
      </c>
      <c r="V274" s="50" t="n">
        <v>2029</v>
      </c>
      <c r="W274" s="50" t="n">
        <v>2030</v>
      </c>
    </row>
    <row r="275" customFormat="false" ht="15" hidden="false" customHeight="false" outlineLevel="0" collapsed="false">
      <c r="B275" s="27" t="s">
        <v>221</v>
      </c>
      <c r="C275" s="44" t="n">
        <f aca="false">SUMPRODUCT(LT_incl*(ISNUMBER(LT_iyr)*(LT_iyr&gt;=$V275)*(LT_iyr&lt;$W275)))</f>
        <v>7</v>
      </c>
      <c r="D275" s="32" t="n">
        <f aca="false">IFERROR(C275/StratLoans,0)</f>
        <v>0.0534351145038168</v>
      </c>
      <c r="E275" s="44" t="n">
        <f aca="false">SUMPRODUCT(LT_incl*(ISNUMBER(LT_iyr)*(LT_iyr&gt;=$V275)*(LT_iyr&lt;$W275)),LT_units)</f>
        <v>3104</v>
      </c>
      <c r="F275" s="44" t="n">
        <f aca="false">SUMPRODUCT(LT_incl*(ISNUMBER(LT_iyr)*(LT_iyr&gt;=$V275)*(LT_iyr&lt;$W275)),LT_beds)</f>
        <v>0</v>
      </c>
      <c r="G275" s="31" t="n">
        <f aca="false">SUMPRODUCT(LT_incl*(ISNUMBER(LT_iyr)*(LT_iyr&gt;=$V275)*(LT_iyr&lt;$W275)),LT_upb)</f>
        <v>25887000</v>
      </c>
      <c r="H275" s="32" t="n">
        <f aca="false">IFERROR(G275/StratUPB,0)</f>
        <v>0.006966005518198</v>
      </c>
      <c r="I275" s="31" t="n">
        <f aca="false">IFERROR(G275/C275,0)</f>
        <v>3698142.85714286</v>
      </c>
      <c r="J275" s="31" t="n">
        <f aca="false">SUMPRODUCT(LT_incl*(ISNUMBER(LT_iyr)*(LT_iyr&gt;=$V275)*(LT_iyr&lt;$W275)),LT_unfunded)</f>
        <v>0</v>
      </c>
      <c r="K275" s="31" t="n">
        <f aca="false">SUMPRODUCT(LT_incl*(ISNUMBER(LT_iyr)*(LT_iyr&gt;=$V275)*(LT_iyr&lt;$W275)),LT_navres)</f>
        <v>-357383.067330304</v>
      </c>
      <c r="L275" s="33" t="n">
        <f aca="false">IFERROR(SUMPRODUCT(LT_incl*(ISNUMBER(LT_iyr)*(LT_iyr&gt;=$V275)*(LT_iyr&lt;$W275)),LT_upb,LT_eff)/SUMPRODUCT(LT_incl*(ISNUMBER(LT_iyr)*(LT_iyr&gt;=$V275)*(LT_iyr&lt;$W275))*ISNUMBER(LT_eff),LT_upb),0)</f>
        <v>0.0846076602155522</v>
      </c>
      <c r="M275" s="33" t="n">
        <f aca="false">IFERROR(SUMPRODUCT(LT_incl*(ISNUMBER(LT_iyr)*(LT_iyr&gt;=$V275)*(LT_iyr&lt;$W275)),LT_upb,LT_coupon)/SUMPRODUCT(LT_incl*(ISNUMBER(LT_iyr)*(LT_iyr&gt;=$V275)*(LT_iyr&lt;$W275))*ISNUMBER(LT_coupon),LT_upb),0)</f>
        <v>0.121107660215552</v>
      </c>
      <c r="N275" s="32" t="n">
        <f aca="false">IFERROR(SUMPRODUCT(LT_incl*(ISNUMBER(LT_iyr)*(LT_iyr&gt;=$V275)*(LT_iyr&lt;$W275)),LT_upb,LT_ltv_asis)/SUMPRODUCT(LT_incl*(ISNUMBER(LT_iyr)*(LT_iyr&gt;=$V275)*(LT_iyr&lt;$W275))*ISNUMBER(LT_ltv_asis),LT_upb),0)</f>
        <v>0.805910339130682</v>
      </c>
      <c r="O275" s="32" t="n">
        <f aca="false">IFERROR(SUMPRODUCT(LT_incl*(ISNUMBER(LT_iyr)*(LT_iyr&gt;=$V275)*(LT_iyr&lt;$W275)),LT_upb,LT_ltv_stab)/SUMPRODUCT(LT_incl*(ISNUMBER(LT_iyr)*(LT_iyr&gt;=$V275)*(LT_iyr&lt;$W275))*ISNUMBER(LT_ltv_stab),LT_upb),0)</f>
        <v>0.783033959938496</v>
      </c>
      <c r="P275" s="34" t="n">
        <f aca="false">IFERROR(SUMPRODUCT(LT_incl*(ISNUMBER(LT_iyr)*(LT_iyr&gt;=$V275)*(LT_iyr&lt;$W275)),LT_upb,LT_seas)/SUMPRODUCT(LT_incl*(ISNUMBER(LT_iyr)*(LT_iyr&gt;=$V275)*(LT_iyr&lt;$W275))*ISNUMBER(LT_seas),LT_upb),0)</f>
        <v>43.3655030007609</v>
      </c>
      <c r="Q275" s="34" t="n">
        <f aca="false">IFERROR(SUMPRODUCT(LT_incl*(ISNUMBER(LT_iyr)*(LT_iyr&gt;=$V275)*(LT_iyr&lt;$W275)),LT_upb,LT_rti)/SUMPRODUCT(LT_incl*(ISNUMBER(LT_iyr)*(LT_iyr&gt;=$V275)*(LT_iyr&lt;$W275))*ISNUMBER(LT_rti),LT_upb),0)</f>
        <v>75.8035451661696</v>
      </c>
      <c r="R275" s="34" t="n">
        <f aca="false">IFERROR(SUMPRODUCT(LT_incl*(ISNUMBER(LT_iyr)*(LT_iyr&gt;=$V275)*(LT_iyr&lt;$W275)),LT_upb,LT_rte)/SUMPRODUCT(LT_incl*(ISNUMBER(LT_iyr)*(LT_iyr&gt;=$V275)*(LT_iyr&lt;$W275))*ISNUMBER(LT_rte),LT_upb),0)</f>
        <v>75.8035451661696</v>
      </c>
      <c r="S275" s="32" t="n">
        <f aca="false">IFERROR(SUMPRODUCT(LT_incl*(ISNUMBER(LT_iyr)*(LT_iyr&gt;=$V275)*(LT_iyr&lt;$W275)),LT_backdebt)/G275,0)</f>
        <v>0</v>
      </c>
      <c r="T275" s="32" t="n">
        <f aca="false">IFERROR(SUMPRODUCT(LT_incl*(ISNUMBER(LT_iyr)*(LT_iyr&gt;=$V275)*(LT_iyr&lt;$W275)),LT_equity,LT_roe)/SUMPRODUCT(LT_incl*(ISNUMBER(LT_iyr)*(LT_iyr&gt;=$V275)*(LT_iyr&lt;$W275))*ISNUMBER(LT_roe),LT_equity),0)</f>
        <v>0.121107660215552</v>
      </c>
      <c r="V275" s="50" t="n">
        <v>2030</v>
      </c>
      <c r="W275" s="50" t="n">
        <v>1000000000000</v>
      </c>
    </row>
    <row r="276" customFormat="false" ht="15" hidden="false" customHeight="false" outlineLevel="0" collapsed="false">
      <c r="B276" s="35" t="s">
        <v>76</v>
      </c>
      <c r="C276" s="45" t="n">
        <f aca="false">SUMPRODUCT(LT_incl*(1))</f>
        <v>131</v>
      </c>
      <c r="D276" s="38" t="n">
        <f aca="false">IFERROR(C276/StratLoans,0)</f>
        <v>1</v>
      </c>
      <c r="E276" s="45" t="n">
        <f aca="false">SUMPRODUCT(LT_incl*(1),LT_units)</f>
        <v>22360</v>
      </c>
      <c r="F276" s="45" t="n">
        <f aca="false">SUMPRODUCT(LT_incl*(1),LT_beds)</f>
        <v>8726</v>
      </c>
      <c r="G276" s="37" t="n">
        <f aca="false">SUMPRODUCT(LT_incl*(1),LT_upb)</f>
        <v>3716189993.3</v>
      </c>
      <c r="H276" s="38" t="n">
        <f aca="false">IFERROR(G276/StratUPB,0)</f>
        <v>1</v>
      </c>
      <c r="I276" s="37" t="n">
        <f aca="false">IFERROR(G276/C276,0)</f>
        <v>28367862.5442748</v>
      </c>
      <c r="J276" s="37" t="n">
        <f aca="false">SUMPRODUCT(LT_incl*(1),LT_unfunded)</f>
        <v>70425498.27</v>
      </c>
      <c r="K276" s="37" t="n">
        <f aca="false">SUMPRODUCT(LT_incl*(1),LT_navres)</f>
        <v>-35761255.0310469</v>
      </c>
      <c r="L276" s="39" t="n">
        <f aca="false">IFERROR(SUMPRODUCT(LT_incl*(1),LT_upb,LT_eff)/SUMPRODUCT(LT_incl*(1)*ISNUMBER(LT_eff),LT_upb),0)</f>
        <v>0.0384104790702225</v>
      </c>
      <c r="M276" s="39" t="n">
        <f aca="false">IFERROR(SUMPRODUCT(LT_incl*(1),LT_upb,LT_coupon)/SUMPRODUCT(LT_incl*(1)*ISNUMBER(LT_coupon),LT_upb),0)</f>
        <v>0.0749104790702225</v>
      </c>
      <c r="N276" s="38" t="n">
        <f aca="false">IFERROR(SUMPRODUCT(LT_incl*(1),LT_upb,LT_ltv_asis)/SUMPRODUCT(LT_incl*(1)*ISNUMBER(LT_ltv_asis),LT_upb),0)</f>
        <v>0.685976245136614</v>
      </c>
      <c r="O276" s="38" t="n">
        <f aca="false">IFERROR(SUMPRODUCT(LT_incl*(1),LT_upb,LT_ltv_stab)/SUMPRODUCT(LT_incl*(1)*ISNUMBER(LT_ltv_stab),LT_upb),0)</f>
        <v>0.658970555756018</v>
      </c>
      <c r="P276" s="40" t="n">
        <f aca="false">IFERROR(SUMPRODUCT(LT_incl*(1),LT_upb,LT_seas)/SUMPRODUCT(LT_incl*(1)*ISNUMBER(LT_seas),LT_upb),0)</f>
        <v>26.0197171750702</v>
      </c>
      <c r="Q276" s="40" t="n">
        <f aca="false">IFERROR(SUMPRODUCT(LT_incl*(1),LT_upb,LT_rti)/SUMPRODUCT(LT_incl*(1)*ISNUMBER(LT_rti),LT_upb),0)</f>
        <v>10.7164396387939</v>
      </c>
      <c r="R276" s="40" t="n">
        <f aca="false">IFERROR(SUMPRODUCT(LT_incl*(1),LT_upb,LT_rte)/SUMPRODUCT(LT_incl*(1)*ISNUMBER(LT_rte),LT_upb),0)</f>
        <v>23.051497716819</v>
      </c>
      <c r="S276" s="38" t="n">
        <f aca="false">IFERROR(SUMPRODUCT(LT_incl*(1),LT_backdebt)/G276,0)</f>
        <v>0.628005362553862</v>
      </c>
      <c r="T276" s="38" t="n">
        <f aca="false">IFERROR(SUMPRODUCT(LT_incl*(1),LT_equity,LT_roe)/SUMPRODUCT(LT_incl*(1)*ISNUMBER(LT_roe),LT_equity),0)</f>
        <v>0.107961987212177</v>
      </c>
    </row>
    <row r="278" customFormat="false" ht="15" hidden="false" customHeight="false" outlineLevel="0" collapsed="false">
      <c r="B278" s="3" t="s">
        <v>222</v>
      </c>
      <c r="C278" s="4"/>
      <c r="D278" s="4"/>
      <c r="E278" s="4"/>
      <c r="F278" s="4"/>
      <c r="G278" s="4"/>
      <c r="H278" s="4"/>
      <c r="I278" s="4"/>
      <c r="J278" s="4"/>
      <c r="K278" s="4"/>
      <c r="L278" s="4"/>
      <c r="M278" s="4"/>
      <c r="N278" s="4"/>
      <c r="O278" s="4"/>
      <c r="P278" s="4"/>
      <c r="Q278" s="4"/>
      <c r="R278" s="4"/>
      <c r="S278" s="4"/>
      <c r="T278" s="4"/>
    </row>
    <row r="279" customFormat="false" ht="39.75" hidden="false" customHeight="true" outlineLevel="0" collapsed="false">
      <c r="B279" s="16" t="s">
        <v>147</v>
      </c>
      <c r="C279" s="17" t="s">
        <v>13</v>
      </c>
      <c r="D279" s="17" t="s">
        <v>64</v>
      </c>
      <c r="E279" s="17" t="s">
        <v>65</v>
      </c>
      <c r="F279" s="17" t="s">
        <v>66</v>
      </c>
      <c r="G279" s="17" t="s">
        <v>16</v>
      </c>
      <c r="H279" s="17" t="s">
        <v>46</v>
      </c>
      <c r="I279" s="17" t="s">
        <v>19</v>
      </c>
      <c r="J279" s="17" t="s">
        <v>28</v>
      </c>
      <c r="K279" s="17" t="s">
        <v>31</v>
      </c>
      <c r="L279" s="17" t="s">
        <v>7</v>
      </c>
      <c r="M279" s="17" t="s">
        <v>11</v>
      </c>
      <c r="N279" s="17" t="s">
        <v>23</v>
      </c>
      <c r="O279" s="17" t="s">
        <v>67</v>
      </c>
      <c r="P279" s="17" t="s">
        <v>5</v>
      </c>
      <c r="Q279" s="17" t="s">
        <v>68</v>
      </c>
      <c r="R279" s="17" t="s">
        <v>69</v>
      </c>
      <c r="S279" s="17" t="s">
        <v>56</v>
      </c>
      <c r="T279" s="17" t="s">
        <v>70</v>
      </c>
      <c r="V279" s="17" t="s">
        <v>148</v>
      </c>
      <c r="W279" s="17" t="s">
        <v>149</v>
      </c>
    </row>
    <row r="280" customFormat="false" ht="15" hidden="false" customHeight="false" outlineLevel="0" collapsed="false">
      <c r="B280" s="18" t="s">
        <v>216</v>
      </c>
      <c r="C280" s="26" t="n">
        <f aca="false">SUMPRODUCT(LT_incl*(ISNUMBER(LT_eyr)*(LT_eyr&gt;=$V280)*(LT_eyr&lt;$W280)))</f>
        <v>7</v>
      </c>
      <c r="D280" s="23" t="n">
        <f aca="false">IFERROR(C280/StratLoans,0)</f>
        <v>0.0534351145038168</v>
      </c>
      <c r="E280" s="26" t="n">
        <f aca="false">SUMPRODUCT(LT_incl*(ISNUMBER(LT_eyr)*(LT_eyr&gt;=$V280)*(LT_eyr&lt;$W280)),LT_units)</f>
        <v>448</v>
      </c>
      <c r="F280" s="26" t="n">
        <f aca="false">SUMPRODUCT(LT_incl*(ISNUMBER(LT_eyr)*(LT_eyr&gt;=$V280)*(LT_eyr&lt;$W280)),LT_beds)</f>
        <v>776</v>
      </c>
      <c r="G280" s="22" t="n">
        <f aca="false">SUMPRODUCT(LT_incl*(ISNUMBER(LT_eyr)*(LT_eyr&gt;=$V280)*(LT_eyr&lt;$W280)),LT_upb)</f>
        <v>139865102.39</v>
      </c>
      <c r="H280" s="23" t="n">
        <f aca="false">IFERROR(G280/StratUPB,0)</f>
        <v>0.0376366931298362</v>
      </c>
      <c r="I280" s="22" t="n">
        <f aca="false">IFERROR(G280/C280,0)</f>
        <v>19980728.9128571</v>
      </c>
      <c r="J280" s="22" t="n">
        <f aca="false">SUMPRODUCT(LT_incl*(ISNUMBER(LT_eyr)*(LT_eyr&gt;=$V280)*(LT_eyr&lt;$W280)),LT_unfunded)</f>
        <v>18084.46</v>
      </c>
      <c r="K280" s="22" t="n">
        <f aca="false">SUMPRODUCT(LT_incl*(ISNUMBER(LT_eyr)*(LT_eyr&gt;=$V280)*(LT_eyr&lt;$W280)),LT_navres)</f>
        <v>-18490467.85</v>
      </c>
      <c r="L280" s="24" t="n">
        <f aca="false">IFERROR(SUMPRODUCT(LT_incl*(ISNUMBER(LT_eyr)*(LT_eyr&gt;=$V280)*(LT_eyr&lt;$W280)),LT_upb,LT_eff)/SUMPRODUCT(LT_incl*(ISNUMBER(LT_eyr)*(LT_eyr&gt;=$V280)*(LT_eyr&lt;$W280))*ISNUMBER(LT_eff),LT_upb),0)</f>
        <v>0.0475881864341729</v>
      </c>
      <c r="M280" s="24" t="n">
        <f aca="false">IFERROR(SUMPRODUCT(LT_incl*(ISNUMBER(LT_eyr)*(LT_eyr&gt;=$V280)*(LT_eyr&lt;$W280)),LT_upb,LT_coupon)/SUMPRODUCT(LT_incl*(ISNUMBER(LT_eyr)*(LT_eyr&gt;=$V280)*(LT_eyr&lt;$W280))*ISNUMBER(LT_coupon),LT_upb),0)</f>
        <v>0.0840881864341729</v>
      </c>
      <c r="N280" s="23" t="n">
        <f aca="false">IFERROR(SUMPRODUCT(LT_incl*(ISNUMBER(LT_eyr)*(LT_eyr&gt;=$V280)*(LT_eyr&lt;$W280)),LT_upb,LT_ltv_asis)/SUMPRODUCT(LT_incl*(ISNUMBER(LT_eyr)*(LT_eyr&gt;=$V280)*(LT_eyr&lt;$W280))*ISNUMBER(LT_ltv_asis),LT_upb),0)</f>
        <v>0.731448564215397</v>
      </c>
      <c r="O280" s="23" t="n">
        <f aca="false">IFERROR(SUMPRODUCT(LT_incl*(ISNUMBER(LT_eyr)*(LT_eyr&gt;=$V280)*(LT_eyr&lt;$W280)),LT_upb,LT_ltv_stab)/SUMPRODUCT(LT_incl*(ISNUMBER(LT_eyr)*(LT_eyr&gt;=$V280)*(LT_eyr&lt;$W280))*ISNUMBER(LT_ltv_stab),LT_upb),0)</f>
        <v>0.706509542636295</v>
      </c>
      <c r="P280" s="25" t="n">
        <f aca="false">IFERROR(SUMPRODUCT(LT_incl*(ISNUMBER(LT_eyr)*(LT_eyr&gt;=$V280)*(LT_eyr&lt;$W280)),LT_upb,LT_seas)/SUMPRODUCT(LT_incl*(ISNUMBER(LT_eyr)*(LT_eyr&gt;=$V280)*(LT_eyr&lt;$W280))*ISNUMBER(LT_seas),LT_upb),0)</f>
        <v>65.4934001308701</v>
      </c>
      <c r="Q280" s="25" t="n">
        <f aca="false">IFERROR(SUMPRODUCT(LT_incl*(ISNUMBER(LT_eyr)*(LT_eyr&gt;=$V280)*(LT_eyr&lt;$W280)),LT_upb,LT_rti)/SUMPRODUCT(LT_incl*(ISNUMBER(LT_eyr)*(LT_eyr&gt;=$V280)*(LT_eyr&lt;$W280))*ISNUMBER(LT_rti),LT_upb),0)</f>
        <v>0</v>
      </c>
      <c r="R280" s="25" t="n">
        <f aca="false">IFERROR(SUMPRODUCT(LT_incl*(ISNUMBER(LT_eyr)*(LT_eyr&gt;=$V280)*(LT_eyr&lt;$W280)),LT_upb,LT_rte)/SUMPRODUCT(LT_incl*(ISNUMBER(LT_eyr)*(LT_eyr&gt;=$V280)*(LT_eyr&lt;$W280))*ISNUMBER(LT_rte),LT_upb),0)</f>
        <v>0</v>
      </c>
      <c r="S280" s="23" t="n">
        <f aca="false">IFERROR(SUMPRODUCT(LT_incl*(ISNUMBER(LT_eyr)*(LT_eyr&gt;=$V280)*(LT_eyr&lt;$W280)),LT_backdebt)/G280,0)</f>
        <v>0</v>
      </c>
      <c r="T280" s="23" t="n">
        <f aca="false">IFERROR(SUMPRODUCT(LT_incl*(ISNUMBER(LT_eyr)*(LT_eyr&gt;=$V280)*(LT_eyr&lt;$W280)),LT_equity,LT_roe)/SUMPRODUCT(LT_incl*(ISNUMBER(LT_eyr)*(LT_eyr&gt;=$V280)*(LT_eyr&lt;$W280))*ISNUMBER(LT_roe),LT_equity),0)</f>
        <v>0.0840881864341729</v>
      </c>
      <c r="V280" s="50" t="n">
        <v>-1000000000000</v>
      </c>
      <c r="W280" s="50" t="n">
        <v>2026</v>
      </c>
    </row>
    <row r="281" customFormat="false" ht="15" hidden="false" customHeight="false" outlineLevel="0" collapsed="false">
      <c r="B281" s="27" t="s">
        <v>217</v>
      </c>
      <c r="C281" s="44" t="n">
        <f aca="false">SUMPRODUCT(LT_incl*(ISNUMBER(LT_eyr)*(LT_eyr&gt;=$V281)*(LT_eyr&lt;$W281)))</f>
        <v>22</v>
      </c>
      <c r="D281" s="32" t="n">
        <f aca="false">IFERROR(C281/StratLoans,0)</f>
        <v>0.16793893129771</v>
      </c>
      <c r="E281" s="44" t="n">
        <f aca="false">SUMPRODUCT(LT_incl*(ISNUMBER(LT_eyr)*(LT_eyr&gt;=$V281)*(LT_eyr&lt;$W281)),LT_units)</f>
        <v>4935</v>
      </c>
      <c r="F281" s="44" t="n">
        <f aca="false">SUMPRODUCT(LT_incl*(ISNUMBER(LT_eyr)*(LT_eyr&gt;=$V281)*(LT_eyr&lt;$W281)),LT_beds)</f>
        <v>897</v>
      </c>
      <c r="G281" s="31" t="n">
        <f aca="false">SUMPRODUCT(LT_incl*(ISNUMBER(LT_eyr)*(LT_eyr&gt;=$V281)*(LT_eyr&lt;$W281)),LT_upb)</f>
        <v>658658899.35</v>
      </c>
      <c r="H281" s="32" t="n">
        <f aca="false">IFERROR(G281/StratUPB,0)</f>
        <v>0.177240372676723</v>
      </c>
      <c r="I281" s="31" t="n">
        <f aca="false">IFERROR(G281/C281,0)</f>
        <v>29939040.8795455</v>
      </c>
      <c r="J281" s="31" t="n">
        <f aca="false">SUMPRODUCT(LT_incl*(ISNUMBER(LT_eyr)*(LT_eyr&gt;=$V281)*(LT_eyr&lt;$W281)),LT_unfunded)</f>
        <v>6558600.65</v>
      </c>
      <c r="K281" s="31" t="n">
        <f aca="false">SUMPRODUCT(LT_incl*(ISNUMBER(LT_eyr)*(LT_eyr&gt;=$V281)*(LT_eyr&lt;$W281)),LT_navres)</f>
        <v>-11882049.0123036</v>
      </c>
      <c r="L281" s="33" t="n">
        <f aca="false">IFERROR(SUMPRODUCT(LT_incl*(ISNUMBER(LT_eyr)*(LT_eyr&gt;=$V281)*(LT_eyr&lt;$W281)),LT_upb,LT_eff)/SUMPRODUCT(LT_incl*(ISNUMBER(LT_eyr)*(LT_eyr&gt;=$V281)*(LT_eyr&lt;$W281))*ISNUMBER(LT_eff),LT_upb),0)</f>
        <v>0.0396073618002729</v>
      </c>
      <c r="M281" s="33" t="n">
        <f aca="false">IFERROR(SUMPRODUCT(LT_incl*(ISNUMBER(LT_eyr)*(LT_eyr&gt;=$V281)*(LT_eyr&lt;$W281)),LT_upb,LT_coupon)/SUMPRODUCT(LT_incl*(ISNUMBER(LT_eyr)*(LT_eyr&gt;=$V281)*(LT_eyr&lt;$W281))*ISNUMBER(LT_coupon),LT_upb),0)</f>
        <v>0.0761073618002729</v>
      </c>
      <c r="N281" s="32" t="n">
        <f aca="false">IFERROR(SUMPRODUCT(LT_incl*(ISNUMBER(LT_eyr)*(LT_eyr&gt;=$V281)*(LT_eyr&lt;$W281)),LT_upb,LT_ltv_asis)/SUMPRODUCT(LT_incl*(ISNUMBER(LT_eyr)*(LT_eyr&gt;=$V281)*(LT_eyr&lt;$W281))*ISNUMBER(LT_ltv_asis),LT_upb),0)</f>
        <v>0.753443078422002</v>
      </c>
      <c r="O281" s="32" t="n">
        <f aca="false">IFERROR(SUMPRODUCT(LT_incl*(ISNUMBER(LT_eyr)*(LT_eyr&gt;=$V281)*(LT_eyr&lt;$W281)),LT_upb,LT_ltv_stab)/SUMPRODUCT(LT_incl*(ISNUMBER(LT_eyr)*(LT_eyr&gt;=$V281)*(LT_eyr&lt;$W281))*ISNUMBER(LT_ltv_stab),LT_upb),0)</f>
        <v>0.693944599712222</v>
      </c>
      <c r="P281" s="34" t="n">
        <f aca="false">IFERROR(SUMPRODUCT(LT_incl*(ISNUMBER(LT_eyr)*(LT_eyr&gt;=$V281)*(LT_eyr&lt;$W281)),LT_upb,LT_seas)/SUMPRODUCT(LT_incl*(ISNUMBER(LT_eyr)*(LT_eyr&gt;=$V281)*(LT_eyr&lt;$W281))*ISNUMBER(LT_seas),LT_upb),0)</f>
        <v>52.1205427017142</v>
      </c>
      <c r="Q281" s="34" t="n">
        <f aca="false">IFERROR(SUMPRODUCT(LT_incl*(ISNUMBER(LT_eyr)*(LT_eyr&gt;=$V281)*(LT_eyr&lt;$W281)),LT_upb,LT_rti)/SUMPRODUCT(LT_incl*(ISNUMBER(LT_eyr)*(LT_eyr&gt;=$V281)*(LT_eyr&lt;$W281))*ISNUMBER(LT_rti),LT_upb),0)</f>
        <v>0</v>
      </c>
      <c r="R281" s="34" t="n">
        <f aca="false">IFERROR(SUMPRODUCT(LT_incl*(ISNUMBER(LT_eyr)*(LT_eyr&gt;=$V281)*(LT_eyr&lt;$W281)),LT_upb,LT_rte)/SUMPRODUCT(LT_incl*(ISNUMBER(LT_eyr)*(LT_eyr&gt;=$V281)*(LT_eyr&lt;$W281))*ISNUMBER(LT_rte),LT_upb),0)</f>
        <v>2.20488867081332</v>
      </c>
      <c r="S281" s="32" t="n">
        <f aca="false">IFERROR(SUMPRODUCT(LT_incl*(ISNUMBER(LT_eyr)*(LT_eyr&gt;=$V281)*(LT_eyr&lt;$W281)),LT_backdebt)/G281,0)</f>
        <v>0.558747716263623</v>
      </c>
      <c r="T281" s="32" t="n">
        <f aca="false">IFERROR(SUMPRODUCT(LT_incl*(ISNUMBER(LT_eyr)*(LT_eyr&gt;=$V281)*(LT_eyr&lt;$W281)),LT_equity,LT_roe)/SUMPRODUCT(LT_incl*(ISNUMBER(LT_eyr)*(LT_eyr&gt;=$V281)*(LT_eyr&lt;$W281))*ISNUMBER(LT_roe),LT_equity),0)</f>
        <v>0.101744162118111</v>
      </c>
      <c r="V281" s="50" t="n">
        <v>2026</v>
      </c>
      <c r="W281" s="50" t="n">
        <v>2027</v>
      </c>
    </row>
    <row r="282" customFormat="false" ht="15" hidden="false" customHeight="false" outlineLevel="0" collapsed="false">
      <c r="B282" s="18" t="s">
        <v>218</v>
      </c>
      <c r="C282" s="26" t="n">
        <f aca="false">SUMPRODUCT(LT_incl*(ISNUMBER(LT_eyr)*(LT_eyr&gt;=$V282)*(LT_eyr&lt;$W282)))</f>
        <v>19</v>
      </c>
      <c r="D282" s="23" t="n">
        <f aca="false">IFERROR(C282/StratLoans,0)</f>
        <v>0.145038167938931</v>
      </c>
      <c r="E282" s="26" t="n">
        <f aca="false">SUMPRODUCT(LT_incl*(ISNUMBER(LT_eyr)*(LT_eyr&gt;=$V282)*(LT_eyr&lt;$W282)),LT_units)</f>
        <v>3591</v>
      </c>
      <c r="F282" s="26" t="n">
        <f aca="false">SUMPRODUCT(LT_incl*(ISNUMBER(LT_eyr)*(LT_eyr&gt;=$V282)*(LT_eyr&lt;$W282)),LT_beds)</f>
        <v>998</v>
      </c>
      <c r="G282" s="22" t="n">
        <f aca="false">SUMPRODUCT(LT_incl*(ISNUMBER(LT_eyr)*(LT_eyr&gt;=$V282)*(LT_eyr&lt;$W282)),LT_upb)</f>
        <v>618194433.27</v>
      </c>
      <c r="H282" s="23" t="n">
        <f aca="false">IFERROR(G282/StratUPB,0)</f>
        <v>0.16635167587894</v>
      </c>
      <c r="I282" s="22" t="n">
        <f aca="false">IFERROR(G282/C282,0)</f>
        <v>32536549.1194737</v>
      </c>
      <c r="J282" s="22" t="n">
        <f aca="false">SUMPRODUCT(LT_incl*(ISNUMBER(LT_eyr)*(LT_eyr&gt;=$V282)*(LT_eyr&lt;$W282)),LT_unfunded)</f>
        <v>28913373.16</v>
      </c>
      <c r="K282" s="22" t="n">
        <f aca="false">SUMPRODUCT(LT_incl*(ISNUMBER(LT_eyr)*(LT_eyr&gt;=$V282)*(LT_eyr&lt;$W282)),LT_navres)</f>
        <v>-2501701.03872236</v>
      </c>
      <c r="L282" s="24" t="n">
        <f aca="false">IFERROR(SUMPRODUCT(LT_incl*(ISNUMBER(LT_eyr)*(LT_eyr&gt;=$V282)*(LT_eyr&lt;$W282)),LT_upb,LT_eff)/SUMPRODUCT(LT_incl*(ISNUMBER(LT_eyr)*(LT_eyr&gt;=$V282)*(LT_eyr&lt;$W282))*ISNUMBER(LT_eff),LT_upb),0)</f>
        <v>0.0373602459808268</v>
      </c>
      <c r="M282" s="24" t="n">
        <f aca="false">IFERROR(SUMPRODUCT(LT_incl*(ISNUMBER(LT_eyr)*(LT_eyr&gt;=$V282)*(LT_eyr&lt;$W282)),LT_upb,LT_coupon)/SUMPRODUCT(LT_incl*(ISNUMBER(LT_eyr)*(LT_eyr&gt;=$V282)*(LT_eyr&lt;$W282))*ISNUMBER(LT_coupon),LT_upb),0)</f>
        <v>0.0738602459808268</v>
      </c>
      <c r="N282" s="23" t="n">
        <f aca="false">IFERROR(SUMPRODUCT(LT_incl*(ISNUMBER(LT_eyr)*(LT_eyr&gt;=$V282)*(LT_eyr&lt;$W282)),LT_upb,LT_ltv_asis)/SUMPRODUCT(LT_incl*(ISNUMBER(LT_eyr)*(LT_eyr&gt;=$V282)*(LT_eyr&lt;$W282))*ISNUMBER(LT_ltv_asis),LT_upb),0)</f>
        <v>0.636476881029165</v>
      </c>
      <c r="O282" s="23" t="n">
        <f aca="false">IFERROR(SUMPRODUCT(LT_incl*(ISNUMBER(LT_eyr)*(LT_eyr&gt;=$V282)*(LT_eyr&lt;$W282)),LT_upb,LT_ltv_stab)/SUMPRODUCT(LT_incl*(ISNUMBER(LT_eyr)*(LT_eyr&gt;=$V282)*(LT_eyr&lt;$W282))*ISNUMBER(LT_ltv_stab),LT_upb),0)</f>
        <v>0.644903495556162</v>
      </c>
      <c r="P282" s="25" t="n">
        <f aca="false">IFERROR(SUMPRODUCT(LT_incl*(ISNUMBER(LT_eyr)*(LT_eyr&gt;=$V282)*(LT_eyr&lt;$W282)),LT_upb,LT_seas)/SUMPRODUCT(LT_incl*(ISNUMBER(LT_eyr)*(LT_eyr&gt;=$V282)*(LT_eyr&lt;$W282))*ISNUMBER(LT_seas),LT_upb),0)</f>
        <v>41.112925828964</v>
      </c>
      <c r="Q282" s="25" t="n">
        <f aca="false">IFERROR(SUMPRODUCT(LT_incl*(ISNUMBER(LT_eyr)*(LT_eyr&gt;=$V282)*(LT_eyr&lt;$W282)),LT_upb,LT_rti)/SUMPRODUCT(LT_incl*(ISNUMBER(LT_eyr)*(LT_eyr&gt;=$V282)*(LT_eyr&lt;$W282))*ISNUMBER(LT_rti),LT_upb),0)</f>
        <v>1.62620812985634</v>
      </c>
      <c r="R282" s="25" t="n">
        <f aca="false">IFERROR(SUMPRODUCT(LT_incl*(ISNUMBER(LT_eyr)*(LT_eyr&gt;=$V282)*(LT_eyr&lt;$W282)),LT_upb,LT_rte)/SUMPRODUCT(LT_incl*(ISNUMBER(LT_eyr)*(LT_eyr&gt;=$V282)*(LT_eyr&lt;$W282))*ISNUMBER(LT_rte),LT_upb),0)</f>
        <v>9.54834629485799</v>
      </c>
      <c r="S282" s="23" t="n">
        <f aca="false">IFERROR(SUMPRODUCT(LT_incl*(ISNUMBER(LT_eyr)*(LT_eyr&gt;=$V282)*(LT_eyr&lt;$W282)),LT_backdebt)/G282,0)</f>
        <v>0.61677171914987</v>
      </c>
      <c r="T282" s="23" t="n">
        <f aca="false">IFERROR(SUMPRODUCT(LT_incl*(ISNUMBER(LT_eyr)*(LT_eyr&gt;=$V282)*(LT_eyr&lt;$W282)),LT_equity,LT_roe)/SUMPRODUCT(LT_incl*(ISNUMBER(LT_eyr)*(LT_eyr&gt;=$V282)*(LT_eyr&lt;$W282))*ISNUMBER(LT_roe),LT_equity),0)</f>
        <v>0.105155979888162</v>
      </c>
      <c r="V282" s="50" t="n">
        <v>2027</v>
      </c>
      <c r="W282" s="50" t="n">
        <v>2028</v>
      </c>
    </row>
    <row r="283" customFormat="false" ht="15" hidden="false" customHeight="false" outlineLevel="0" collapsed="false">
      <c r="B283" s="27" t="s">
        <v>219</v>
      </c>
      <c r="C283" s="44" t="n">
        <f aca="false">SUMPRODUCT(LT_incl*(ISNUMBER(LT_eyr)*(LT_eyr&gt;=$V283)*(LT_eyr&lt;$W283)))</f>
        <v>33</v>
      </c>
      <c r="D283" s="32" t="n">
        <f aca="false">IFERROR(C283/StratLoans,0)</f>
        <v>0.251908396946565</v>
      </c>
      <c r="E283" s="44" t="n">
        <f aca="false">SUMPRODUCT(LT_incl*(ISNUMBER(LT_eyr)*(LT_eyr&gt;=$V283)*(LT_eyr&lt;$W283)),LT_units)</f>
        <v>3223</v>
      </c>
      <c r="F283" s="44" t="n">
        <f aca="false">SUMPRODUCT(LT_incl*(ISNUMBER(LT_eyr)*(LT_eyr&gt;=$V283)*(LT_eyr&lt;$W283)),LT_beds)</f>
        <v>3639</v>
      </c>
      <c r="G283" s="31" t="n">
        <f aca="false">SUMPRODUCT(LT_incl*(ISNUMBER(LT_eyr)*(LT_eyr&gt;=$V283)*(LT_eyr&lt;$W283)),LT_upb)</f>
        <v>825145581.43</v>
      </c>
      <c r="H283" s="32" t="n">
        <f aca="false">IFERROR(G283/StratUPB,0)</f>
        <v>0.222040741436168</v>
      </c>
      <c r="I283" s="31" t="n">
        <f aca="false">IFERROR(G283/C283,0)</f>
        <v>25004411.5584849</v>
      </c>
      <c r="J283" s="31" t="n">
        <f aca="false">SUMPRODUCT(LT_incl*(ISNUMBER(LT_eyr)*(LT_eyr&gt;=$V283)*(LT_eyr&lt;$W283)),LT_unfunded)</f>
        <v>14200000</v>
      </c>
      <c r="K283" s="31" t="n">
        <f aca="false">SUMPRODUCT(LT_incl*(ISNUMBER(LT_eyr)*(LT_eyr&gt;=$V283)*(LT_eyr&lt;$W283)),LT_navres)</f>
        <v>0</v>
      </c>
      <c r="L283" s="33" t="n">
        <f aca="false">IFERROR(SUMPRODUCT(LT_incl*(ISNUMBER(LT_eyr)*(LT_eyr&gt;=$V283)*(LT_eyr&lt;$W283)),LT_upb,LT_eff)/SUMPRODUCT(LT_incl*(ISNUMBER(LT_eyr)*(LT_eyr&gt;=$V283)*(LT_eyr&lt;$W283))*ISNUMBER(LT_eff),LT_upb),0)</f>
        <v>0.0428655145733888</v>
      </c>
      <c r="M283" s="33" t="n">
        <f aca="false">IFERROR(SUMPRODUCT(LT_incl*(ISNUMBER(LT_eyr)*(LT_eyr&gt;=$V283)*(LT_eyr&lt;$W283)),LT_upb,LT_coupon)/SUMPRODUCT(LT_incl*(ISNUMBER(LT_eyr)*(LT_eyr&gt;=$V283)*(LT_eyr&lt;$W283))*ISNUMBER(LT_coupon),LT_upb),0)</f>
        <v>0.0793655145733888</v>
      </c>
      <c r="N283" s="32" t="n">
        <f aca="false">IFERROR(SUMPRODUCT(LT_incl*(ISNUMBER(LT_eyr)*(LT_eyr&gt;=$V283)*(LT_eyr&lt;$W283)),LT_upb,LT_ltv_asis)/SUMPRODUCT(LT_incl*(ISNUMBER(LT_eyr)*(LT_eyr&gt;=$V283)*(LT_eyr&lt;$W283))*ISNUMBER(LT_ltv_asis),LT_upb),0)</f>
        <v>0.672424035153631</v>
      </c>
      <c r="O283" s="32" t="n">
        <f aca="false">IFERROR(SUMPRODUCT(LT_incl*(ISNUMBER(LT_eyr)*(LT_eyr&gt;=$V283)*(LT_eyr&lt;$W283)),LT_upb,LT_ltv_stab)/SUMPRODUCT(LT_incl*(ISNUMBER(LT_eyr)*(LT_eyr&gt;=$V283)*(LT_eyr&lt;$W283))*ISNUMBER(LT_ltv_stab),LT_upb),0)</f>
        <v>0.644563016768897</v>
      </c>
      <c r="P283" s="34" t="n">
        <f aca="false">IFERROR(SUMPRODUCT(LT_incl*(ISNUMBER(LT_eyr)*(LT_eyr&gt;=$V283)*(LT_eyr&lt;$W283)),LT_upb,LT_seas)/SUMPRODUCT(LT_incl*(ISNUMBER(LT_eyr)*(LT_eyr&gt;=$V283)*(LT_eyr&lt;$W283))*ISNUMBER(LT_seas),LT_upb),0)</f>
        <v>15.5701296641818</v>
      </c>
      <c r="Q283" s="34" t="n">
        <f aca="false">IFERROR(SUMPRODUCT(LT_incl*(ISNUMBER(LT_eyr)*(LT_eyr&gt;=$V283)*(LT_eyr&lt;$W283)),LT_upb,LT_rti)/SUMPRODUCT(LT_incl*(ISNUMBER(LT_eyr)*(LT_eyr&gt;=$V283)*(LT_eyr&lt;$W283))*ISNUMBER(LT_rti),LT_upb),0)</f>
        <v>9.48760200159964</v>
      </c>
      <c r="R283" s="34" t="n">
        <f aca="false">IFERROR(SUMPRODUCT(LT_incl*(ISNUMBER(LT_eyr)*(LT_eyr&gt;=$V283)*(LT_eyr&lt;$W283)),LT_upb,LT_rte)/SUMPRODUCT(LT_incl*(ISNUMBER(LT_eyr)*(LT_eyr&gt;=$V283)*(LT_eyr&lt;$W283))*ISNUMBER(LT_rte),LT_upb),0)</f>
        <v>23.3458014756489</v>
      </c>
      <c r="S283" s="32" t="n">
        <f aca="false">IFERROR(SUMPRODUCT(LT_incl*(ISNUMBER(LT_eyr)*(LT_eyr&gt;=$V283)*(LT_eyr&lt;$W283)),LT_backdebt)/G283,0)</f>
        <v>0.647721471760776</v>
      </c>
      <c r="T283" s="32" t="n">
        <f aca="false">IFERROR(SUMPRODUCT(LT_incl*(ISNUMBER(LT_eyr)*(LT_eyr&gt;=$V283)*(LT_eyr&lt;$W283)),LT_equity,LT_roe)/SUMPRODUCT(LT_incl*(ISNUMBER(LT_eyr)*(LT_eyr&gt;=$V283)*(LT_eyr&lt;$W283))*ISNUMBER(LT_roe),LT_equity),0)</f>
        <v>0.123323959100771</v>
      </c>
      <c r="V283" s="50" t="n">
        <v>2028</v>
      </c>
      <c r="W283" s="50" t="n">
        <v>2029</v>
      </c>
    </row>
    <row r="284" customFormat="false" ht="15" hidden="false" customHeight="false" outlineLevel="0" collapsed="false">
      <c r="B284" s="18" t="s">
        <v>220</v>
      </c>
      <c r="C284" s="26" t="n">
        <f aca="false">SUMPRODUCT(LT_incl*(ISNUMBER(LT_eyr)*(LT_eyr&gt;=$V284)*(LT_eyr&lt;$W284)))</f>
        <v>31</v>
      </c>
      <c r="D284" s="23" t="n">
        <f aca="false">IFERROR(C284/StratLoans,0)</f>
        <v>0.236641221374046</v>
      </c>
      <c r="E284" s="26" t="n">
        <f aca="false">SUMPRODUCT(LT_incl*(ISNUMBER(LT_eyr)*(LT_eyr&gt;=$V284)*(LT_eyr&lt;$W284)),LT_units)</f>
        <v>3873</v>
      </c>
      <c r="F284" s="26" t="n">
        <f aca="false">SUMPRODUCT(LT_incl*(ISNUMBER(LT_eyr)*(LT_eyr&gt;=$V284)*(LT_eyr&lt;$W284)),LT_beds)</f>
        <v>2416</v>
      </c>
      <c r="G284" s="22" t="n">
        <f aca="false">SUMPRODUCT(LT_incl*(ISNUMBER(LT_eyr)*(LT_eyr&gt;=$V284)*(LT_eyr&lt;$W284)),LT_upb)</f>
        <v>913237345.24</v>
      </c>
      <c r="H284" s="23" t="n">
        <f aca="false">IFERROR(G284/StratUPB,0)</f>
        <v>0.245745601512973</v>
      </c>
      <c r="I284" s="22" t="n">
        <f aca="false">IFERROR(G284/C284,0)</f>
        <v>29459269.2012903</v>
      </c>
      <c r="J284" s="22" t="n">
        <f aca="false">SUMPRODUCT(LT_incl*(ISNUMBER(LT_eyr)*(LT_eyr&gt;=$V284)*(LT_eyr&lt;$W284)),LT_unfunded)</f>
        <v>11521178.65</v>
      </c>
      <c r="K284" s="22" t="n">
        <f aca="false">SUMPRODUCT(LT_incl*(ISNUMBER(LT_eyr)*(LT_eyr&gt;=$V284)*(LT_eyr&lt;$W284)),LT_navres)</f>
        <v>0</v>
      </c>
      <c r="L284" s="24" t="n">
        <f aca="false">IFERROR(SUMPRODUCT(LT_incl*(ISNUMBER(LT_eyr)*(LT_eyr&gt;=$V284)*(LT_eyr&lt;$W284)),LT_upb,LT_eff)/SUMPRODUCT(LT_incl*(ISNUMBER(LT_eyr)*(LT_eyr&gt;=$V284)*(LT_eyr&lt;$W284))*ISNUMBER(LT_eff),LT_upb),0)</f>
        <v>0.035977246136031</v>
      </c>
      <c r="M284" s="24" t="n">
        <f aca="false">IFERROR(SUMPRODUCT(LT_incl*(ISNUMBER(LT_eyr)*(LT_eyr&gt;=$V284)*(LT_eyr&lt;$W284)),LT_upb,LT_coupon)/SUMPRODUCT(LT_incl*(ISNUMBER(LT_eyr)*(LT_eyr&gt;=$V284)*(LT_eyr&lt;$W284))*ISNUMBER(LT_coupon),LT_upb),0)</f>
        <v>0.072477246136031</v>
      </c>
      <c r="N284" s="23" t="n">
        <f aca="false">IFERROR(SUMPRODUCT(LT_incl*(ISNUMBER(LT_eyr)*(LT_eyr&gt;=$V284)*(LT_eyr&lt;$W284)),LT_upb,LT_ltv_asis)/SUMPRODUCT(LT_incl*(ISNUMBER(LT_eyr)*(LT_eyr&gt;=$V284)*(LT_eyr&lt;$W284))*ISNUMBER(LT_ltv_asis),LT_upb),0)</f>
        <v>0.667619517995716</v>
      </c>
      <c r="O284" s="23" t="n">
        <f aca="false">IFERROR(SUMPRODUCT(LT_incl*(ISNUMBER(LT_eyr)*(LT_eyr&gt;=$V284)*(LT_eyr&lt;$W284)),LT_upb,LT_ltv_stab)/SUMPRODUCT(LT_incl*(ISNUMBER(LT_eyr)*(LT_eyr&gt;=$V284)*(LT_eyr&lt;$W284))*ISNUMBER(LT_ltv_stab),LT_upb),0)</f>
        <v>0.639542186974782</v>
      </c>
      <c r="P284" s="25" t="n">
        <f aca="false">IFERROR(SUMPRODUCT(LT_incl*(ISNUMBER(LT_eyr)*(LT_eyr&gt;=$V284)*(LT_eyr&lt;$W284)),LT_upb,LT_seas)/SUMPRODUCT(LT_incl*(ISNUMBER(LT_eyr)*(LT_eyr&gt;=$V284)*(LT_eyr&lt;$W284))*ISNUMBER(LT_seas),LT_upb),0)</f>
        <v>10.4602566413306</v>
      </c>
      <c r="Q284" s="25" t="n">
        <f aca="false">IFERROR(SUMPRODUCT(LT_incl*(ISNUMBER(LT_eyr)*(LT_eyr&gt;=$V284)*(LT_eyr&lt;$W284)),LT_upb,LT_rti)/SUMPRODUCT(LT_incl*(ISNUMBER(LT_eyr)*(LT_eyr&gt;=$V284)*(LT_eyr&lt;$W284))*ISNUMBER(LT_rti),LT_upb),0)</f>
        <v>17.0479639478003</v>
      </c>
      <c r="R284" s="25" t="n">
        <f aca="false">IFERROR(SUMPRODUCT(LT_incl*(ISNUMBER(LT_eyr)*(LT_eyr&gt;=$V284)*(LT_eyr&lt;$W284)),LT_upb,LT_rte)/SUMPRODUCT(LT_incl*(ISNUMBER(LT_eyr)*(LT_eyr&gt;=$V284)*(LT_eyr&lt;$W284))*ISNUMBER(LT_rte),LT_upb),0)</f>
        <v>34.1368696379597</v>
      </c>
      <c r="S284" s="23" t="n">
        <f aca="false">IFERROR(SUMPRODUCT(LT_incl*(ISNUMBER(LT_eyr)*(LT_eyr&gt;=$V284)*(LT_eyr&lt;$W284)),LT_backdebt)/G284,0)</f>
        <v>0.752983808426248</v>
      </c>
      <c r="T284" s="23" t="n">
        <f aca="false">IFERROR(SUMPRODUCT(LT_incl*(ISNUMBER(LT_eyr)*(LT_eyr&gt;=$V284)*(LT_eyr&lt;$W284)),LT_equity,LT_roe)/SUMPRODUCT(LT_incl*(ISNUMBER(LT_eyr)*(LT_eyr&gt;=$V284)*(LT_eyr&lt;$W284))*ISNUMBER(LT_roe),LT_equity),0)</f>
        <v>0.123452125651359</v>
      </c>
      <c r="V284" s="50" t="n">
        <v>2029</v>
      </c>
      <c r="W284" s="50" t="n">
        <v>2030</v>
      </c>
    </row>
    <row r="285" customFormat="false" ht="15" hidden="false" customHeight="false" outlineLevel="0" collapsed="false">
      <c r="B285" s="27" t="s">
        <v>223</v>
      </c>
      <c r="C285" s="44" t="n">
        <f aca="false">SUMPRODUCT(LT_incl*(ISNUMBER(LT_eyr)*(LT_eyr&gt;=$V285)*(LT_eyr&lt;$W285)))</f>
        <v>12</v>
      </c>
      <c r="D285" s="32" t="n">
        <f aca="false">IFERROR(C285/StratLoans,0)</f>
        <v>0.0916030534351145</v>
      </c>
      <c r="E285" s="44" t="n">
        <f aca="false">SUMPRODUCT(LT_incl*(ISNUMBER(LT_eyr)*(LT_eyr&gt;=$V285)*(LT_eyr&lt;$W285)),LT_units)</f>
        <v>3267</v>
      </c>
      <c r="F285" s="44" t="n">
        <f aca="false">SUMPRODUCT(LT_incl*(ISNUMBER(LT_eyr)*(LT_eyr&gt;=$V285)*(LT_eyr&lt;$W285)),LT_beds)</f>
        <v>0</v>
      </c>
      <c r="G285" s="31" t="n">
        <f aca="false">SUMPRODUCT(LT_incl*(ISNUMBER(LT_eyr)*(LT_eyr&gt;=$V285)*(LT_eyr&lt;$W285)),LT_upb)</f>
        <v>488027631.62</v>
      </c>
      <c r="H285" s="32" t="n">
        <f aca="false">IFERROR(G285/StratUPB,0)</f>
        <v>0.131324725727123</v>
      </c>
      <c r="I285" s="31" t="n">
        <f aca="false">IFERROR(G285/C285,0)</f>
        <v>40668969.3016667</v>
      </c>
      <c r="J285" s="31" t="n">
        <f aca="false">SUMPRODUCT(LT_incl*(ISNUMBER(LT_eyr)*(LT_eyr&gt;=$V285)*(LT_eyr&lt;$W285)),LT_unfunded)</f>
        <v>6114261.34999999</v>
      </c>
      <c r="K285" s="31" t="n">
        <f aca="false">SUMPRODUCT(LT_incl*(ISNUMBER(LT_eyr)*(LT_eyr&gt;=$V285)*(LT_eyr&lt;$W285)),LT_navres)</f>
        <v>-2529654.06269062</v>
      </c>
      <c r="L285" s="33" t="n">
        <f aca="false">IFERROR(SUMPRODUCT(LT_incl*(ISNUMBER(LT_eyr)*(LT_eyr&gt;=$V285)*(LT_eyr&lt;$W285)),LT_upb,LT_eff)/SUMPRODUCT(LT_incl*(ISNUMBER(LT_eyr)*(LT_eyr&gt;=$V285)*(LT_eyr&lt;$W285))*ISNUMBER(LT_eff),LT_upb),0)</f>
        <v>0.0316406301062343</v>
      </c>
      <c r="M285" s="33" t="n">
        <f aca="false">IFERROR(SUMPRODUCT(LT_incl*(ISNUMBER(LT_eyr)*(LT_eyr&gt;=$V285)*(LT_eyr&lt;$W285)),LT_upb,LT_coupon)/SUMPRODUCT(LT_incl*(ISNUMBER(LT_eyr)*(LT_eyr&gt;=$V285)*(LT_eyr&lt;$W285))*ISNUMBER(LT_coupon),LT_upb),0)</f>
        <v>0.0681406301062343</v>
      </c>
      <c r="N285" s="32" t="n">
        <f aca="false">IFERROR(SUMPRODUCT(LT_incl*(ISNUMBER(LT_eyr)*(LT_eyr&gt;=$V285)*(LT_eyr&lt;$W285)),LT_upb,LT_ltv_asis)/SUMPRODUCT(LT_incl*(ISNUMBER(LT_eyr)*(LT_eyr&gt;=$V285)*(LT_eyr&lt;$W285))*ISNUMBER(LT_ltv_asis),LT_upb),0)</f>
        <v>0.680256299113363</v>
      </c>
      <c r="O285" s="32" t="n">
        <f aca="false">IFERROR(SUMPRODUCT(LT_incl*(ISNUMBER(LT_eyr)*(LT_eyr&gt;=$V285)*(LT_eyr&lt;$W285)),LT_upb,LT_ltv_stab)/SUMPRODUCT(LT_incl*(ISNUMBER(LT_eyr)*(LT_eyr&gt;=$V285)*(LT_eyr&lt;$W285))*ISNUMBER(LT_ltv_stab),LT_upb),0)</f>
        <v>0.66519034505999</v>
      </c>
      <c r="P285" s="34" t="n">
        <f aca="false">IFERROR(SUMPRODUCT(LT_incl*(ISNUMBER(LT_eyr)*(LT_eyr&gt;=$V285)*(LT_eyr&lt;$W285)),LT_upb,LT_seas)/SUMPRODUCT(LT_incl*(ISNUMBER(LT_eyr)*(LT_eyr&gt;=$V285)*(LT_eyr&lt;$W285))*ISNUMBER(LT_seas),LT_upb),0)</f>
        <v>8.81171124130007</v>
      </c>
      <c r="Q285" s="34" t="n">
        <f aca="false">IFERROR(SUMPRODUCT(LT_incl*(ISNUMBER(LT_eyr)*(LT_eyr&gt;=$V285)*(LT_eyr&lt;$W285)),LT_upb,LT_rti)/SUMPRODUCT(LT_incl*(ISNUMBER(LT_eyr)*(LT_eyr&gt;=$V285)*(LT_eyr&lt;$W285))*ISNUMBER(LT_rti),LT_upb),0)</f>
        <v>24.2237197969681</v>
      </c>
      <c r="R285" s="34" t="n">
        <f aca="false">IFERROR(SUMPRODUCT(LT_incl*(ISNUMBER(LT_eyr)*(LT_eyr&gt;=$V285)*(LT_eyr&lt;$W285)),LT_upb,LT_rte)/SUMPRODUCT(LT_incl*(ISNUMBER(LT_eyr)*(LT_eyr&gt;=$V285)*(LT_eyr&lt;$W285))*ISNUMBER(LT_rte),LT_upb),0)</f>
        <v>47.4021146317606</v>
      </c>
      <c r="S285" s="32" t="n">
        <f aca="false">IFERROR(SUMPRODUCT(LT_incl*(ISNUMBER(LT_eyr)*(LT_eyr&gt;=$V285)*(LT_eyr&lt;$W285)),LT_backdebt)/G285,0)</f>
        <v>0.660210158940968</v>
      </c>
      <c r="T285" s="32" t="n">
        <f aca="false">IFERROR(SUMPRODUCT(LT_incl*(ISNUMBER(LT_eyr)*(LT_eyr&gt;=$V285)*(LT_eyr&lt;$W285)),LT_equity,LT_roe)/SUMPRODUCT(LT_incl*(ISNUMBER(LT_eyr)*(LT_eyr&gt;=$V285)*(LT_eyr&lt;$W285))*ISNUMBER(LT_roe),LT_equity),0)</f>
        <v>0.0928315212948372</v>
      </c>
      <c r="V285" s="50" t="n">
        <v>2030</v>
      </c>
      <c r="W285" s="50" t="n">
        <v>2031</v>
      </c>
    </row>
    <row r="286" customFormat="false" ht="15" hidden="false" customHeight="false" outlineLevel="0" collapsed="false">
      <c r="B286" s="18" t="s">
        <v>224</v>
      </c>
      <c r="C286" s="26" t="n">
        <f aca="false">SUMPRODUCT(LT_incl*(ISNUMBER(LT_eyr)*(LT_eyr&gt;=$V286)*(LT_eyr&lt;$W286)))</f>
        <v>7</v>
      </c>
      <c r="D286" s="23" t="n">
        <f aca="false">IFERROR(C286/StratLoans,0)</f>
        <v>0.0534351145038168</v>
      </c>
      <c r="E286" s="26" t="n">
        <f aca="false">SUMPRODUCT(LT_incl*(ISNUMBER(LT_eyr)*(LT_eyr&gt;=$V286)*(LT_eyr&lt;$W286)),LT_units)</f>
        <v>3023</v>
      </c>
      <c r="F286" s="26" t="n">
        <f aca="false">SUMPRODUCT(LT_incl*(ISNUMBER(LT_eyr)*(LT_eyr&gt;=$V286)*(LT_eyr&lt;$W286)),LT_beds)</f>
        <v>0</v>
      </c>
      <c r="G286" s="22" t="n">
        <f aca="false">SUMPRODUCT(LT_incl*(ISNUMBER(LT_eyr)*(LT_eyr&gt;=$V286)*(LT_eyr&lt;$W286)),LT_upb)</f>
        <v>73061000</v>
      </c>
      <c r="H286" s="23" t="n">
        <f aca="false">IFERROR(G286/StratUPB,0)</f>
        <v>0.0196601896382379</v>
      </c>
      <c r="I286" s="22" t="n">
        <f aca="false">IFERROR(G286/C286,0)</f>
        <v>10437285.7142857</v>
      </c>
      <c r="J286" s="22" t="n">
        <f aca="false">SUMPRODUCT(LT_incl*(ISNUMBER(LT_eyr)*(LT_eyr&gt;=$V286)*(LT_eyr&lt;$W286)),LT_unfunded)</f>
        <v>3100000</v>
      </c>
      <c r="K286" s="22" t="n">
        <f aca="false">SUMPRODUCT(LT_incl*(ISNUMBER(LT_eyr)*(LT_eyr&gt;=$V286)*(LT_eyr&lt;$W286)),LT_navres)</f>
        <v>-357383.067330304</v>
      </c>
      <c r="L286" s="24" t="n">
        <f aca="false">IFERROR(SUMPRODUCT(LT_incl*(ISNUMBER(LT_eyr)*(LT_eyr&gt;=$V286)*(LT_eyr&lt;$W286)),LT_upb,LT_eff)/SUMPRODUCT(LT_incl*(ISNUMBER(LT_eyr)*(LT_eyr&gt;=$V286)*(LT_eyr&lt;$W286))*ISNUMBER(LT_eff),LT_upb),0)</f>
        <v>0.0442577777473618</v>
      </c>
      <c r="M286" s="24" t="n">
        <f aca="false">IFERROR(SUMPRODUCT(LT_incl*(ISNUMBER(LT_eyr)*(LT_eyr&gt;=$V286)*(LT_eyr&lt;$W286)),LT_upb,LT_coupon)/SUMPRODUCT(LT_incl*(ISNUMBER(LT_eyr)*(LT_eyr&gt;=$V286)*(LT_eyr&lt;$W286))*ISNUMBER(LT_coupon),LT_upb),0)</f>
        <v>0.0807577777473618</v>
      </c>
      <c r="N286" s="23" t="n">
        <f aca="false">IFERROR(SUMPRODUCT(LT_incl*(ISNUMBER(LT_eyr)*(LT_eyr&gt;=$V286)*(LT_eyr&lt;$W286)),LT_upb,LT_ltv_asis)/SUMPRODUCT(LT_incl*(ISNUMBER(LT_eyr)*(LT_eyr&gt;=$V286)*(LT_eyr&lt;$W286))*ISNUMBER(LT_ltv_asis),LT_upb),0)</f>
        <v>0.834916715082467</v>
      </c>
      <c r="O286" s="23" t="n">
        <f aca="false">IFERROR(SUMPRODUCT(LT_incl*(ISNUMBER(LT_eyr)*(LT_eyr&gt;=$V286)*(LT_eyr&lt;$W286)),LT_upb,LT_ltv_stab)/SUMPRODUCT(LT_incl*(ISNUMBER(LT_eyr)*(LT_eyr&gt;=$V286)*(LT_eyr&lt;$W286))*ISNUMBER(LT_ltv_stab),LT_upb),0)</f>
        <v>0.740591532248532</v>
      </c>
      <c r="P286" s="25" t="n">
        <f aca="false">IFERROR(SUMPRODUCT(LT_incl*(ISNUMBER(LT_eyr)*(LT_eyr&gt;=$V286)*(LT_eyr&lt;$W286)),LT_upb,LT_seas)/SUMPRODUCT(LT_incl*(ISNUMBER(LT_eyr)*(LT_eyr&gt;=$V286)*(LT_eyr&lt;$W286))*ISNUMBER(LT_seas),LT_upb),0)</f>
        <v>14.8896270105032</v>
      </c>
      <c r="Q286" s="25" t="n">
        <f aca="false">IFERROR(SUMPRODUCT(LT_incl*(ISNUMBER(LT_eyr)*(LT_eyr&gt;=$V286)*(LT_eyr&lt;$W286)),LT_upb,LT_rti)/SUMPRODUCT(LT_incl*(ISNUMBER(LT_eyr)*(LT_eyr&gt;=$V286)*(LT_eyr&lt;$W286))*ISNUMBER(LT_rti),LT_upb),0)</f>
        <v>49.2694888833997</v>
      </c>
      <c r="R286" s="25" t="n">
        <f aca="false">IFERROR(SUMPRODUCT(LT_incl*(ISNUMBER(LT_eyr)*(LT_eyr&gt;=$V286)*(LT_eyr&lt;$W286)),LT_upb,LT_rte)/SUMPRODUCT(LT_incl*(ISNUMBER(LT_eyr)*(LT_eyr&gt;=$V286)*(LT_eyr&lt;$W286))*ISNUMBER(LT_rte),LT_upb),0)</f>
        <v>64.8287075352381</v>
      </c>
      <c r="S286" s="23" t="n">
        <f aca="false">IFERROR(SUMPRODUCT(LT_incl*(ISNUMBER(LT_eyr)*(LT_eyr&gt;=$V286)*(LT_eyr&lt;$W286)),LT_backdebt)/G286,0)</f>
        <v>0.549677666607356</v>
      </c>
      <c r="T286" s="23" t="n">
        <f aca="false">IFERROR(SUMPRODUCT(LT_incl*(ISNUMBER(LT_eyr)*(LT_eyr&gt;=$V286)*(LT_eyr&lt;$W286)),LT_equity,LT_roe)/SUMPRODUCT(LT_incl*(ISNUMBER(LT_eyr)*(LT_eyr&gt;=$V286)*(LT_eyr&lt;$W286))*ISNUMBER(LT_roe),LT_equity),0)</f>
        <v>0.118912008753533</v>
      </c>
      <c r="V286" s="50" t="n">
        <v>2031</v>
      </c>
      <c r="W286" s="50" t="n">
        <v>1000000000000</v>
      </c>
    </row>
    <row r="287" customFormat="false" ht="15" hidden="false" customHeight="false" outlineLevel="0" collapsed="false">
      <c r="B287" s="35" t="s">
        <v>76</v>
      </c>
      <c r="C287" s="45" t="n">
        <f aca="false">SUMPRODUCT(LT_incl*(1))</f>
        <v>131</v>
      </c>
      <c r="D287" s="38" t="n">
        <f aca="false">IFERROR(C287/StratLoans,0)</f>
        <v>1</v>
      </c>
      <c r="E287" s="45" t="n">
        <f aca="false">SUMPRODUCT(LT_incl*(1),LT_units)</f>
        <v>22360</v>
      </c>
      <c r="F287" s="45" t="n">
        <f aca="false">SUMPRODUCT(LT_incl*(1),LT_beds)</f>
        <v>8726</v>
      </c>
      <c r="G287" s="37" t="n">
        <f aca="false">SUMPRODUCT(LT_incl*(1),LT_upb)</f>
        <v>3716189993.3</v>
      </c>
      <c r="H287" s="38" t="n">
        <f aca="false">IFERROR(G287/StratUPB,0)</f>
        <v>1</v>
      </c>
      <c r="I287" s="37" t="n">
        <f aca="false">IFERROR(G287/C287,0)</f>
        <v>28367862.5442748</v>
      </c>
      <c r="J287" s="37" t="n">
        <f aca="false">SUMPRODUCT(LT_incl*(1),LT_unfunded)</f>
        <v>70425498.27</v>
      </c>
      <c r="K287" s="37" t="n">
        <f aca="false">SUMPRODUCT(LT_incl*(1),LT_navres)</f>
        <v>-35761255.0310469</v>
      </c>
      <c r="L287" s="39" t="n">
        <f aca="false">IFERROR(SUMPRODUCT(LT_incl*(1),LT_upb,LT_eff)/SUMPRODUCT(LT_incl*(1)*ISNUMBER(LT_eff),LT_upb),0)</f>
        <v>0.0384104790702225</v>
      </c>
      <c r="M287" s="39" t="n">
        <f aca="false">IFERROR(SUMPRODUCT(LT_incl*(1),LT_upb,LT_coupon)/SUMPRODUCT(LT_incl*(1)*ISNUMBER(LT_coupon),LT_upb),0)</f>
        <v>0.0749104790702225</v>
      </c>
      <c r="N287" s="38" t="n">
        <f aca="false">IFERROR(SUMPRODUCT(LT_incl*(1),LT_upb,LT_ltv_asis)/SUMPRODUCT(LT_incl*(1)*ISNUMBER(LT_ltv_asis),LT_upb),0)</f>
        <v>0.685976245136614</v>
      </c>
      <c r="O287" s="38" t="n">
        <f aca="false">IFERROR(SUMPRODUCT(LT_incl*(1),LT_upb,LT_ltv_stab)/SUMPRODUCT(LT_incl*(1)*ISNUMBER(LT_ltv_stab),LT_upb),0)</f>
        <v>0.658970555756018</v>
      </c>
      <c r="P287" s="40" t="n">
        <f aca="false">IFERROR(SUMPRODUCT(LT_incl*(1),LT_upb,LT_seas)/SUMPRODUCT(LT_incl*(1)*ISNUMBER(LT_seas),LT_upb),0)</f>
        <v>26.0197171750702</v>
      </c>
      <c r="Q287" s="40" t="n">
        <f aca="false">IFERROR(SUMPRODUCT(LT_incl*(1),LT_upb,LT_rti)/SUMPRODUCT(LT_incl*(1)*ISNUMBER(LT_rti),LT_upb),0)</f>
        <v>10.7164396387939</v>
      </c>
      <c r="R287" s="40" t="n">
        <f aca="false">IFERROR(SUMPRODUCT(LT_incl*(1),LT_upb,LT_rte)/SUMPRODUCT(LT_incl*(1)*ISNUMBER(LT_rte),LT_upb),0)</f>
        <v>23.051497716819</v>
      </c>
      <c r="S287" s="38" t="n">
        <f aca="false">IFERROR(SUMPRODUCT(LT_incl*(1),LT_backdebt)/G287,0)</f>
        <v>0.628005362553862</v>
      </c>
      <c r="T287" s="38" t="n">
        <f aca="false">IFERROR(SUMPRODUCT(LT_incl*(1),LT_equity,LT_roe)/SUMPRODUCT(LT_incl*(1)*ISNUMBER(LT_roe),LT_equity),0)</f>
        <v>0.107961987212177</v>
      </c>
    </row>
    <row r="289" customFormat="false" ht="15" hidden="false" customHeight="false" outlineLevel="0" collapsed="false">
      <c r="B289" s="3" t="s">
        <v>225</v>
      </c>
      <c r="C289" s="4"/>
      <c r="D289" s="4"/>
      <c r="E289" s="4"/>
      <c r="F289" s="4"/>
      <c r="G289" s="4"/>
      <c r="H289" s="4"/>
      <c r="I289" s="4"/>
      <c r="J289" s="4"/>
      <c r="K289" s="4"/>
      <c r="L289" s="4"/>
      <c r="M289" s="4"/>
      <c r="N289" s="4"/>
      <c r="O289" s="4"/>
      <c r="P289" s="4"/>
      <c r="Q289" s="4"/>
      <c r="R289" s="4"/>
      <c r="S289" s="4"/>
      <c r="T289" s="4"/>
    </row>
    <row r="290" customFormat="false" ht="39.75" hidden="false" customHeight="true" outlineLevel="0" collapsed="false">
      <c r="B290" s="16" t="s">
        <v>147</v>
      </c>
      <c r="C290" s="17" t="s">
        <v>13</v>
      </c>
      <c r="D290" s="17" t="s">
        <v>64</v>
      </c>
      <c r="E290" s="17" t="s">
        <v>65</v>
      </c>
      <c r="F290" s="17" t="s">
        <v>66</v>
      </c>
      <c r="G290" s="17" t="s">
        <v>16</v>
      </c>
      <c r="H290" s="17" t="s">
        <v>46</v>
      </c>
      <c r="I290" s="17" t="s">
        <v>19</v>
      </c>
      <c r="J290" s="17" t="s">
        <v>28</v>
      </c>
      <c r="K290" s="17" t="s">
        <v>31</v>
      </c>
      <c r="L290" s="17" t="s">
        <v>7</v>
      </c>
      <c r="M290" s="17" t="s">
        <v>11</v>
      </c>
      <c r="N290" s="17" t="s">
        <v>23</v>
      </c>
      <c r="O290" s="17" t="s">
        <v>67</v>
      </c>
      <c r="P290" s="17" t="s">
        <v>5</v>
      </c>
      <c r="Q290" s="17" t="s">
        <v>68</v>
      </c>
      <c r="R290" s="17" t="s">
        <v>69</v>
      </c>
      <c r="S290" s="17" t="s">
        <v>56</v>
      </c>
      <c r="T290" s="17" t="s">
        <v>70</v>
      </c>
      <c r="V290" s="17" t="s">
        <v>148</v>
      </c>
      <c r="W290" s="17" t="s">
        <v>149</v>
      </c>
    </row>
    <row r="291" customFormat="false" ht="15" hidden="false" customHeight="false" outlineLevel="0" collapsed="false">
      <c r="B291" s="18" t="s">
        <v>226</v>
      </c>
      <c r="C291" s="26" t="n">
        <f aca="false">SUMPRODUCT(LT_incl*(ISNUMBER(LT_vint)*(LT_vint&gt;=$V291)*(LT_vint&lt;$W291)))</f>
        <v>28</v>
      </c>
      <c r="D291" s="23" t="n">
        <f aca="false">IFERROR(C291/StratLoans,0)</f>
        <v>0.213740458015267</v>
      </c>
      <c r="E291" s="26" t="n">
        <f aca="false">SUMPRODUCT(LT_incl*(ISNUMBER(LT_vint)*(LT_vint&gt;=$V291)*(LT_vint&lt;$W291)),LT_units)</f>
        <v>7246</v>
      </c>
      <c r="F291" s="26" t="n">
        <f aca="false">SUMPRODUCT(LT_incl*(ISNUMBER(LT_vint)*(LT_vint&gt;=$V291)*(LT_vint&lt;$W291)),LT_beds)</f>
        <v>656</v>
      </c>
      <c r="G291" s="22" t="n">
        <f aca="false">SUMPRODUCT(LT_incl*(ISNUMBER(LT_vint)*(LT_vint&gt;=$V291)*(LT_vint&lt;$W291)),LT_upb)</f>
        <v>742558654.75</v>
      </c>
      <c r="H291" s="23" t="n">
        <f aca="false">IFERROR(G291/StratUPB,0)</f>
        <v>0.199817193439726</v>
      </c>
      <c r="I291" s="22" t="n">
        <f aca="false">IFERROR(G291/C291,0)</f>
        <v>26519951.9553571</v>
      </c>
      <c r="J291" s="22" t="n">
        <f aca="false">SUMPRODUCT(LT_incl*(ISNUMBER(LT_vint)*(LT_vint&gt;=$V291)*(LT_vint&lt;$W291)),LT_unfunded)</f>
        <v>2398600.65</v>
      </c>
      <c r="K291" s="22" t="n">
        <f aca="false">SUMPRODUCT(LT_incl*(ISNUMBER(LT_vint)*(LT_vint&gt;=$V291)*(LT_vint&lt;$W291)),LT_navres)</f>
        <v>-29195392.6639286</v>
      </c>
      <c r="L291" s="24" t="n">
        <f aca="false">IFERROR(SUMPRODUCT(LT_incl*(ISNUMBER(LT_vint)*(LT_vint&gt;=$V291)*(LT_vint&lt;$W291)),LT_upb,LT_eff)/SUMPRODUCT(LT_incl*(ISNUMBER(LT_vint)*(LT_vint&gt;=$V291)*(LT_vint&lt;$W291))*ISNUMBER(LT_eff),LT_upb),0)</f>
        <v>0.036343133026388</v>
      </c>
      <c r="M291" s="24" t="n">
        <f aca="false">IFERROR(SUMPRODUCT(LT_incl*(ISNUMBER(LT_vint)*(LT_vint&gt;=$V291)*(LT_vint&lt;$W291)),LT_upb,LT_coupon)/SUMPRODUCT(LT_incl*(ISNUMBER(LT_vint)*(LT_vint&gt;=$V291)*(LT_vint&lt;$W291))*ISNUMBER(LT_coupon),LT_upb),0)</f>
        <v>0.0728431330263881</v>
      </c>
      <c r="N291" s="23" t="n">
        <f aca="false">IFERROR(SUMPRODUCT(LT_incl*(ISNUMBER(LT_vint)*(LT_vint&gt;=$V291)*(LT_vint&lt;$W291)),LT_upb,LT_ltv_asis)/SUMPRODUCT(LT_incl*(ISNUMBER(LT_vint)*(LT_vint&gt;=$V291)*(LT_vint&lt;$W291))*ISNUMBER(LT_ltv_asis),LT_upb),0)</f>
        <v>0.747333922409202</v>
      </c>
      <c r="O291" s="23" t="n">
        <f aca="false">IFERROR(SUMPRODUCT(LT_incl*(ISNUMBER(LT_vint)*(LT_vint&gt;=$V291)*(LT_vint&lt;$W291)),LT_upb,LT_ltv_stab)/SUMPRODUCT(LT_incl*(ISNUMBER(LT_vint)*(LT_vint&gt;=$V291)*(LT_vint&lt;$W291))*ISNUMBER(LT_ltv_stab),LT_upb),0)</f>
        <v>0.682094251463064</v>
      </c>
      <c r="P291" s="25" t="n">
        <f aca="false">IFERROR(SUMPRODUCT(LT_incl*(ISNUMBER(LT_vint)*(LT_vint&gt;=$V291)*(LT_vint&lt;$W291)),LT_upb,LT_seas)/SUMPRODUCT(LT_incl*(ISNUMBER(LT_vint)*(LT_vint&gt;=$V291)*(LT_vint&lt;$W291))*ISNUMBER(LT_seas),LT_upb),0)</f>
        <v>60.1499776539134</v>
      </c>
      <c r="Q291" s="25" t="n">
        <f aca="false">IFERROR(SUMPRODUCT(LT_incl*(ISNUMBER(LT_vint)*(LT_vint&gt;=$V291)*(LT_vint&lt;$W291)),LT_upb,LT_rti)/SUMPRODUCT(LT_incl*(ISNUMBER(LT_vint)*(LT_vint&gt;=$V291)*(LT_vint&lt;$W291))*ISNUMBER(LT_rti),LT_upb),0)</f>
        <v>1.27039866392011</v>
      </c>
      <c r="R291" s="25" t="n">
        <f aca="false">IFERROR(SUMPRODUCT(LT_incl*(ISNUMBER(LT_vint)*(LT_vint&gt;=$V291)*(LT_vint&lt;$W291)),LT_upb,LT_rte)/SUMPRODUCT(LT_incl*(ISNUMBER(LT_vint)*(LT_vint&gt;=$V291)*(LT_vint&lt;$W291))*ISNUMBER(LT_rte),LT_upb),0)</f>
        <v>4.4503987253152</v>
      </c>
      <c r="S291" s="23" t="n">
        <f aca="false">IFERROR(SUMPRODUCT(LT_incl*(ISNUMBER(LT_vint)*(LT_vint&gt;=$V291)*(LT_vint&lt;$W291)),LT_backdebt)/G291,0)</f>
        <v>0.429898561289377</v>
      </c>
      <c r="T291" s="23" t="n">
        <f aca="false">IFERROR(SUMPRODUCT(LT_incl*(ISNUMBER(LT_vint)*(LT_vint&gt;=$V291)*(LT_vint&lt;$W291)),LT_equity,LT_roe)/SUMPRODUCT(LT_incl*(ISNUMBER(LT_vint)*(LT_vint&gt;=$V291)*(LT_vint&lt;$W291))*ISNUMBER(LT_roe),LT_equity),0)</f>
        <v>0.0867857435472615</v>
      </c>
      <c r="V291" s="50" t="n">
        <v>-1000000000000</v>
      </c>
      <c r="W291" s="50" t="n">
        <v>2022</v>
      </c>
    </row>
    <row r="292" customFormat="false" ht="15" hidden="false" customHeight="false" outlineLevel="0" collapsed="false">
      <c r="B292" s="27" t="s">
        <v>227</v>
      </c>
      <c r="C292" s="44" t="n">
        <f aca="false">SUMPRODUCT(LT_incl*(ISNUMBER(LT_vint)*(LT_vint&gt;=$V292)*(LT_vint&lt;$W292)))</f>
        <v>14</v>
      </c>
      <c r="D292" s="32" t="n">
        <f aca="false">IFERROR(C292/StratLoans,0)</f>
        <v>0.106870229007634</v>
      </c>
      <c r="E292" s="44" t="n">
        <f aca="false">SUMPRODUCT(LT_incl*(ISNUMBER(LT_vint)*(LT_vint&gt;=$V292)*(LT_vint&lt;$W292)),LT_units)</f>
        <v>2552</v>
      </c>
      <c r="F292" s="44" t="n">
        <f aca="false">SUMPRODUCT(LT_incl*(ISNUMBER(LT_vint)*(LT_vint&gt;=$V292)*(LT_vint&lt;$W292)),LT_beds)</f>
        <v>302</v>
      </c>
      <c r="G292" s="31" t="n">
        <f aca="false">SUMPRODUCT(LT_incl*(ISNUMBER(LT_vint)*(LT_vint&gt;=$V292)*(LT_vint&lt;$W292)),LT_upb)</f>
        <v>259895102.39</v>
      </c>
      <c r="H292" s="32" t="n">
        <f aca="false">IFERROR(G292/StratUPB,0)</f>
        <v>0.0699359028624937</v>
      </c>
      <c r="I292" s="31" t="n">
        <f aca="false">IFERROR(G292/C292,0)</f>
        <v>18563935.885</v>
      </c>
      <c r="J292" s="31" t="n">
        <f aca="false">SUMPRODUCT(LT_incl*(ISNUMBER(LT_vint)*(LT_vint&gt;=$V292)*(LT_vint&lt;$W292)),LT_unfunded)</f>
        <v>5428084.46</v>
      </c>
      <c r="K292" s="31" t="n">
        <f aca="false">SUMPRODUCT(LT_incl*(ISNUMBER(LT_vint)*(LT_vint&gt;=$V292)*(LT_vint&lt;$W292)),LT_navres)</f>
        <v>-4036208.30442771</v>
      </c>
      <c r="L292" s="33" t="n">
        <f aca="false">IFERROR(SUMPRODUCT(LT_incl*(ISNUMBER(LT_vint)*(LT_vint&gt;=$V292)*(LT_vint&lt;$W292)),LT_upb,LT_eff)/SUMPRODUCT(LT_incl*(ISNUMBER(LT_vint)*(LT_vint&gt;=$V292)*(LT_vint&lt;$W292))*ISNUMBER(LT_eff),LT_upb),0)</f>
        <v>0.0412215600434578</v>
      </c>
      <c r="M292" s="33" t="n">
        <f aca="false">IFERROR(SUMPRODUCT(LT_incl*(ISNUMBER(LT_vint)*(LT_vint&gt;=$V292)*(LT_vint&lt;$W292)),LT_upb,LT_coupon)/SUMPRODUCT(LT_incl*(ISNUMBER(LT_vint)*(LT_vint&gt;=$V292)*(LT_vint&lt;$W292))*ISNUMBER(LT_coupon),LT_upb),0)</f>
        <v>0.0777215600434578</v>
      </c>
      <c r="N292" s="32" t="n">
        <f aca="false">IFERROR(SUMPRODUCT(LT_incl*(ISNUMBER(LT_vint)*(LT_vint&gt;=$V292)*(LT_vint&lt;$W292)),LT_upb,LT_ltv_asis)/SUMPRODUCT(LT_incl*(ISNUMBER(LT_vint)*(LT_vint&gt;=$V292)*(LT_vint&lt;$W292))*ISNUMBER(LT_ltv_asis),LT_upb),0)</f>
        <v>0.762188218573777</v>
      </c>
      <c r="O292" s="32" t="n">
        <f aca="false">IFERROR(SUMPRODUCT(LT_incl*(ISNUMBER(LT_vint)*(LT_vint&gt;=$V292)*(LT_vint&lt;$W292)),LT_upb,LT_ltv_stab)/SUMPRODUCT(LT_incl*(ISNUMBER(LT_vint)*(LT_vint&gt;=$V292)*(LT_vint&lt;$W292))*ISNUMBER(LT_ltv_stab),LT_upb),0)</f>
        <v>0.702506286709298</v>
      </c>
      <c r="P292" s="34" t="n">
        <f aca="false">IFERROR(SUMPRODUCT(LT_incl*(ISNUMBER(LT_vint)*(LT_vint&gt;=$V292)*(LT_vint&lt;$W292)),LT_upb,LT_seas)/SUMPRODUCT(LT_incl*(ISNUMBER(LT_vint)*(LT_vint&gt;=$V292)*(LT_vint&lt;$W292))*ISNUMBER(LT_seas),LT_upb),0)</f>
        <v>50.8799653217591</v>
      </c>
      <c r="Q292" s="34" t="n">
        <f aca="false">IFERROR(SUMPRODUCT(LT_incl*(ISNUMBER(LT_vint)*(LT_vint&gt;=$V292)*(LT_vint&lt;$W292)),LT_upb,LT_rti)/SUMPRODUCT(LT_incl*(ISNUMBER(LT_vint)*(LT_vint&gt;=$V292)*(LT_vint&lt;$W292))*ISNUMBER(LT_rti),LT_upb),0)</f>
        <v>2.03059299573124</v>
      </c>
      <c r="R292" s="34" t="n">
        <f aca="false">IFERROR(SUMPRODUCT(LT_incl*(ISNUMBER(LT_vint)*(LT_vint&gt;=$V292)*(LT_vint&lt;$W292)),LT_upb,LT_rte)/SUMPRODUCT(LT_incl*(ISNUMBER(LT_vint)*(LT_vint&gt;=$V292)*(LT_vint&lt;$W292))*ISNUMBER(LT_rte),LT_upb),0)</f>
        <v>4.82169626449028</v>
      </c>
      <c r="S292" s="32" t="n">
        <f aca="false">IFERROR(SUMPRODUCT(LT_incl*(ISNUMBER(LT_vint)*(LT_vint&gt;=$V292)*(LT_vint&lt;$W292)),LT_backdebt)/G292,0)</f>
        <v>0.498584665191389</v>
      </c>
      <c r="T292" s="32" t="n">
        <f aca="false">IFERROR(SUMPRODUCT(LT_incl*(ISNUMBER(LT_vint)*(LT_vint&gt;=$V292)*(LT_vint&lt;$W292)),LT_equity,LT_roe)/SUMPRODUCT(LT_incl*(ISNUMBER(LT_vint)*(LT_vint&gt;=$V292)*(LT_vint&lt;$W292))*ISNUMBER(LT_roe),LT_equity),0)</f>
        <v>0.0985461189834535</v>
      </c>
      <c r="V292" s="50" t="n">
        <v>2022</v>
      </c>
      <c r="W292" s="50" t="n">
        <v>2023</v>
      </c>
    </row>
    <row r="293" customFormat="false" ht="15" hidden="false" customHeight="false" outlineLevel="0" collapsed="false">
      <c r="B293" s="18" t="s">
        <v>228</v>
      </c>
      <c r="C293" s="26" t="n">
        <f aca="false">SUMPRODUCT(LT_incl*(ISNUMBER(LT_vint)*(LT_vint&gt;=$V293)*(LT_vint&lt;$W293)))</f>
        <v>9</v>
      </c>
      <c r="D293" s="23" t="n">
        <f aca="false">IFERROR(C293/StratLoans,0)</f>
        <v>0.0687022900763359</v>
      </c>
      <c r="E293" s="26" t="n">
        <f aca="false">SUMPRODUCT(LT_incl*(ISNUMBER(LT_vint)*(LT_vint&gt;=$V293)*(LT_vint&lt;$W293)),LT_units)</f>
        <v>1477</v>
      </c>
      <c r="F293" s="26" t="n">
        <f aca="false">SUMPRODUCT(LT_incl*(ISNUMBER(LT_vint)*(LT_vint&gt;=$V293)*(LT_vint&lt;$W293)),LT_beds)</f>
        <v>810</v>
      </c>
      <c r="G293" s="22" t="n">
        <f aca="false">SUMPRODUCT(LT_incl*(ISNUMBER(LT_vint)*(LT_vint&gt;=$V293)*(LT_vint&lt;$W293)),LT_upb)</f>
        <v>308268145.85</v>
      </c>
      <c r="H293" s="23" t="n">
        <f aca="false">IFERROR(G293/StratUPB,0)</f>
        <v>0.0829527409539834</v>
      </c>
      <c r="I293" s="22" t="n">
        <f aca="false">IFERROR(G293/C293,0)</f>
        <v>34252016.2055556</v>
      </c>
      <c r="J293" s="22" t="n">
        <f aca="false">SUMPRODUCT(LT_incl*(ISNUMBER(LT_vint)*(LT_vint&gt;=$V293)*(LT_vint&lt;$W293)),LT_unfunded)</f>
        <v>11895853.88</v>
      </c>
      <c r="K293" s="22" t="n">
        <f aca="false">SUMPRODUCT(LT_incl*(ISNUMBER(LT_vint)*(LT_vint&gt;=$V293)*(LT_vint&lt;$W293)),LT_navres)</f>
        <v>0</v>
      </c>
      <c r="L293" s="24" t="n">
        <f aca="false">IFERROR(SUMPRODUCT(LT_incl*(ISNUMBER(LT_vint)*(LT_vint&gt;=$V293)*(LT_vint&lt;$W293)),LT_upb,LT_eff)/SUMPRODUCT(LT_incl*(ISNUMBER(LT_vint)*(LT_vint&gt;=$V293)*(LT_vint&lt;$W293))*ISNUMBER(LT_eff),LT_upb),0)</f>
        <v>0.0469769297655443</v>
      </c>
      <c r="M293" s="24" t="n">
        <f aca="false">IFERROR(SUMPRODUCT(LT_incl*(ISNUMBER(LT_vint)*(LT_vint&gt;=$V293)*(LT_vint&lt;$W293)),LT_upb,LT_coupon)/SUMPRODUCT(LT_incl*(ISNUMBER(LT_vint)*(LT_vint&gt;=$V293)*(LT_vint&lt;$W293))*ISNUMBER(LT_coupon),LT_upb),0)</f>
        <v>0.0834769297655442</v>
      </c>
      <c r="N293" s="23" t="n">
        <f aca="false">IFERROR(SUMPRODUCT(LT_incl*(ISNUMBER(LT_vint)*(LT_vint&gt;=$V293)*(LT_vint&lt;$W293)),LT_upb,LT_ltv_asis)/SUMPRODUCT(LT_incl*(ISNUMBER(LT_vint)*(LT_vint&gt;=$V293)*(LT_vint&lt;$W293))*ISNUMBER(LT_ltv_asis),LT_upb),0)</f>
        <v>0.539142407025253</v>
      </c>
      <c r="O293" s="23" t="n">
        <f aca="false">IFERROR(SUMPRODUCT(LT_incl*(ISNUMBER(LT_vint)*(LT_vint&gt;=$V293)*(LT_vint&lt;$W293)),LT_upb,LT_ltv_stab)/SUMPRODUCT(LT_incl*(ISNUMBER(LT_vint)*(LT_vint&gt;=$V293)*(LT_vint&lt;$W293))*ISNUMBER(LT_ltv_stab),LT_upb),0)</f>
        <v>0.609544150364424</v>
      </c>
      <c r="P293" s="25" t="n">
        <f aca="false">IFERROR(SUMPRODUCT(LT_incl*(ISNUMBER(LT_vint)*(LT_vint&gt;=$V293)*(LT_vint&lt;$W293)),LT_upb,LT_seas)/SUMPRODUCT(LT_incl*(ISNUMBER(LT_vint)*(LT_vint&gt;=$V293)*(LT_vint&lt;$W293))*ISNUMBER(LT_seas),LT_upb),0)</f>
        <v>33.6716227533475</v>
      </c>
      <c r="Q293" s="25" t="n">
        <f aca="false">IFERROR(SUMPRODUCT(LT_incl*(ISNUMBER(LT_vint)*(LT_vint&gt;=$V293)*(LT_vint&lt;$W293)),LT_upb,LT_rti)/SUMPRODUCT(LT_incl*(ISNUMBER(LT_vint)*(LT_vint&gt;=$V293)*(LT_vint&lt;$W293))*ISNUMBER(LT_rti),LT_upb),0)</f>
        <v>0.668248431240592</v>
      </c>
      <c r="R293" s="25" t="n">
        <f aca="false">IFERROR(SUMPRODUCT(LT_incl*(ISNUMBER(LT_vint)*(LT_vint&gt;=$V293)*(LT_vint&lt;$W293)),LT_upb,LT_rte)/SUMPRODUCT(LT_incl*(ISNUMBER(LT_vint)*(LT_vint&gt;=$V293)*(LT_vint&lt;$W293))*ISNUMBER(LT_rte),LT_upb),0)</f>
        <v>11.0439002689055</v>
      </c>
      <c r="S293" s="23" t="n">
        <f aca="false">IFERROR(SUMPRODUCT(LT_incl*(ISNUMBER(LT_vint)*(LT_vint&gt;=$V293)*(LT_vint&lt;$W293)),LT_backdebt)/G293,0)</f>
        <v>0.718908459491556</v>
      </c>
      <c r="T293" s="23" t="n">
        <f aca="false">IFERROR(SUMPRODUCT(LT_incl*(ISNUMBER(LT_vint)*(LT_vint&gt;=$V293)*(LT_vint&lt;$W293)),LT_equity,LT_roe)/SUMPRODUCT(LT_incl*(ISNUMBER(LT_vint)*(LT_vint&gt;=$V293)*(LT_vint&lt;$W293))*ISNUMBER(LT_roe),LT_equity),0)</f>
        <v>0.155174212479942</v>
      </c>
      <c r="V293" s="50" t="n">
        <v>2023</v>
      </c>
      <c r="W293" s="50" t="n">
        <v>2024</v>
      </c>
    </row>
    <row r="294" customFormat="false" ht="15" hidden="false" customHeight="false" outlineLevel="0" collapsed="false">
      <c r="B294" s="27" t="s">
        <v>229</v>
      </c>
      <c r="C294" s="44" t="n">
        <f aca="false">SUMPRODUCT(LT_incl*(ISNUMBER(LT_vint)*(LT_vint&gt;=$V294)*(LT_vint&lt;$W294)))</f>
        <v>21</v>
      </c>
      <c r="D294" s="32" t="n">
        <f aca="false">IFERROR(C294/StratLoans,0)</f>
        <v>0.16030534351145</v>
      </c>
      <c r="E294" s="44" t="n">
        <f aca="false">SUMPRODUCT(LT_incl*(ISNUMBER(LT_vint)*(LT_vint&gt;=$V294)*(LT_vint&lt;$W294)),LT_units)</f>
        <v>2713</v>
      </c>
      <c r="F294" s="44" t="n">
        <f aca="false">SUMPRODUCT(LT_incl*(ISNUMBER(LT_vint)*(LT_vint&gt;=$V294)*(LT_vint&lt;$W294)),LT_beds)</f>
        <v>1715</v>
      </c>
      <c r="G294" s="31" t="n">
        <f aca="false">SUMPRODUCT(LT_incl*(ISNUMBER(LT_vint)*(LT_vint&gt;=$V294)*(LT_vint&lt;$W294)),LT_upb)</f>
        <v>598853071.64</v>
      </c>
      <c r="H294" s="32" t="n">
        <f aca="false">IFERROR(G294/StratUPB,0)</f>
        <v>0.161147054569246</v>
      </c>
      <c r="I294" s="31" t="n">
        <f aca="false">IFERROR(G294/C294,0)</f>
        <v>28516812.9352381</v>
      </c>
      <c r="J294" s="31" t="n">
        <f aca="false">SUMPRODUCT(LT_incl*(ISNUMBER(LT_vint)*(LT_vint&gt;=$V294)*(LT_vint&lt;$W294)),LT_unfunded)</f>
        <v>22624132.09</v>
      </c>
      <c r="K294" s="31" t="n">
        <f aca="false">SUMPRODUCT(LT_incl*(ISNUMBER(LT_vint)*(LT_vint&gt;=$V294)*(LT_vint&lt;$W294)),LT_navres)</f>
        <v>0</v>
      </c>
      <c r="L294" s="33" t="n">
        <f aca="false">IFERROR(SUMPRODUCT(LT_incl*(ISNUMBER(LT_vint)*(LT_vint&gt;=$V294)*(LT_vint&lt;$W294)),LT_upb,LT_eff)/SUMPRODUCT(LT_incl*(ISNUMBER(LT_vint)*(LT_vint&gt;=$V294)*(LT_vint&lt;$W294))*ISNUMBER(LT_eff),LT_upb),0)</f>
        <v>0.0375766567231246</v>
      </c>
      <c r="M294" s="33" t="n">
        <f aca="false">IFERROR(SUMPRODUCT(LT_incl*(ISNUMBER(LT_vint)*(LT_vint&gt;=$V294)*(LT_vint&lt;$W294)),LT_upb,LT_coupon)/SUMPRODUCT(LT_incl*(ISNUMBER(LT_vint)*(LT_vint&gt;=$V294)*(LT_vint&lt;$W294))*ISNUMBER(LT_coupon),LT_upb),0)</f>
        <v>0.0740766567231246</v>
      </c>
      <c r="N294" s="32" t="n">
        <f aca="false">IFERROR(SUMPRODUCT(LT_incl*(ISNUMBER(LT_vint)*(LT_vint&gt;=$V294)*(LT_vint&lt;$W294)),LT_upb,LT_ltv_asis)/SUMPRODUCT(LT_incl*(ISNUMBER(LT_vint)*(LT_vint&gt;=$V294)*(LT_vint&lt;$W294))*ISNUMBER(LT_ltv_asis),LT_upb),0)</f>
        <v>0.645179365720204</v>
      </c>
      <c r="O294" s="32" t="n">
        <f aca="false">IFERROR(SUMPRODUCT(LT_incl*(ISNUMBER(LT_vint)*(LT_vint&gt;=$V294)*(LT_vint&lt;$W294)),LT_upb,LT_ltv_stab)/SUMPRODUCT(LT_incl*(ISNUMBER(LT_vint)*(LT_vint&gt;=$V294)*(LT_vint&lt;$W294))*ISNUMBER(LT_ltv_stab),LT_upb),0)</f>
        <v>0.636139041978631</v>
      </c>
      <c r="P294" s="34" t="n">
        <f aca="false">IFERROR(SUMPRODUCT(LT_incl*(ISNUMBER(LT_vint)*(LT_vint&gt;=$V294)*(LT_vint&lt;$W294)),LT_upb,LT_seas)/SUMPRODUCT(LT_incl*(ISNUMBER(LT_vint)*(LT_vint&gt;=$V294)*(LT_vint&lt;$W294))*ISNUMBER(LT_seas),LT_upb),0)</f>
        <v>22.2422317816746</v>
      </c>
      <c r="Q294" s="34" t="n">
        <f aca="false">IFERROR(SUMPRODUCT(LT_incl*(ISNUMBER(LT_vint)*(LT_vint&gt;=$V294)*(LT_vint&lt;$W294)),LT_upb,LT_rti)/SUMPRODUCT(LT_incl*(ISNUMBER(LT_vint)*(LT_vint&gt;=$V294)*(LT_vint&lt;$W294))*ISNUMBER(LT_rti),LT_upb),0)</f>
        <v>5.21049370906065</v>
      </c>
      <c r="R294" s="34" t="n">
        <f aca="false">IFERROR(SUMPRODUCT(LT_incl*(ISNUMBER(LT_vint)*(LT_vint&gt;=$V294)*(LT_vint&lt;$W294)),LT_upb,LT_rte)/SUMPRODUCT(LT_incl*(ISNUMBER(LT_vint)*(LT_vint&gt;=$V294)*(LT_vint&lt;$W294))*ISNUMBER(LT_rte),LT_upb),0)</f>
        <v>26.5727975836225</v>
      </c>
      <c r="S294" s="32" t="n">
        <f aca="false">IFERROR(SUMPRODUCT(LT_incl*(ISNUMBER(LT_vint)*(LT_vint&gt;=$V294)*(LT_vint&lt;$W294)),LT_backdebt)/G294,0)</f>
        <v>0.728470283050812</v>
      </c>
      <c r="T294" s="32" t="n">
        <f aca="false">IFERROR(SUMPRODUCT(LT_incl*(ISNUMBER(LT_vint)*(LT_vint&gt;=$V294)*(LT_vint&lt;$W294)),LT_equity,LT_roe)/SUMPRODUCT(LT_incl*(ISNUMBER(LT_vint)*(LT_vint&gt;=$V294)*(LT_vint&lt;$W294))*ISNUMBER(LT_roe),LT_equity),0)</f>
        <v>0.12505146784216</v>
      </c>
      <c r="V294" s="50" t="n">
        <v>2024</v>
      </c>
      <c r="W294" s="50" t="n">
        <v>2025</v>
      </c>
    </row>
    <row r="295" customFormat="false" ht="15" hidden="false" customHeight="false" outlineLevel="0" collapsed="false">
      <c r="B295" s="18" t="s">
        <v>230</v>
      </c>
      <c r="C295" s="26" t="n">
        <f aca="false">SUMPRODUCT(LT_incl*(ISNUMBER(LT_vint)*(LT_vint&gt;=$V295)*(LT_vint&lt;$W295)))</f>
        <v>35</v>
      </c>
      <c r="D295" s="23" t="n">
        <f aca="false">IFERROR(C295/StratLoans,0)</f>
        <v>0.267175572519084</v>
      </c>
      <c r="E295" s="26" t="n">
        <f aca="false">SUMPRODUCT(LT_incl*(ISNUMBER(LT_vint)*(LT_vint&gt;=$V295)*(LT_vint&lt;$W295)),LT_units)</f>
        <v>5913</v>
      </c>
      <c r="F295" s="26" t="n">
        <f aca="false">SUMPRODUCT(LT_incl*(ISNUMBER(LT_vint)*(LT_vint&gt;=$V295)*(LT_vint&lt;$W295)),LT_beds)</f>
        <v>3065</v>
      </c>
      <c r="G295" s="22" t="n">
        <f aca="false">SUMPRODUCT(LT_incl*(ISNUMBER(LT_vint)*(LT_vint&gt;=$V295)*(LT_vint&lt;$W295)),LT_upb)</f>
        <v>1243838065.78</v>
      </c>
      <c r="H295" s="23" t="n">
        <f aca="false">IFERROR(G295/StratUPB,0)</f>
        <v>0.334707877698003</v>
      </c>
      <c r="I295" s="22" t="n">
        <f aca="false">IFERROR(G295/C295,0)</f>
        <v>35538230.4508571</v>
      </c>
      <c r="J295" s="22" t="n">
        <f aca="false">SUMPRODUCT(LT_incl*(ISNUMBER(LT_vint)*(LT_vint&gt;=$V295)*(LT_vint&lt;$W295)),LT_unfunded)</f>
        <v>18788827.19</v>
      </c>
      <c r="K295" s="22" t="n">
        <f aca="false">SUMPRODUCT(LT_incl*(ISNUMBER(LT_vint)*(LT_vint&gt;=$V295)*(LT_vint&lt;$W295)),LT_navres)</f>
        <v>-2529654.06269062</v>
      </c>
      <c r="L295" s="24" t="n">
        <f aca="false">IFERROR(SUMPRODUCT(LT_incl*(ISNUMBER(LT_vint)*(LT_vint&gt;=$V295)*(LT_vint&lt;$W295)),LT_upb,LT_eff)/SUMPRODUCT(LT_incl*(ISNUMBER(LT_vint)*(LT_vint&gt;=$V295)*(LT_vint&lt;$W295))*ISNUMBER(LT_eff),LT_upb),0)</f>
        <v>0.0376138518508285</v>
      </c>
      <c r="M295" s="24" t="n">
        <f aca="false">IFERROR(SUMPRODUCT(LT_incl*(ISNUMBER(LT_vint)*(LT_vint&gt;=$V295)*(LT_vint&lt;$W295)),LT_upb,LT_coupon)/SUMPRODUCT(LT_incl*(ISNUMBER(LT_vint)*(LT_vint&gt;=$V295)*(LT_vint&lt;$W295))*ISNUMBER(LT_coupon),LT_upb),0)</f>
        <v>0.0741138518508285</v>
      </c>
      <c r="N295" s="23" t="n">
        <f aca="false">IFERROR(SUMPRODUCT(LT_incl*(ISNUMBER(LT_vint)*(LT_vint&gt;=$V295)*(LT_vint&lt;$W295)),LT_upb,LT_ltv_asis)/SUMPRODUCT(LT_incl*(ISNUMBER(LT_vint)*(LT_vint&gt;=$V295)*(LT_vint&lt;$W295))*ISNUMBER(LT_ltv_asis),LT_upb),0)</f>
        <v>0.687474590732275</v>
      </c>
      <c r="O295" s="23" t="n">
        <f aca="false">IFERROR(SUMPRODUCT(LT_incl*(ISNUMBER(LT_vint)*(LT_vint&gt;=$V295)*(LT_vint&lt;$W295)),LT_upb,LT_ltv_stab)/SUMPRODUCT(LT_incl*(ISNUMBER(LT_vint)*(LT_vint&gt;=$V295)*(LT_vint&lt;$W295))*ISNUMBER(LT_ltv_stab),LT_upb),0)</f>
        <v>0.6627772111434</v>
      </c>
      <c r="P295" s="25" t="n">
        <f aca="false">IFERROR(SUMPRODUCT(LT_incl*(ISNUMBER(LT_vint)*(LT_vint&gt;=$V295)*(LT_vint&lt;$W295)),LT_upb,LT_seas)/SUMPRODUCT(LT_incl*(ISNUMBER(LT_vint)*(LT_vint&gt;=$V295)*(LT_vint&lt;$W295))*ISNUMBER(LT_seas),LT_upb),0)</f>
        <v>10.791382719079</v>
      </c>
      <c r="Q295" s="25" t="n">
        <f aca="false">IFERROR(SUMPRODUCT(LT_incl*(ISNUMBER(LT_vint)*(LT_vint&gt;=$V295)*(LT_vint&lt;$W295)),LT_upb,LT_rti)/SUMPRODUCT(LT_incl*(ISNUMBER(LT_vint)*(LT_vint&gt;=$V295)*(LT_vint&lt;$W295))*ISNUMBER(LT_rti),LT_upb),0)</f>
        <v>16.4416261265746</v>
      </c>
      <c r="R295" s="25" t="n">
        <f aca="false">IFERROR(SUMPRODUCT(LT_incl*(ISNUMBER(LT_vint)*(LT_vint&gt;=$V295)*(LT_vint&lt;$W295)),LT_upb,LT_rte)/SUMPRODUCT(LT_incl*(ISNUMBER(LT_vint)*(LT_vint&gt;=$V295)*(LT_vint&lt;$W295))*ISNUMBER(LT_rte),LT_upb),0)</f>
        <v>32.6699753183564</v>
      </c>
      <c r="S295" s="23" t="n">
        <f aca="false">IFERROR(SUMPRODUCT(LT_incl*(ISNUMBER(LT_vint)*(LT_vint&gt;=$V295)*(LT_vint&lt;$W295)),LT_backdebt)/G295,0)</f>
        <v>0.664168666419153</v>
      </c>
      <c r="T295" s="23" t="n">
        <f aca="false">IFERROR(SUMPRODUCT(LT_incl*(ISNUMBER(LT_vint)*(LT_vint&gt;=$V295)*(LT_vint&lt;$W295)),LT_equity,LT_roe)/SUMPRODUCT(LT_incl*(ISNUMBER(LT_vint)*(LT_vint&gt;=$V295)*(LT_vint&lt;$W295))*ISNUMBER(LT_roe),LT_equity),0)</f>
        <v>0.111257669534167</v>
      </c>
      <c r="V295" s="50" t="n">
        <v>2025</v>
      </c>
      <c r="W295" s="50" t="n">
        <v>2026</v>
      </c>
    </row>
    <row r="296" customFormat="false" ht="15" hidden="false" customHeight="false" outlineLevel="0" collapsed="false">
      <c r="B296" s="27" t="s">
        <v>217</v>
      </c>
      <c r="C296" s="44" t="n">
        <f aca="false">SUMPRODUCT(LT_incl*(ISNUMBER(LT_vint)*(LT_vint&gt;=$V296)*(LT_vint&lt;$W296)))</f>
        <v>24</v>
      </c>
      <c r="D296" s="32" t="n">
        <f aca="false">IFERROR(C296/StratLoans,0)</f>
        <v>0.183206106870229</v>
      </c>
      <c r="E296" s="44" t="n">
        <f aca="false">SUMPRODUCT(LT_incl*(ISNUMBER(LT_vint)*(LT_vint&gt;=$V296)*(LT_vint&lt;$W296)),LT_units)</f>
        <v>2459</v>
      </c>
      <c r="F296" s="44" t="n">
        <f aca="false">SUMPRODUCT(LT_incl*(ISNUMBER(LT_vint)*(LT_vint&gt;=$V296)*(LT_vint&lt;$W296)),LT_beds)</f>
        <v>2178</v>
      </c>
      <c r="G296" s="31" t="n">
        <f aca="false">SUMPRODUCT(LT_incl*(ISNUMBER(LT_vint)*(LT_vint&gt;=$V296)*(LT_vint&lt;$W296)),LT_upb)</f>
        <v>562776952.89</v>
      </c>
      <c r="H296" s="32" t="n">
        <f aca="false">IFERROR(G296/StratUPB,0)</f>
        <v>0.151439230476548</v>
      </c>
      <c r="I296" s="31" t="n">
        <f aca="false">IFERROR(G296/C296,0)</f>
        <v>23449039.70375</v>
      </c>
      <c r="J296" s="31" t="n">
        <f aca="false">SUMPRODUCT(LT_incl*(ISNUMBER(LT_vint)*(LT_vint&gt;=$V296)*(LT_vint&lt;$W296)),LT_unfunded)</f>
        <v>9290000</v>
      </c>
      <c r="K296" s="31" t="n">
        <f aca="false">SUMPRODUCT(LT_incl*(ISNUMBER(LT_vint)*(LT_vint&gt;=$V296)*(LT_vint&lt;$W296)),LT_navres)</f>
        <v>0</v>
      </c>
      <c r="L296" s="33" t="n">
        <f aca="false">IFERROR(SUMPRODUCT(LT_incl*(ISNUMBER(LT_vint)*(LT_vint&gt;=$V296)*(LT_vint&lt;$W296)),LT_upb,LT_eff)/SUMPRODUCT(LT_incl*(ISNUMBER(LT_vint)*(LT_vint&gt;=$V296)*(LT_vint&lt;$W296))*ISNUMBER(LT_eff),LT_upb),0)</f>
        <v>0.0377956493099452</v>
      </c>
      <c r="M296" s="33" t="n">
        <f aca="false">IFERROR(SUMPRODUCT(LT_incl*(ISNUMBER(LT_vint)*(LT_vint&gt;=$V296)*(LT_vint&lt;$W296)),LT_upb,LT_coupon)/SUMPRODUCT(LT_incl*(ISNUMBER(LT_vint)*(LT_vint&gt;=$V296)*(LT_vint&lt;$W296))*ISNUMBER(LT_coupon),LT_upb),0)</f>
        <v>0.0742956493099452</v>
      </c>
      <c r="N296" s="32" t="n">
        <f aca="false">IFERROR(SUMPRODUCT(LT_incl*(ISNUMBER(LT_vint)*(LT_vint&gt;=$V296)*(LT_vint&lt;$W296)),LT_upb,LT_ltv_asis)/SUMPRODUCT(LT_incl*(ISNUMBER(LT_vint)*(LT_vint&gt;=$V296)*(LT_vint&lt;$W296))*ISNUMBER(LT_ltv_asis),LT_upb),0)</f>
        <v>0.691170526667719</v>
      </c>
      <c r="O296" s="32" t="n">
        <f aca="false">IFERROR(SUMPRODUCT(LT_incl*(ISNUMBER(LT_vint)*(LT_vint&gt;=$V296)*(LT_vint&lt;$W296)),LT_upb,LT_ltv_stab)/SUMPRODUCT(LT_incl*(ISNUMBER(LT_vint)*(LT_vint&gt;=$V296)*(LT_vint&lt;$W296))*ISNUMBER(LT_ltv_stab),LT_upb),0)</f>
        <v>0.651618530652639</v>
      </c>
      <c r="P296" s="34" t="n">
        <f aca="false">IFERROR(SUMPRODUCT(LT_incl*(ISNUMBER(LT_vint)*(LT_vint&gt;=$V296)*(LT_vint&lt;$W296)),LT_upb,LT_seas)/SUMPRODUCT(LT_incl*(ISNUMBER(LT_vint)*(LT_vint&gt;=$V296)*(LT_vint&lt;$W296))*ISNUMBER(LT_seas),LT_upb),0)</f>
        <v>2.99127772398241</v>
      </c>
      <c r="Q296" s="34" t="n">
        <f aca="false">IFERROR(SUMPRODUCT(LT_incl*(ISNUMBER(LT_vint)*(LT_vint&gt;=$V296)*(LT_vint&lt;$W296)),LT_upb,LT_rti)/SUMPRODUCT(LT_incl*(ISNUMBER(LT_vint)*(LT_vint&gt;=$V296)*(LT_vint&lt;$W296))*ISNUMBER(LT_rti),LT_upb),0)</f>
        <v>25.9004898305947</v>
      </c>
      <c r="R296" s="34" t="n">
        <f aca="false">IFERROR(SUMPRODUCT(LT_incl*(ISNUMBER(LT_vint)*(LT_vint&gt;=$V296)*(LT_vint&lt;$W296)),LT_upb,LT_rte)/SUMPRODUCT(LT_incl*(ISNUMBER(LT_vint)*(LT_vint&gt;=$V296)*(LT_vint&lt;$W296))*ISNUMBER(LT_rte),LT_upb),0)</f>
        <v>37.5852008141804</v>
      </c>
      <c r="S296" s="32" t="n">
        <f aca="false">IFERROR(SUMPRODUCT(LT_incl*(ISNUMBER(LT_vint)*(LT_vint&gt;=$V296)*(LT_vint&lt;$W296)),LT_backdebt)/G296,0)</f>
        <v>0.712540053754681</v>
      </c>
      <c r="T296" s="32" t="n">
        <f aca="false">IFERROR(SUMPRODUCT(LT_incl*(ISNUMBER(LT_vint)*(LT_vint&gt;=$V296)*(LT_vint&lt;$W296)),LT_equity,LT_roe)/SUMPRODUCT(LT_incl*(ISNUMBER(LT_vint)*(LT_vint&gt;=$V296)*(LT_vint&lt;$W296))*ISNUMBER(LT_roe),LT_equity),0)</f>
        <v>0.119985459438114</v>
      </c>
      <c r="V296" s="50" t="n">
        <v>2026</v>
      </c>
      <c r="W296" s="50" t="n">
        <v>1000000000000</v>
      </c>
    </row>
    <row r="297" customFormat="false" ht="15" hidden="false" customHeight="false" outlineLevel="0" collapsed="false">
      <c r="B297" s="35" t="s">
        <v>76</v>
      </c>
      <c r="C297" s="45" t="n">
        <f aca="false">SUMPRODUCT(LT_incl*(1))</f>
        <v>131</v>
      </c>
      <c r="D297" s="38" t="n">
        <f aca="false">IFERROR(C297/StratLoans,0)</f>
        <v>1</v>
      </c>
      <c r="E297" s="45" t="n">
        <f aca="false">SUMPRODUCT(LT_incl*(1),LT_units)</f>
        <v>22360</v>
      </c>
      <c r="F297" s="45" t="n">
        <f aca="false">SUMPRODUCT(LT_incl*(1),LT_beds)</f>
        <v>8726</v>
      </c>
      <c r="G297" s="37" t="n">
        <f aca="false">SUMPRODUCT(LT_incl*(1),LT_upb)</f>
        <v>3716189993.3</v>
      </c>
      <c r="H297" s="38" t="n">
        <f aca="false">IFERROR(G297/StratUPB,0)</f>
        <v>1</v>
      </c>
      <c r="I297" s="37" t="n">
        <f aca="false">IFERROR(G297/C297,0)</f>
        <v>28367862.5442748</v>
      </c>
      <c r="J297" s="37" t="n">
        <f aca="false">SUMPRODUCT(LT_incl*(1),LT_unfunded)</f>
        <v>70425498.27</v>
      </c>
      <c r="K297" s="37" t="n">
        <f aca="false">SUMPRODUCT(LT_incl*(1),LT_navres)</f>
        <v>-35761255.0310469</v>
      </c>
      <c r="L297" s="39" t="n">
        <f aca="false">IFERROR(SUMPRODUCT(LT_incl*(1),LT_upb,LT_eff)/SUMPRODUCT(LT_incl*(1)*ISNUMBER(LT_eff),LT_upb),0)</f>
        <v>0.0384104790702225</v>
      </c>
      <c r="M297" s="39" t="n">
        <f aca="false">IFERROR(SUMPRODUCT(LT_incl*(1),LT_upb,LT_coupon)/SUMPRODUCT(LT_incl*(1)*ISNUMBER(LT_coupon),LT_upb),0)</f>
        <v>0.0749104790702225</v>
      </c>
      <c r="N297" s="38" t="n">
        <f aca="false">IFERROR(SUMPRODUCT(LT_incl*(1),LT_upb,LT_ltv_asis)/SUMPRODUCT(LT_incl*(1)*ISNUMBER(LT_ltv_asis),LT_upb),0)</f>
        <v>0.685976245136614</v>
      </c>
      <c r="O297" s="38" t="n">
        <f aca="false">IFERROR(SUMPRODUCT(LT_incl*(1),LT_upb,LT_ltv_stab)/SUMPRODUCT(LT_incl*(1)*ISNUMBER(LT_ltv_stab),LT_upb),0)</f>
        <v>0.658970555756018</v>
      </c>
      <c r="P297" s="40" t="n">
        <f aca="false">IFERROR(SUMPRODUCT(LT_incl*(1),LT_upb,LT_seas)/SUMPRODUCT(LT_incl*(1)*ISNUMBER(LT_seas),LT_upb),0)</f>
        <v>26.0197171750702</v>
      </c>
      <c r="Q297" s="40" t="n">
        <f aca="false">IFERROR(SUMPRODUCT(LT_incl*(1),LT_upb,LT_rti)/SUMPRODUCT(LT_incl*(1)*ISNUMBER(LT_rti),LT_upb),0)</f>
        <v>10.7164396387939</v>
      </c>
      <c r="R297" s="40" t="n">
        <f aca="false">IFERROR(SUMPRODUCT(LT_incl*(1),LT_upb,LT_rte)/SUMPRODUCT(LT_incl*(1)*ISNUMBER(LT_rte),LT_upb),0)</f>
        <v>23.051497716819</v>
      </c>
      <c r="S297" s="38" t="n">
        <f aca="false">IFERROR(SUMPRODUCT(LT_incl*(1),LT_backdebt)/G297,0)</f>
        <v>0.628005362553862</v>
      </c>
      <c r="T297" s="38" t="n">
        <f aca="false">IFERROR(SUMPRODUCT(LT_incl*(1),LT_equity,LT_roe)/SUMPRODUCT(LT_incl*(1)*ISNUMBER(LT_roe),LT_equity),0)</f>
        <v>0.107961987212177</v>
      </c>
    </row>
    <row r="299" customFormat="false" ht="15" hidden="false" customHeight="false" outlineLevel="0" collapsed="false">
      <c r="B299" s="3" t="s">
        <v>231</v>
      </c>
      <c r="C299" s="4"/>
      <c r="D299" s="4"/>
      <c r="E299" s="4"/>
      <c r="F299" s="4"/>
      <c r="G299" s="4"/>
      <c r="H299" s="4"/>
      <c r="I299" s="4"/>
      <c r="J299" s="4"/>
      <c r="K299" s="4"/>
      <c r="L299" s="4"/>
      <c r="M299" s="4"/>
      <c r="N299" s="4"/>
      <c r="O299" s="4"/>
      <c r="P299" s="4"/>
      <c r="Q299" s="4"/>
      <c r="R299" s="4"/>
      <c r="S299" s="4"/>
      <c r="T299" s="4"/>
    </row>
    <row r="300" customFormat="false" ht="39.75" hidden="false" customHeight="true" outlineLevel="0" collapsed="false">
      <c r="B300" s="16" t="s">
        <v>147</v>
      </c>
      <c r="C300" s="17" t="s">
        <v>13</v>
      </c>
      <c r="D300" s="17" t="s">
        <v>64</v>
      </c>
      <c r="E300" s="17" t="s">
        <v>65</v>
      </c>
      <c r="F300" s="17" t="s">
        <v>66</v>
      </c>
      <c r="G300" s="17" t="s">
        <v>16</v>
      </c>
      <c r="H300" s="17" t="s">
        <v>46</v>
      </c>
      <c r="I300" s="17" t="s">
        <v>19</v>
      </c>
      <c r="J300" s="17" t="s">
        <v>28</v>
      </c>
      <c r="K300" s="17" t="s">
        <v>31</v>
      </c>
      <c r="L300" s="17" t="s">
        <v>7</v>
      </c>
      <c r="M300" s="17" t="s">
        <v>11</v>
      </c>
      <c r="N300" s="17" t="s">
        <v>23</v>
      </c>
      <c r="O300" s="17" t="s">
        <v>67</v>
      </c>
      <c r="P300" s="17" t="s">
        <v>5</v>
      </c>
      <c r="Q300" s="17" t="s">
        <v>68</v>
      </c>
      <c r="R300" s="17" t="s">
        <v>69</v>
      </c>
      <c r="S300" s="17" t="s">
        <v>56</v>
      </c>
      <c r="T300" s="17" t="s">
        <v>70</v>
      </c>
      <c r="V300" s="17" t="s">
        <v>148</v>
      </c>
      <c r="W300" s="17" t="s">
        <v>149</v>
      </c>
    </row>
    <row r="301" customFormat="false" ht="15" hidden="false" customHeight="false" outlineLevel="0" collapsed="false">
      <c r="B301" s="18" t="s">
        <v>232</v>
      </c>
      <c r="C301" s="26" t="n">
        <f aca="false">SUMPRODUCT(LT_incl*(ISNUMBER(LT_yb)*(LT_yb&gt;=$V301)*(LT_yb&lt;$W301)))</f>
        <v>40</v>
      </c>
      <c r="D301" s="23" t="n">
        <f aca="false">IFERROR(C301/StratLoans,0)</f>
        <v>0.305343511450382</v>
      </c>
      <c r="E301" s="26" t="n">
        <f aca="false">SUMPRODUCT(LT_incl*(ISNUMBER(LT_yb)*(LT_yb&gt;=$V301)*(LT_yb&lt;$W301)),LT_units)</f>
        <v>7963</v>
      </c>
      <c r="F301" s="26" t="n">
        <f aca="false">SUMPRODUCT(LT_incl*(ISNUMBER(LT_yb)*(LT_yb&gt;=$V301)*(LT_yb&lt;$W301)),LT_beds)</f>
        <v>3122</v>
      </c>
      <c r="G301" s="22" t="n">
        <f aca="false">SUMPRODUCT(LT_incl*(ISNUMBER(LT_yb)*(LT_yb&gt;=$V301)*(LT_yb&lt;$W301)),LT_upb)</f>
        <v>967940946.76</v>
      </c>
      <c r="H301" s="23" t="n">
        <f aca="false">IFERROR(G301/StratUPB,0)</f>
        <v>0.260465947248424</v>
      </c>
      <c r="I301" s="22" t="n">
        <f aca="false">IFERROR(G301/C301,0)</f>
        <v>24198523.669</v>
      </c>
      <c r="J301" s="22" t="n">
        <f aca="false">SUMPRODUCT(LT_incl*(ISNUMBER(LT_yb)*(LT_yb&gt;=$V301)*(LT_yb&lt;$W301)),LT_unfunded)</f>
        <v>18275497.86</v>
      </c>
      <c r="K301" s="22" t="n">
        <f aca="false">SUMPRODUCT(LT_incl*(ISNUMBER(LT_yb)*(LT_yb&gt;=$V301)*(LT_yb&lt;$W301)),LT_navres)</f>
        <v>-14082904.521758</v>
      </c>
      <c r="L301" s="24" t="n">
        <f aca="false">IFERROR(SUMPRODUCT(LT_incl*(ISNUMBER(LT_yb)*(LT_yb&gt;=$V301)*(LT_yb&lt;$W301)),LT_upb,LT_eff)/SUMPRODUCT(LT_incl*(ISNUMBER(LT_yb)*(LT_yb&gt;=$V301)*(LT_yb&lt;$W301))*ISNUMBER(LT_eff),LT_upb),0)</f>
        <v>0.0416459799603147</v>
      </c>
      <c r="M301" s="24" t="n">
        <f aca="false">IFERROR(SUMPRODUCT(LT_incl*(ISNUMBER(LT_yb)*(LT_yb&gt;=$V301)*(LT_yb&lt;$W301)),LT_upb,LT_coupon)/SUMPRODUCT(LT_incl*(ISNUMBER(LT_yb)*(LT_yb&gt;=$V301)*(LT_yb&lt;$W301))*ISNUMBER(LT_coupon),LT_upb),0)</f>
        <v>0.0781459799603147</v>
      </c>
      <c r="N301" s="23" t="n">
        <f aca="false">IFERROR(SUMPRODUCT(LT_incl*(ISNUMBER(LT_yb)*(LT_yb&gt;=$V301)*(LT_yb&lt;$W301)),LT_upb,LT_ltv_asis)/SUMPRODUCT(LT_incl*(ISNUMBER(LT_yb)*(LT_yb&gt;=$V301)*(LT_yb&lt;$W301))*ISNUMBER(LT_ltv_asis),LT_upb),0)</f>
        <v>0.680066965440249</v>
      </c>
      <c r="O301" s="23" t="n">
        <f aca="false">IFERROR(SUMPRODUCT(LT_incl*(ISNUMBER(LT_yb)*(LT_yb&gt;=$V301)*(LT_yb&lt;$W301)),LT_upb,LT_ltv_stab)/SUMPRODUCT(LT_incl*(ISNUMBER(LT_yb)*(LT_yb&gt;=$V301)*(LT_yb&lt;$W301))*ISNUMBER(LT_ltv_stab),LT_upb),0)</f>
        <v>0.642940368437885</v>
      </c>
      <c r="P301" s="25" t="n">
        <f aca="false">IFERROR(SUMPRODUCT(LT_incl*(ISNUMBER(LT_yb)*(LT_yb&gt;=$V301)*(LT_yb&lt;$W301)),LT_upb,LT_seas)/SUMPRODUCT(LT_incl*(ISNUMBER(LT_yb)*(LT_yb&gt;=$V301)*(LT_yb&lt;$W301))*ISNUMBER(LT_seas),LT_upb),0)</f>
        <v>26.5307814999954</v>
      </c>
      <c r="Q301" s="25" t="n">
        <f aca="false">IFERROR(SUMPRODUCT(LT_incl*(ISNUMBER(LT_yb)*(LT_yb&gt;=$V301)*(LT_yb&lt;$W301)),LT_upb,LT_rti)/SUMPRODUCT(LT_incl*(ISNUMBER(LT_yb)*(LT_yb&gt;=$V301)*(LT_yb&lt;$W301))*ISNUMBER(LT_rti),LT_upb),0)</f>
        <v>11.8014821289269</v>
      </c>
      <c r="R301" s="25" t="n">
        <f aca="false">IFERROR(SUMPRODUCT(LT_incl*(ISNUMBER(LT_yb)*(LT_yb&gt;=$V301)*(LT_yb&lt;$W301)),LT_upb,LT_rte)/SUMPRODUCT(LT_incl*(ISNUMBER(LT_yb)*(LT_yb&gt;=$V301)*(LT_yb&lt;$W301))*ISNUMBER(LT_rte),LT_upb),0)</f>
        <v>23.8443896796096</v>
      </c>
      <c r="S301" s="23" t="n">
        <f aca="false">IFERROR(SUMPRODUCT(LT_incl*(ISNUMBER(LT_yb)*(LT_yb&gt;=$V301)*(LT_yb&lt;$W301)),LT_backdebt)/G301,0)</f>
        <v>0.61226489886642</v>
      </c>
      <c r="T301" s="23" t="n">
        <f aca="false">IFERROR(SUMPRODUCT(LT_incl*(ISNUMBER(LT_yb)*(LT_yb&gt;=$V301)*(LT_yb&lt;$W301)),LT_equity,LT_roe)/SUMPRODUCT(LT_incl*(ISNUMBER(LT_yb)*(LT_yb&gt;=$V301)*(LT_yb&lt;$W301))*ISNUMBER(LT_roe),LT_equity),0)</f>
        <v>0.115415599465818</v>
      </c>
      <c r="V301" s="50" t="n">
        <v>-1000000000000</v>
      </c>
      <c r="W301" s="50" t="n">
        <v>1970</v>
      </c>
    </row>
    <row r="302" customFormat="false" ht="15" hidden="false" customHeight="false" outlineLevel="0" collapsed="false">
      <c r="B302" s="27" t="s">
        <v>233</v>
      </c>
      <c r="C302" s="44" t="n">
        <f aca="false">SUMPRODUCT(LT_incl*(ISNUMBER(LT_yb)*(LT_yb&gt;=$V302)*(LT_yb&lt;$W302)))</f>
        <v>15</v>
      </c>
      <c r="D302" s="32" t="n">
        <f aca="false">IFERROR(C302/StratLoans,0)</f>
        <v>0.114503816793893</v>
      </c>
      <c r="E302" s="44" t="n">
        <f aca="false">SUMPRODUCT(LT_incl*(ISNUMBER(LT_yb)*(LT_yb&gt;=$V302)*(LT_yb&lt;$W302)),LT_units)</f>
        <v>2685</v>
      </c>
      <c r="F302" s="44" t="n">
        <f aca="false">SUMPRODUCT(LT_incl*(ISNUMBER(LT_yb)*(LT_yb&gt;=$V302)*(LT_yb&lt;$W302)),LT_beds)</f>
        <v>653</v>
      </c>
      <c r="G302" s="31" t="n">
        <f aca="false">SUMPRODUCT(LT_incl*(ISNUMBER(LT_yb)*(LT_yb&gt;=$V302)*(LT_yb&lt;$W302)),LT_upb)</f>
        <v>339890673.36</v>
      </c>
      <c r="H302" s="32" t="n">
        <f aca="false">IFERROR(G302/StratUPB,0)</f>
        <v>0.091462135674655</v>
      </c>
      <c r="I302" s="31" t="n">
        <f aca="false">IFERROR(G302/C302,0)</f>
        <v>22659378.224</v>
      </c>
      <c r="J302" s="31" t="n">
        <f aca="false">SUMPRODUCT(LT_incl*(ISNUMBER(LT_yb)*(LT_yb&gt;=$V302)*(LT_yb&lt;$W302)),LT_unfunded)</f>
        <v>10018084.46</v>
      </c>
      <c r="K302" s="31" t="n">
        <f aca="false">SUMPRODUCT(LT_incl*(ISNUMBER(LT_yb)*(LT_yb&gt;=$V302)*(LT_yb&lt;$W302)),LT_navres)</f>
        <v>-6290686.85</v>
      </c>
      <c r="L302" s="33" t="n">
        <f aca="false">IFERROR(SUMPRODUCT(LT_incl*(ISNUMBER(LT_yb)*(LT_yb&gt;=$V302)*(LT_yb&lt;$W302)),LT_upb,LT_eff)/SUMPRODUCT(LT_incl*(ISNUMBER(LT_yb)*(LT_yb&gt;=$V302)*(LT_yb&lt;$W302))*ISNUMBER(LT_eff),LT_upb),0)</f>
        <v>0.0376350625267566</v>
      </c>
      <c r="M302" s="33" t="n">
        <f aca="false">IFERROR(SUMPRODUCT(LT_incl*(ISNUMBER(LT_yb)*(LT_yb&gt;=$V302)*(LT_yb&lt;$W302)),LT_upb,LT_coupon)/SUMPRODUCT(LT_incl*(ISNUMBER(LT_yb)*(LT_yb&gt;=$V302)*(LT_yb&lt;$W302))*ISNUMBER(LT_coupon),LT_upb),0)</f>
        <v>0.0741350625267566</v>
      </c>
      <c r="N302" s="32" t="n">
        <f aca="false">IFERROR(SUMPRODUCT(LT_incl*(ISNUMBER(LT_yb)*(LT_yb&gt;=$V302)*(LT_yb&lt;$W302)),LT_upb,LT_ltv_asis)/SUMPRODUCT(LT_incl*(ISNUMBER(LT_yb)*(LT_yb&gt;=$V302)*(LT_yb&lt;$W302))*ISNUMBER(LT_ltv_asis),LT_upb),0)</f>
        <v>0.732106686119556</v>
      </c>
      <c r="O302" s="32" t="n">
        <f aca="false">IFERROR(SUMPRODUCT(LT_incl*(ISNUMBER(LT_yb)*(LT_yb&gt;=$V302)*(LT_yb&lt;$W302)),LT_upb,LT_ltv_stab)/SUMPRODUCT(LT_incl*(ISNUMBER(LT_yb)*(LT_yb&gt;=$V302)*(LT_yb&lt;$W302))*ISNUMBER(LT_ltv_stab),LT_upb),0)</f>
        <v>0.693794967264643</v>
      </c>
      <c r="P302" s="34" t="n">
        <f aca="false">IFERROR(SUMPRODUCT(LT_incl*(ISNUMBER(LT_yb)*(LT_yb&gt;=$V302)*(LT_yb&lt;$W302)),LT_upb,LT_seas)/SUMPRODUCT(LT_incl*(ISNUMBER(LT_yb)*(LT_yb&gt;=$V302)*(LT_yb&lt;$W302))*ISNUMBER(LT_seas),LT_upb),0)</f>
        <v>37.2145785477805</v>
      </c>
      <c r="Q302" s="34" t="n">
        <f aca="false">IFERROR(SUMPRODUCT(LT_incl*(ISNUMBER(LT_yb)*(LT_yb&gt;=$V302)*(LT_yb&lt;$W302)),LT_upb,LT_rti)/SUMPRODUCT(LT_incl*(ISNUMBER(LT_yb)*(LT_yb&gt;=$V302)*(LT_yb&lt;$W302))*ISNUMBER(LT_rti),LT_upb),0)</f>
        <v>9.90021082758745</v>
      </c>
      <c r="R302" s="34" t="n">
        <f aca="false">IFERROR(SUMPRODUCT(LT_incl*(ISNUMBER(LT_yb)*(LT_yb&gt;=$V302)*(LT_yb&lt;$W302)),LT_upb,LT_rte)/SUMPRODUCT(LT_incl*(ISNUMBER(LT_yb)*(LT_yb&gt;=$V302)*(LT_yb&lt;$W302))*ISNUMBER(LT_rte),LT_upb),0)</f>
        <v>16.373751742809</v>
      </c>
      <c r="S302" s="32" t="n">
        <f aca="false">IFERROR(SUMPRODUCT(LT_incl*(ISNUMBER(LT_yb)*(LT_yb&gt;=$V302)*(LT_yb&lt;$W302)),LT_backdebt)/G302,0)</f>
        <v>0.604244225764263</v>
      </c>
      <c r="T302" s="32" t="n">
        <f aca="false">IFERROR(SUMPRODUCT(LT_incl*(ISNUMBER(LT_yb)*(LT_yb&gt;=$V302)*(LT_yb&lt;$W302)),LT_equity,LT_roe)/SUMPRODUCT(LT_incl*(ISNUMBER(LT_yb)*(LT_yb&gt;=$V302)*(LT_yb&lt;$W302))*ISNUMBER(LT_roe),LT_equity),0)</f>
        <v>0.101306769839867</v>
      </c>
      <c r="V302" s="50" t="n">
        <v>1970</v>
      </c>
      <c r="W302" s="50" t="n">
        <v>1980</v>
      </c>
    </row>
    <row r="303" customFormat="false" ht="15" hidden="false" customHeight="false" outlineLevel="0" collapsed="false">
      <c r="B303" s="18" t="s">
        <v>234</v>
      </c>
      <c r="C303" s="26" t="n">
        <f aca="false">SUMPRODUCT(LT_incl*(ISNUMBER(LT_yb)*(LT_yb&gt;=$V303)*(LT_yb&lt;$W303)))</f>
        <v>25</v>
      </c>
      <c r="D303" s="23" t="n">
        <f aca="false">IFERROR(C303/StratLoans,0)</f>
        <v>0.190839694656489</v>
      </c>
      <c r="E303" s="26" t="n">
        <f aca="false">SUMPRODUCT(LT_incl*(ISNUMBER(LT_yb)*(LT_yb&gt;=$V303)*(LT_yb&lt;$W303)),LT_units)</f>
        <v>4109</v>
      </c>
      <c r="F303" s="26" t="n">
        <f aca="false">SUMPRODUCT(LT_incl*(ISNUMBER(LT_yb)*(LT_yb&gt;=$V303)*(LT_yb&lt;$W303)),LT_beds)</f>
        <v>1973</v>
      </c>
      <c r="G303" s="22" t="n">
        <f aca="false">SUMPRODUCT(LT_incl*(ISNUMBER(LT_yb)*(LT_yb&gt;=$V303)*(LT_yb&lt;$W303)),LT_upb)</f>
        <v>629501337.79</v>
      </c>
      <c r="H303" s="23" t="n">
        <f aca="false">IFERROR(G303/StratUPB,0)</f>
        <v>0.169394282564923</v>
      </c>
      <c r="I303" s="22" t="n">
        <f aca="false">IFERROR(G303/C303,0)</f>
        <v>25180053.5116</v>
      </c>
      <c r="J303" s="22" t="n">
        <f aca="false">SUMPRODUCT(LT_incl*(ISNUMBER(LT_yb)*(LT_yb&gt;=$V303)*(LT_yb&lt;$W303)),LT_unfunded)</f>
        <v>29445853.88</v>
      </c>
      <c r="K303" s="22" t="n">
        <f aca="false">SUMPRODUCT(LT_incl*(ISNUMBER(LT_yb)*(LT_yb&gt;=$V303)*(LT_yb&lt;$W303)),LT_navres)</f>
        <v>-301538.687546179</v>
      </c>
      <c r="L303" s="24" t="n">
        <f aca="false">IFERROR(SUMPRODUCT(LT_incl*(ISNUMBER(LT_yb)*(LT_yb&gt;=$V303)*(LT_yb&lt;$W303)),LT_upb,LT_eff)/SUMPRODUCT(LT_incl*(ISNUMBER(LT_yb)*(LT_yb&gt;=$V303)*(LT_yb&lt;$W303))*ISNUMBER(LT_eff),LT_upb),0)</f>
        <v>0.0389365365760615</v>
      </c>
      <c r="M303" s="24" t="n">
        <f aca="false">IFERROR(SUMPRODUCT(LT_incl*(ISNUMBER(LT_yb)*(LT_yb&gt;=$V303)*(LT_yb&lt;$W303)),LT_upb,LT_coupon)/SUMPRODUCT(LT_incl*(ISNUMBER(LT_yb)*(LT_yb&gt;=$V303)*(LT_yb&lt;$W303))*ISNUMBER(LT_coupon),LT_upb),0)</f>
        <v>0.0754365365760615</v>
      </c>
      <c r="N303" s="23" t="n">
        <f aca="false">IFERROR(SUMPRODUCT(LT_incl*(ISNUMBER(LT_yb)*(LT_yb&gt;=$V303)*(LT_yb&lt;$W303)),LT_upb,LT_ltv_asis)/SUMPRODUCT(LT_incl*(ISNUMBER(LT_yb)*(LT_yb&gt;=$V303)*(LT_yb&lt;$W303))*ISNUMBER(LT_ltv_asis),LT_upb),0)</f>
        <v>0.661428274950677</v>
      </c>
      <c r="O303" s="23" t="n">
        <f aca="false">IFERROR(SUMPRODUCT(LT_incl*(ISNUMBER(LT_yb)*(LT_yb&gt;=$V303)*(LT_yb&lt;$W303)),LT_upb,LT_ltv_stab)/SUMPRODUCT(LT_incl*(ISNUMBER(LT_yb)*(LT_yb&gt;=$V303)*(LT_yb&lt;$W303))*ISNUMBER(LT_ltv_stab),LT_upb),0)</f>
        <v>0.666301677607738</v>
      </c>
      <c r="P303" s="25" t="n">
        <f aca="false">IFERROR(SUMPRODUCT(LT_incl*(ISNUMBER(LT_yb)*(LT_yb&gt;=$V303)*(LT_yb&lt;$W303)),LT_upb,LT_seas)/SUMPRODUCT(LT_incl*(ISNUMBER(LT_yb)*(LT_yb&gt;=$V303)*(LT_yb&lt;$W303))*ISNUMBER(LT_seas),LT_upb),0)</f>
        <v>26.9405491277386</v>
      </c>
      <c r="Q303" s="25" t="n">
        <f aca="false">IFERROR(SUMPRODUCT(LT_incl*(ISNUMBER(LT_yb)*(LT_yb&gt;=$V303)*(LT_yb&lt;$W303)),LT_upb,LT_rti)/SUMPRODUCT(LT_incl*(ISNUMBER(LT_yb)*(LT_yb&gt;=$V303)*(LT_yb&lt;$W303))*ISNUMBER(LT_rti),LT_upb),0)</f>
        <v>9.2415771995682</v>
      </c>
      <c r="R303" s="25" t="n">
        <f aca="false">IFERROR(SUMPRODUCT(LT_incl*(ISNUMBER(LT_yb)*(LT_yb&gt;=$V303)*(LT_yb&lt;$W303)),LT_upb,LT_rte)/SUMPRODUCT(LT_incl*(ISNUMBER(LT_yb)*(LT_yb&gt;=$V303)*(LT_yb&lt;$W303))*ISNUMBER(LT_rte),LT_upb),0)</f>
        <v>18.8091786020087</v>
      </c>
      <c r="S303" s="23" t="n">
        <f aca="false">IFERROR(SUMPRODUCT(LT_incl*(ISNUMBER(LT_yb)*(LT_yb&gt;=$V303)*(LT_yb&lt;$W303)),LT_backdebt)/G303,0)</f>
        <v>0.542774357611921</v>
      </c>
      <c r="T303" s="23" t="n">
        <f aca="false">IFERROR(SUMPRODUCT(LT_incl*(ISNUMBER(LT_yb)*(LT_yb&gt;=$V303)*(LT_yb&lt;$W303)),LT_equity,LT_roe)/SUMPRODUCT(LT_incl*(ISNUMBER(LT_yb)*(LT_yb&gt;=$V303)*(LT_yb&lt;$W303))*ISNUMBER(LT_roe),LT_equity),0)</f>
        <v>0.0997531596849599</v>
      </c>
      <c r="V303" s="50" t="n">
        <v>1980</v>
      </c>
      <c r="W303" s="50" t="n">
        <v>1990</v>
      </c>
    </row>
    <row r="304" customFormat="false" ht="15" hidden="false" customHeight="false" outlineLevel="0" collapsed="false">
      <c r="B304" s="27" t="s">
        <v>235</v>
      </c>
      <c r="C304" s="44" t="n">
        <f aca="false">SUMPRODUCT(LT_incl*(ISNUMBER(LT_yb)*(LT_yb&gt;=$V304)*(LT_yb&lt;$W304)))</f>
        <v>6</v>
      </c>
      <c r="D304" s="32" t="n">
        <f aca="false">IFERROR(C304/StratLoans,0)</f>
        <v>0.0458015267175573</v>
      </c>
      <c r="E304" s="44" t="n">
        <f aca="false">SUMPRODUCT(LT_incl*(ISNUMBER(LT_yb)*(LT_yb&gt;=$V304)*(LT_yb&lt;$W304)),LT_units)</f>
        <v>429</v>
      </c>
      <c r="F304" s="44" t="n">
        <f aca="false">SUMPRODUCT(LT_incl*(ISNUMBER(LT_yb)*(LT_yb&gt;=$V304)*(LT_yb&lt;$W304)),LT_beds)</f>
        <v>256</v>
      </c>
      <c r="G304" s="31" t="n">
        <f aca="false">SUMPRODUCT(LT_incl*(ISNUMBER(LT_yb)*(LT_yb&gt;=$V304)*(LT_yb&lt;$W304)),LT_upb)</f>
        <v>106929065.84</v>
      </c>
      <c r="H304" s="32" t="n">
        <f aca="false">IFERROR(G304/StratUPB,0)</f>
        <v>0.0287738425733842</v>
      </c>
      <c r="I304" s="31" t="n">
        <f aca="false">IFERROR(G304/C304,0)</f>
        <v>17821510.9733333</v>
      </c>
      <c r="J304" s="31" t="n">
        <f aca="false">SUMPRODUCT(LT_incl*(ISNUMBER(LT_yb)*(LT_yb&gt;=$V304)*(LT_yb&lt;$W304)),LT_unfunded)</f>
        <v>325434.16</v>
      </c>
      <c r="K304" s="31" t="n">
        <f aca="false">SUMPRODUCT(LT_incl*(ISNUMBER(LT_yb)*(LT_yb&gt;=$V304)*(LT_yb&lt;$W304)),LT_navres)</f>
        <v>0</v>
      </c>
      <c r="L304" s="33" t="n">
        <f aca="false">IFERROR(SUMPRODUCT(LT_incl*(ISNUMBER(LT_yb)*(LT_yb&gt;=$V304)*(LT_yb&lt;$W304)),LT_upb,LT_eff)/SUMPRODUCT(LT_incl*(ISNUMBER(LT_yb)*(LT_yb&gt;=$V304)*(LT_yb&lt;$W304))*ISNUMBER(LT_eff),LT_upb),0)</f>
        <v>0.0384677590580922</v>
      </c>
      <c r="M304" s="33" t="n">
        <f aca="false">IFERROR(SUMPRODUCT(LT_incl*(ISNUMBER(LT_yb)*(LT_yb&gt;=$V304)*(LT_yb&lt;$W304)),LT_upb,LT_coupon)/SUMPRODUCT(LT_incl*(ISNUMBER(LT_yb)*(LT_yb&gt;=$V304)*(LT_yb&lt;$W304))*ISNUMBER(LT_coupon),LT_upb),0)</f>
        <v>0.0749677590580922</v>
      </c>
      <c r="N304" s="32" t="n">
        <f aca="false">IFERROR(SUMPRODUCT(LT_incl*(ISNUMBER(LT_yb)*(LT_yb&gt;=$V304)*(LT_yb&lt;$W304)),LT_upb,LT_ltv_asis)/SUMPRODUCT(LT_incl*(ISNUMBER(LT_yb)*(LT_yb&gt;=$V304)*(LT_yb&lt;$W304))*ISNUMBER(LT_ltv_asis),LT_upb),0)</f>
        <v>0.727232519894452</v>
      </c>
      <c r="O304" s="32" t="n">
        <f aca="false">IFERROR(SUMPRODUCT(LT_incl*(ISNUMBER(LT_yb)*(LT_yb&gt;=$V304)*(LT_yb&lt;$W304)),LT_upb,LT_ltv_stab)/SUMPRODUCT(LT_incl*(ISNUMBER(LT_yb)*(LT_yb&gt;=$V304)*(LT_yb&lt;$W304))*ISNUMBER(LT_ltv_stab),LT_upb),0)</f>
        <v>0.692604789655695</v>
      </c>
      <c r="P304" s="34" t="n">
        <f aca="false">IFERROR(SUMPRODUCT(LT_incl*(ISNUMBER(LT_yb)*(LT_yb&gt;=$V304)*(LT_yb&lt;$W304)),LT_upb,LT_seas)/SUMPRODUCT(LT_incl*(ISNUMBER(LT_yb)*(LT_yb&gt;=$V304)*(LT_yb&lt;$W304))*ISNUMBER(LT_seas),LT_upb),0)</f>
        <v>14.6057643273314</v>
      </c>
      <c r="Q304" s="34" t="n">
        <f aca="false">IFERROR(SUMPRODUCT(LT_incl*(ISNUMBER(LT_yb)*(LT_yb&gt;=$V304)*(LT_yb&lt;$W304)),LT_upb,LT_rti)/SUMPRODUCT(LT_incl*(ISNUMBER(LT_yb)*(LT_yb&gt;=$V304)*(LT_yb&lt;$W304))*ISNUMBER(LT_rti),LT_upb),0)</f>
        <v>10.9432656411892</v>
      </c>
      <c r="R304" s="34" t="n">
        <f aca="false">IFERROR(SUMPRODUCT(LT_incl*(ISNUMBER(LT_yb)*(LT_yb&gt;=$V304)*(LT_yb&lt;$W304)),LT_upb,LT_rte)/SUMPRODUCT(LT_incl*(ISNUMBER(LT_yb)*(LT_yb&gt;=$V304)*(LT_yb&lt;$W304))*ISNUMBER(LT_rte),LT_upb),0)</f>
        <v>31.3182500604138</v>
      </c>
      <c r="S304" s="32" t="n">
        <f aca="false">IFERROR(SUMPRODUCT(LT_incl*(ISNUMBER(LT_yb)*(LT_yb&gt;=$V304)*(LT_yb&lt;$W304)),LT_backdebt)/G304,0)</f>
        <v>0.788440380431644</v>
      </c>
      <c r="T304" s="32" t="n">
        <f aca="false">IFERROR(SUMPRODUCT(LT_incl*(ISNUMBER(LT_yb)*(LT_yb&gt;=$V304)*(LT_yb&lt;$W304)),LT_equity,LT_roe)/SUMPRODUCT(LT_incl*(ISNUMBER(LT_yb)*(LT_yb&gt;=$V304)*(LT_yb&lt;$W304))*ISNUMBER(LT_roe),LT_equity),0)</f>
        <v>0.144850416455678</v>
      </c>
      <c r="V304" s="50" t="n">
        <v>1990</v>
      </c>
      <c r="W304" s="50" t="n">
        <v>2000</v>
      </c>
    </row>
    <row r="305" customFormat="false" ht="15" hidden="false" customHeight="false" outlineLevel="0" collapsed="false">
      <c r="B305" s="18" t="s">
        <v>236</v>
      </c>
      <c r="C305" s="26" t="n">
        <f aca="false">SUMPRODUCT(LT_incl*(ISNUMBER(LT_yb)*(LT_yb&gt;=$V305)*(LT_yb&lt;$W305)))</f>
        <v>10</v>
      </c>
      <c r="D305" s="23" t="n">
        <f aca="false">IFERROR(C305/StratLoans,0)</f>
        <v>0.0763358778625954</v>
      </c>
      <c r="E305" s="26" t="n">
        <f aca="false">SUMPRODUCT(LT_incl*(ISNUMBER(LT_yb)*(LT_yb&gt;=$V305)*(LT_yb&lt;$W305)),LT_units)</f>
        <v>1464</v>
      </c>
      <c r="F305" s="26" t="n">
        <f aca="false">SUMPRODUCT(LT_incl*(ISNUMBER(LT_yb)*(LT_yb&gt;=$V305)*(LT_yb&lt;$W305)),LT_beds)</f>
        <v>232</v>
      </c>
      <c r="G305" s="22" t="n">
        <f aca="false">SUMPRODUCT(LT_incl*(ISNUMBER(LT_yb)*(LT_yb&gt;=$V305)*(LT_yb&lt;$W305)),LT_upb)</f>
        <v>206685638.92</v>
      </c>
      <c r="H305" s="23" t="n">
        <f aca="false">IFERROR(G305/StratUPB,0)</f>
        <v>0.0556176189303125</v>
      </c>
      <c r="I305" s="22" t="n">
        <f aca="false">IFERROR(G305/C305,0)</f>
        <v>20668563.892</v>
      </c>
      <c r="J305" s="22" t="n">
        <f aca="false">SUMPRODUCT(LT_incl*(ISNUMBER(LT_yb)*(LT_yb&gt;=$V305)*(LT_yb&lt;$W305)),LT_unfunded)</f>
        <v>3013819.99</v>
      </c>
      <c r="K305" s="22" t="n">
        <f aca="false">SUMPRODUCT(LT_incl*(ISNUMBER(LT_yb)*(LT_yb&gt;=$V305)*(LT_yb&lt;$W305)),LT_navres)</f>
        <v>-2886343.97174271</v>
      </c>
      <c r="L305" s="24" t="n">
        <f aca="false">IFERROR(SUMPRODUCT(LT_incl*(ISNUMBER(LT_yb)*(LT_yb&gt;=$V305)*(LT_yb&lt;$W305)),LT_upb,LT_eff)/SUMPRODUCT(LT_incl*(ISNUMBER(LT_yb)*(LT_yb&gt;=$V305)*(LT_yb&lt;$W305))*ISNUMBER(LT_eff),LT_upb),0)</f>
        <v>0.0310032957692347</v>
      </c>
      <c r="M305" s="24" t="n">
        <f aca="false">IFERROR(SUMPRODUCT(LT_incl*(ISNUMBER(LT_yb)*(LT_yb&gt;=$V305)*(LT_yb&lt;$W305)),LT_upb,LT_coupon)/SUMPRODUCT(LT_incl*(ISNUMBER(LT_yb)*(LT_yb&gt;=$V305)*(LT_yb&lt;$W305))*ISNUMBER(LT_coupon),LT_upb),0)</f>
        <v>0.0675032957692347</v>
      </c>
      <c r="N305" s="23" t="n">
        <f aca="false">IFERROR(SUMPRODUCT(LT_incl*(ISNUMBER(LT_yb)*(LT_yb&gt;=$V305)*(LT_yb&lt;$W305)),LT_upb,LT_ltv_asis)/SUMPRODUCT(LT_incl*(ISNUMBER(LT_yb)*(LT_yb&gt;=$V305)*(LT_yb&lt;$W305))*ISNUMBER(LT_ltv_asis),LT_upb),0)</f>
        <v>0.788242500609547</v>
      </c>
      <c r="O305" s="23" t="n">
        <f aca="false">IFERROR(SUMPRODUCT(LT_incl*(ISNUMBER(LT_yb)*(LT_yb&gt;=$V305)*(LT_yb&lt;$W305)),LT_upb,LT_ltv_stab)/SUMPRODUCT(LT_incl*(ISNUMBER(LT_yb)*(LT_yb&gt;=$V305)*(LT_yb&lt;$W305))*ISNUMBER(LT_ltv_stab),LT_upb),0)</f>
        <v>0.73885205032181</v>
      </c>
      <c r="P305" s="25" t="n">
        <f aca="false">IFERROR(SUMPRODUCT(LT_incl*(ISNUMBER(LT_yb)*(LT_yb&gt;=$V305)*(LT_yb&lt;$W305)),LT_upb,LT_seas)/SUMPRODUCT(LT_incl*(ISNUMBER(LT_yb)*(LT_yb&gt;=$V305)*(LT_yb&lt;$W305))*ISNUMBER(LT_seas),LT_upb),0)</f>
        <v>31.16318611579</v>
      </c>
      <c r="Q305" s="25" t="n">
        <f aca="false">IFERROR(SUMPRODUCT(LT_incl*(ISNUMBER(LT_yb)*(LT_yb&gt;=$V305)*(LT_yb&lt;$W305)),LT_upb,LT_rti)/SUMPRODUCT(LT_incl*(ISNUMBER(LT_yb)*(LT_yb&gt;=$V305)*(LT_yb&lt;$W305))*ISNUMBER(LT_rti),LT_upb),0)</f>
        <v>13.3331378499174</v>
      </c>
      <c r="R305" s="25" t="n">
        <f aca="false">IFERROR(SUMPRODUCT(LT_incl*(ISNUMBER(LT_yb)*(LT_yb&gt;=$V305)*(LT_yb&lt;$W305)),LT_upb,LT_rte)/SUMPRODUCT(LT_incl*(ISNUMBER(LT_yb)*(LT_yb&gt;=$V305)*(LT_yb&lt;$W305))*ISNUMBER(LT_rte),LT_upb),0)</f>
        <v>23.8980603351829</v>
      </c>
      <c r="S305" s="23" t="n">
        <f aca="false">IFERROR(SUMPRODUCT(LT_incl*(ISNUMBER(LT_yb)*(LT_yb&gt;=$V305)*(LT_yb&lt;$W305)),LT_backdebt)/G305,0)</f>
        <v>0.32187060369438</v>
      </c>
      <c r="T305" s="23" t="n">
        <f aca="false">IFERROR(SUMPRODUCT(LT_incl*(ISNUMBER(LT_yb)*(LT_yb&gt;=$V305)*(LT_yb&lt;$W305)),LT_equity,LT_roe)/SUMPRODUCT(LT_incl*(ISNUMBER(LT_yb)*(LT_yb&gt;=$V305)*(LT_yb&lt;$W305))*ISNUMBER(LT_roe),LT_equity),0)</f>
        <v>0.0720744252505762</v>
      </c>
      <c r="V305" s="50" t="n">
        <v>2000</v>
      </c>
      <c r="W305" s="50" t="n">
        <v>2010</v>
      </c>
    </row>
    <row r="306" customFormat="false" ht="15" hidden="false" customHeight="false" outlineLevel="0" collapsed="false">
      <c r="B306" s="27" t="s">
        <v>237</v>
      </c>
      <c r="C306" s="44" t="n">
        <f aca="false">SUMPRODUCT(LT_incl*(ISNUMBER(LT_yb)*(LT_yb&gt;=$V306)*(LT_yb&lt;$W306)))</f>
        <v>10</v>
      </c>
      <c r="D306" s="32" t="n">
        <f aca="false">IFERROR(C306/StratLoans,0)</f>
        <v>0.0763358778625954</v>
      </c>
      <c r="E306" s="44" t="n">
        <f aca="false">SUMPRODUCT(LT_incl*(ISNUMBER(LT_yb)*(LT_yb&gt;=$V306)*(LT_yb&lt;$W306)),LT_units)</f>
        <v>1290</v>
      </c>
      <c r="F306" s="44" t="n">
        <f aca="false">SUMPRODUCT(LT_incl*(ISNUMBER(LT_yb)*(LT_yb&gt;=$V306)*(LT_yb&lt;$W306)),LT_beds)</f>
        <v>655</v>
      </c>
      <c r="G306" s="31" t="n">
        <f aca="false">SUMPRODUCT(LT_incl*(ISNUMBER(LT_yb)*(LT_yb&gt;=$V306)*(LT_yb&lt;$W306)),LT_upb)</f>
        <v>324840000</v>
      </c>
      <c r="H306" s="32" t="n">
        <f aca="false">IFERROR(G306/StratUPB,0)</f>
        <v>0.0874121077193742</v>
      </c>
      <c r="I306" s="31" t="n">
        <f aca="false">IFERROR(G306/C306,0)</f>
        <v>32484000</v>
      </c>
      <c r="J306" s="31" t="n">
        <f aca="false">SUMPRODUCT(LT_incl*(ISNUMBER(LT_yb)*(LT_yb&gt;=$V306)*(LT_yb&lt;$W306)),LT_unfunded)</f>
        <v>0</v>
      </c>
      <c r="K306" s="31" t="n">
        <f aca="false">SUMPRODUCT(LT_incl*(ISNUMBER(LT_yb)*(LT_yb&gt;=$V306)*(LT_yb&lt;$W306)),LT_navres)</f>
        <v>-8999781</v>
      </c>
      <c r="L306" s="33" t="n">
        <f aca="false">IFERROR(SUMPRODUCT(LT_incl*(ISNUMBER(LT_yb)*(LT_yb&gt;=$V306)*(LT_yb&lt;$W306)),LT_upb,LT_eff)/SUMPRODUCT(LT_incl*(ISNUMBER(LT_yb)*(LT_yb&gt;=$V306)*(LT_yb&lt;$W306))*ISNUMBER(LT_eff),LT_upb),0)</f>
        <v>0.0377963458933629</v>
      </c>
      <c r="M306" s="33" t="n">
        <f aca="false">IFERROR(SUMPRODUCT(LT_incl*(ISNUMBER(LT_yb)*(LT_yb&gt;=$V306)*(LT_yb&lt;$W306)),LT_upb,LT_coupon)/SUMPRODUCT(LT_incl*(ISNUMBER(LT_yb)*(LT_yb&gt;=$V306)*(LT_yb&lt;$W306))*ISNUMBER(LT_coupon),LT_upb),0)</f>
        <v>0.0742963458933629</v>
      </c>
      <c r="N306" s="32" t="n">
        <f aca="false">IFERROR(SUMPRODUCT(LT_incl*(ISNUMBER(LT_yb)*(LT_yb&gt;=$V306)*(LT_yb&lt;$W306)),LT_upb,LT_ltv_asis)/SUMPRODUCT(LT_incl*(ISNUMBER(LT_yb)*(LT_yb&gt;=$V306)*(LT_yb&lt;$W306))*ISNUMBER(LT_ltv_asis),LT_upb),0)</f>
        <v>0.68101833393733</v>
      </c>
      <c r="O306" s="32" t="n">
        <f aca="false">IFERROR(SUMPRODUCT(LT_incl*(ISNUMBER(LT_yb)*(LT_yb&gt;=$V306)*(LT_yb&lt;$W306)),LT_upb,LT_ltv_stab)/SUMPRODUCT(LT_incl*(ISNUMBER(LT_yb)*(LT_yb&gt;=$V306)*(LT_yb&lt;$W306))*ISNUMBER(LT_ltv_stab),LT_upb),0)</f>
        <v>0.625761333163955</v>
      </c>
      <c r="P306" s="34" t="n">
        <f aca="false">IFERROR(SUMPRODUCT(LT_incl*(ISNUMBER(LT_yb)*(LT_yb&gt;=$V306)*(LT_yb&lt;$W306)),LT_upb,LT_seas)/SUMPRODUCT(LT_incl*(ISNUMBER(LT_yb)*(LT_yb&gt;=$V306)*(LT_yb&lt;$W306))*ISNUMBER(LT_seas),LT_upb),0)</f>
        <v>35.7349574341069</v>
      </c>
      <c r="Q306" s="34" t="n">
        <f aca="false">IFERROR(SUMPRODUCT(LT_incl*(ISNUMBER(LT_yb)*(LT_yb&gt;=$V306)*(LT_yb&lt;$W306)),LT_upb,LT_rti)/SUMPRODUCT(LT_incl*(ISNUMBER(LT_yb)*(LT_yb&gt;=$V306)*(LT_yb&lt;$W306))*ISNUMBER(LT_rti),LT_upb),0)</f>
        <v>9.57212611003945</v>
      </c>
      <c r="R306" s="34" t="n">
        <f aca="false">IFERROR(SUMPRODUCT(LT_incl*(ISNUMBER(LT_yb)*(LT_yb&gt;=$V306)*(LT_yb&lt;$W306)),LT_upb,LT_rte)/SUMPRODUCT(LT_incl*(ISNUMBER(LT_yb)*(LT_yb&gt;=$V306)*(LT_yb&lt;$W306))*ISNUMBER(LT_rte),LT_upb),0)</f>
        <v>17.6393698290765</v>
      </c>
      <c r="S306" s="32" t="n">
        <f aca="false">IFERROR(SUMPRODUCT(LT_incl*(ISNUMBER(LT_yb)*(LT_yb&gt;=$V306)*(LT_yb&lt;$W306)),LT_backdebt)/G306,0)</f>
        <v>0.586356129452506</v>
      </c>
      <c r="T306" s="32" t="n">
        <f aca="false">IFERROR(SUMPRODUCT(LT_incl*(ISNUMBER(LT_yb)*(LT_yb&gt;=$V306)*(LT_yb&lt;$W306)),LT_equity,LT_roe)/SUMPRODUCT(LT_incl*(ISNUMBER(LT_yb)*(LT_yb&gt;=$V306)*(LT_yb&lt;$W306))*ISNUMBER(LT_roe),LT_equity),0)</f>
        <v>0.0995370886564206</v>
      </c>
      <c r="V306" s="50" t="n">
        <v>2010</v>
      </c>
      <c r="W306" s="50" t="n">
        <v>2020</v>
      </c>
    </row>
    <row r="307" customFormat="false" ht="15" hidden="false" customHeight="false" outlineLevel="0" collapsed="false">
      <c r="B307" s="18" t="s">
        <v>238</v>
      </c>
      <c r="C307" s="26" t="n">
        <f aca="false">SUMPRODUCT(LT_incl*(ISNUMBER(LT_yb)*(LT_yb&gt;=$V307)*(LT_yb&lt;$W307)))</f>
        <v>20</v>
      </c>
      <c r="D307" s="23" t="n">
        <f aca="false">IFERROR(C307/StratLoans,0)</f>
        <v>0.152671755725191</v>
      </c>
      <c r="E307" s="26" t="n">
        <f aca="false">SUMPRODUCT(LT_incl*(ISNUMBER(LT_yb)*(LT_yb&gt;=$V307)*(LT_yb&lt;$W307)),LT_units)</f>
        <v>4328</v>
      </c>
      <c r="F307" s="26" t="n">
        <f aca="false">SUMPRODUCT(LT_incl*(ISNUMBER(LT_yb)*(LT_yb&gt;=$V307)*(LT_yb&lt;$W307)),LT_beds)</f>
        <v>72</v>
      </c>
      <c r="G307" s="22" t="n">
        <f aca="false">SUMPRODUCT(LT_incl*(ISNUMBER(LT_yb)*(LT_yb&gt;=$V307)*(LT_yb&lt;$W307)),LT_upb)</f>
        <v>990302934.37</v>
      </c>
      <c r="H307" s="23" t="n">
        <f aca="false">IFERROR(G307/StratUPB,0)</f>
        <v>0.266483397284703</v>
      </c>
      <c r="I307" s="22" t="n">
        <f aca="false">IFERROR(G307/C307,0)</f>
        <v>49515146.7185</v>
      </c>
      <c r="J307" s="22" t="n">
        <f aca="false">SUMPRODUCT(LT_incl*(ISNUMBER(LT_yb)*(LT_yb&gt;=$V307)*(LT_yb&lt;$W307)),LT_unfunded)</f>
        <v>7167065.63</v>
      </c>
      <c r="K307" s="22" t="n">
        <f aca="false">SUMPRODUCT(LT_incl*(ISNUMBER(LT_yb)*(LT_yb&gt;=$V307)*(LT_yb&lt;$W307)),LT_navres)</f>
        <v>-3600000</v>
      </c>
      <c r="L307" s="24" t="n">
        <f aca="false">IFERROR(SUMPRODUCT(LT_incl*(ISNUMBER(LT_yb)*(LT_yb&gt;=$V307)*(LT_yb&lt;$W307)),LT_upb,LT_eff)/SUMPRODUCT(LT_incl*(ISNUMBER(LT_yb)*(LT_yb&gt;=$V307)*(LT_yb&lt;$W307))*ISNUMBER(LT_eff),LT_upb),0)</f>
        <v>0.034012369074992</v>
      </c>
      <c r="M307" s="24" t="n">
        <f aca="false">IFERROR(SUMPRODUCT(LT_incl*(ISNUMBER(LT_yb)*(LT_yb&gt;=$V307)*(LT_yb&lt;$W307)),LT_upb,LT_coupon)/SUMPRODUCT(LT_incl*(ISNUMBER(LT_yb)*(LT_yb&gt;=$V307)*(LT_yb&lt;$W307))*ISNUMBER(LT_coupon),LT_upb),0)</f>
        <v>0.070512369074992</v>
      </c>
      <c r="N307" s="23" t="n">
        <f aca="false">IFERROR(SUMPRODUCT(LT_incl*(ISNUMBER(LT_yb)*(LT_yb&gt;=$V307)*(LT_yb&lt;$W307)),LT_upb,LT_ltv_asis)/SUMPRODUCT(LT_incl*(ISNUMBER(LT_yb)*(LT_yb&gt;=$V307)*(LT_yb&lt;$W307))*ISNUMBER(LT_ltv_asis),LT_upb),0)</f>
        <v>0.671128262307085</v>
      </c>
      <c r="O307" s="23" t="n">
        <f aca="false">IFERROR(SUMPRODUCT(LT_incl*(ISNUMBER(LT_yb)*(LT_yb&gt;=$V307)*(LT_yb&lt;$W307)),LT_upb,LT_ltv_stab)/SUMPRODUCT(LT_incl*(ISNUMBER(LT_yb)*(LT_yb&gt;=$V307)*(LT_yb&lt;$W307))*ISNUMBER(LT_ltv_stab),LT_upb),0)</f>
        <v>0.641887275588094</v>
      </c>
      <c r="P307" s="25" t="n">
        <f aca="false">IFERROR(SUMPRODUCT(LT_incl*(ISNUMBER(LT_yb)*(LT_yb&gt;=$V307)*(LT_yb&lt;$W307)),LT_upb,LT_seas)/SUMPRODUCT(LT_incl*(ISNUMBER(LT_yb)*(LT_yb&gt;=$V307)*(LT_yb&lt;$W307))*ISNUMBER(LT_seas),LT_upb),0)</f>
        <v>19.4974909265305</v>
      </c>
      <c r="Q307" s="25" t="n">
        <f aca="false">IFERROR(SUMPRODUCT(LT_incl*(ISNUMBER(LT_yb)*(LT_yb&gt;=$V307)*(LT_yb&lt;$W307)),LT_upb,LT_rti)/SUMPRODUCT(LT_incl*(ISNUMBER(LT_yb)*(LT_yb&gt;=$V307)*(LT_yb&lt;$W307))*ISNUMBER(LT_rti),LT_upb),0)</f>
        <v>10.324021807277</v>
      </c>
      <c r="R307" s="25" t="n">
        <f aca="false">IFERROR(SUMPRODUCT(LT_incl*(ISNUMBER(LT_yb)*(LT_yb&gt;=$V307)*(LT_yb&lt;$W307)),LT_upb,LT_rte)/SUMPRODUCT(LT_incl*(ISNUMBER(LT_yb)*(LT_yb&gt;=$V307)*(LT_yb&lt;$W307))*ISNUMBER(LT_rte),LT_upb),0)</f>
        <v>27.3359957084343</v>
      </c>
      <c r="S307" s="23" t="n">
        <f aca="false">IFERROR(SUMPRODUCT(LT_incl*(ISNUMBER(LT_yb)*(LT_yb&gt;=$V307)*(LT_yb&lt;$W307)),LT_backdebt)/G307,0)</f>
        <v>0.77092132243381</v>
      </c>
      <c r="T307" s="23" t="n">
        <f aca="false">IFERROR(SUMPRODUCT(LT_incl*(ISNUMBER(LT_yb)*(LT_yb&gt;=$V307)*(LT_yb&lt;$W307)),LT_equity,LT_roe)/SUMPRODUCT(LT_incl*(ISNUMBER(LT_yb)*(LT_yb&gt;=$V307)*(LT_yb&lt;$W307))*ISNUMBER(LT_roe),LT_equity),0)</f>
        <v>0.125564881917783</v>
      </c>
      <c r="V307" s="50" t="n">
        <v>2020</v>
      </c>
      <c r="W307" s="50" t="n">
        <v>1000000000000</v>
      </c>
    </row>
    <row r="308" customFormat="false" ht="15" hidden="false" customHeight="false" outlineLevel="0" collapsed="false">
      <c r="B308" s="27" t="s">
        <v>195</v>
      </c>
      <c r="C308" s="44" t="n">
        <f aca="false">SUMPRODUCT(LT_incl*(1-ISNUMBER(LT_yb)))</f>
        <v>5</v>
      </c>
      <c r="D308" s="32" t="n">
        <f aca="false">IFERROR(C308/StratLoans,0)</f>
        <v>0.0381679389312977</v>
      </c>
      <c r="E308" s="44" t="n">
        <f aca="false">SUMPRODUCT(LT_incl*(1-ISNUMBER(LT_yb)),LT_units)</f>
        <v>92</v>
      </c>
      <c r="F308" s="44" t="n">
        <f aca="false">SUMPRODUCT(LT_incl*(1-ISNUMBER(LT_yb)),LT_beds)</f>
        <v>1763</v>
      </c>
      <c r="G308" s="31" t="n">
        <f aca="false">SUMPRODUCT(LT_incl*(1-ISNUMBER(LT_yb)),LT_upb)</f>
        <v>150099396.26</v>
      </c>
      <c r="H308" s="32" t="n">
        <f aca="false">IFERROR(G308/StratUPB,0)</f>
        <v>0.0403906680042241</v>
      </c>
      <c r="I308" s="31" t="n">
        <f aca="false">IFERROR(G308/C308,0)</f>
        <v>30019879.252</v>
      </c>
      <c r="J308" s="31" t="n">
        <f aca="false">SUMPRODUCT(LT_incl*(1-ISNUMBER(LT_yb)),LT_unfunded)</f>
        <v>2179742.28999999</v>
      </c>
      <c r="K308" s="31" t="n">
        <f aca="false">SUMPRODUCT(LT_incl*(1-ISNUMBER(LT_yb)),LT_navres)</f>
        <v>400000</v>
      </c>
      <c r="L308" s="33" t="n">
        <f aca="false">IFERROR(SUMPRODUCT(LT_incl*(1-ISNUMBER(LT_yb)),LT_upb,LT_eff)/SUMPRODUCT(LT_incl*(1-ISNUMBER(LT_yb))*ISNUMBER(LT_eff),LT_upb),0)</f>
        <v>0.0576005557599569</v>
      </c>
      <c r="M308" s="33" t="n">
        <f aca="false">IFERROR(SUMPRODUCT(LT_incl*(1-ISNUMBER(LT_yb)),LT_upb,LT_coupon)/SUMPRODUCT(LT_incl*(1-ISNUMBER(LT_yb))*ISNUMBER(LT_coupon),LT_upb),0)</f>
        <v>0.0941005557599569</v>
      </c>
      <c r="N308" s="32" t="n">
        <f aca="false">IFERROR(SUMPRODUCT(LT_incl*(1-ISNUMBER(LT_yb)),LT_upb,LT_ltv_asis)/SUMPRODUCT(LT_incl*(1-ISNUMBER(LT_yb))*ISNUMBER(LT_ltv_asis),LT_upb),0)</f>
        <v>0.659745943165638</v>
      </c>
      <c r="O308" s="32" t="n">
        <f aca="false">IFERROR(SUMPRODUCT(LT_incl*(1-ISNUMBER(LT_yb)),LT_upb,LT_ltv_stab)/SUMPRODUCT(LT_incl*(1-ISNUMBER(LT_yb))*ISNUMBER(LT_ltv_stab),LT_upb),0)</f>
        <v>0.705697979338718</v>
      </c>
      <c r="P308" s="34" t="n">
        <f aca="false">IFERROR(SUMPRODUCT(LT_incl*(1-ISNUMBER(LT_yb)),LT_upb,LT_seas)/SUMPRODUCT(LT_incl*(1-ISNUMBER(LT_yb))*ISNUMBER(LT_seas),LT_upb),0)</f>
        <v>16.5667097678222</v>
      </c>
      <c r="Q308" s="34" t="n">
        <f aca="false">IFERROR(SUMPRODUCT(LT_incl*(1-ISNUMBER(LT_yb)),LT_upb,LT_rti)/SUMPRODUCT(LT_incl*(1-ISNUMBER(LT_yb))*ISNUMBER(LT_rti),LT_upb),0)</f>
        <v>13.0538406872518</v>
      </c>
      <c r="R308" s="34" t="n">
        <f aca="false">IFERROR(SUMPRODUCT(LT_incl*(1-ISNUMBER(LT_yb)),LT_upb,LT_rte)/SUMPRODUCT(LT_incl*(1-ISNUMBER(LT_yb))*ISNUMBER(LT_rte),LT_upb),0)</f>
        <v>27.2418728990664</v>
      </c>
      <c r="S308" s="32" t="n">
        <f aca="false">IFERROR(SUMPRODUCT(LT_incl*(1-ISNUMBER(LT_yb)),LT_backdebt)/G308,0)</f>
        <v>0.595245695965714</v>
      </c>
      <c r="T308" s="32" t="n">
        <f aca="false">IFERROR(SUMPRODUCT(LT_incl*(1-ISNUMBER(LT_yb)),LT_equity,LT_roe)/SUMPRODUCT(LT_incl*(1-ISNUMBER(LT_yb))*ISNUMBER(LT_roe),LT_equity),0)</f>
        <v>0.137503306294343</v>
      </c>
    </row>
    <row r="309" customFormat="false" ht="15" hidden="false" customHeight="false" outlineLevel="0" collapsed="false">
      <c r="B309" s="35" t="s">
        <v>76</v>
      </c>
      <c r="C309" s="45" t="n">
        <f aca="false">SUMPRODUCT(LT_incl*(1))</f>
        <v>131</v>
      </c>
      <c r="D309" s="38" t="n">
        <f aca="false">IFERROR(C309/StratLoans,0)</f>
        <v>1</v>
      </c>
      <c r="E309" s="45" t="n">
        <f aca="false">SUMPRODUCT(LT_incl*(1),LT_units)</f>
        <v>22360</v>
      </c>
      <c r="F309" s="45" t="n">
        <f aca="false">SUMPRODUCT(LT_incl*(1),LT_beds)</f>
        <v>8726</v>
      </c>
      <c r="G309" s="37" t="n">
        <f aca="false">SUMPRODUCT(LT_incl*(1),LT_upb)</f>
        <v>3716189993.3</v>
      </c>
      <c r="H309" s="38" t="n">
        <f aca="false">IFERROR(G309/StratUPB,0)</f>
        <v>1</v>
      </c>
      <c r="I309" s="37" t="n">
        <f aca="false">IFERROR(G309/C309,0)</f>
        <v>28367862.5442748</v>
      </c>
      <c r="J309" s="37" t="n">
        <f aca="false">SUMPRODUCT(LT_incl*(1),LT_unfunded)</f>
        <v>70425498.27</v>
      </c>
      <c r="K309" s="37" t="n">
        <f aca="false">SUMPRODUCT(LT_incl*(1),LT_navres)</f>
        <v>-35761255.0310469</v>
      </c>
      <c r="L309" s="39" t="n">
        <f aca="false">IFERROR(SUMPRODUCT(LT_incl*(1),LT_upb,LT_eff)/SUMPRODUCT(LT_incl*(1)*ISNUMBER(LT_eff),LT_upb),0)</f>
        <v>0.0384104790702225</v>
      </c>
      <c r="M309" s="39" t="n">
        <f aca="false">IFERROR(SUMPRODUCT(LT_incl*(1),LT_upb,LT_coupon)/SUMPRODUCT(LT_incl*(1)*ISNUMBER(LT_coupon),LT_upb),0)</f>
        <v>0.0749104790702225</v>
      </c>
      <c r="N309" s="38" t="n">
        <f aca="false">IFERROR(SUMPRODUCT(LT_incl*(1),LT_upb,LT_ltv_asis)/SUMPRODUCT(LT_incl*(1)*ISNUMBER(LT_ltv_asis),LT_upb),0)</f>
        <v>0.685976245136614</v>
      </c>
      <c r="O309" s="38" t="n">
        <f aca="false">IFERROR(SUMPRODUCT(LT_incl*(1),LT_upb,LT_ltv_stab)/SUMPRODUCT(LT_incl*(1)*ISNUMBER(LT_ltv_stab),LT_upb),0)</f>
        <v>0.658970555756018</v>
      </c>
      <c r="P309" s="40" t="n">
        <f aca="false">IFERROR(SUMPRODUCT(LT_incl*(1),LT_upb,LT_seas)/SUMPRODUCT(LT_incl*(1)*ISNUMBER(LT_seas),LT_upb),0)</f>
        <v>26.0197171750702</v>
      </c>
      <c r="Q309" s="40" t="n">
        <f aca="false">IFERROR(SUMPRODUCT(LT_incl*(1),LT_upb,LT_rti)/SUMPRODUCT(LT_incl*(1)*ISNUMBER(LT_rti),LT_upb),0)</f>
        <v>10.7164396387939</v>
      </c>
      <c r="R309" s="40" t="n">
        <f aca="false">IFERROR(SUMPRODUCT(LT_incl*(1),LT_upb,LT_rte)/SUMPRODUCT(LT_incl*(1)*ISNUMBER(LT_rte),LT_upb),0)</f>
        <v>23.051497716819</v>
      </c>
      <c r="S309" s="38" t="n">
        <f aca="false">IFERROR(SUMPRODUCT(LT_incl*(1),LT_backdebt)/G309,0)</f>
        <v>0.628005362553862</v>
      </c>
      <c r="T309" s="38" t="n">
        <f aca="false">IFERROR(SUMPRODUCT(LT_incl*(1),LT_equity,LT_roe)/SUMPRODUCT(LT_incl*(1)*ISNUMBER(LT_roe),LT_equity),0)</f>
        <v>0.107961987212177</v>
      </c>
    </row>
    <row r="310" customFormat="false" ht="15" hidden="false" customHeight="false" outlineLevel="0" collapsed="false">
      <c r="B310" s="1" t="s">
        <v>239</v>
      </c>
    </row>
    <row r="312" customFormat="false" ht="15" hidden="false" customHeight="false" outlineLevel="0" collapsed="false">
      <c r="B312" s="3" t="s">
        <v>240</v>
      </c>
      <c r="C312" s="4"/>
      <c r="D312" s="4"/>
      <c r="E312" s="4"/>
      <c r="F312" s="4"/>
      <c r="G312" s="4"/>
      <c r="H312" s="4"/>
      <c r="I312" s="4"/>
      <c r="J312" s="4"/>
      <c r="K312" s="4"/>
      <c r="L312" s="4"/>
      <c r="M312" s="4"/>
      <c r="N312" s="4"/>
      <c r="O312" s="4"/>
      <c r="P312" s="4"/>
      <c r="Q312" s="4"/>
      <c r="R312" s="4"/>
      <c r="S312" s="4"/>
      <c r="T312" s="4"/>
    </row>
    <row r="313" customFormat="false" ht="30" hidden="false" customHeight="true" outlineLevel="0" collapsed="false">
      <c r="B313" s="16" t="s">
        <v>241</v>
      </c>
      <c r="C313" s="17" t="s">
        <v>242</v>
      </c>
      <c r="D313" s="17" t="s">
        <v>243</v>
      </c>
      <c r="E313" s="17" t="s">
        <v>244</v>
      </c>
      <c r="F313" s="17"/>
      <c r="G313" s="17" t="s">
        <v>245</v>
      </c>
      <c r="H313" s="17" t="s">
        <v>246</v>
      </c>
      <c r="I313" s="17" t="s">
        <v>247</v>
      </c>
      <c r="J313" s="17" t="s">
        <v>248</v>
      </c>
    </row>
    <row r="314" customFormat="false" ht="15" hidden="false" customHeight="false" outlineLevel="0" collapsed="false">
      <c r="B314" s="18" t="s">
        <v>62</v>
      </c>
      <c r="C314" s="26" t="n">
        <f aca="false">SUM(C39:C42)</f>
        <v>131</v>
      </c>
      <c r="D314" s="26" t="n">
        <f aca="false">C43</f>
        <v>131</v>
      </c>
      <c r="E314" s="26" t="n">
        <f aca="false">C314-StratLoans</f>
        <v>0</v>
      </c>
      <c r="G314" s="22" t="n">
        <f aca="false">SUM(G39:G42)</f>
        <v>3716189993.3</v>
      </c>
      <c r="H314" s="22" t="n">
        <f aca="false">G43</f>
        <v>3716189993.3</v>
      </c>
      <c r="I314" s="22" t="n">
        <f aca="false">G314-StratUPB</f>
        <v>0</v>
      </c>
      <c r="J314" s="51" t="str">
        <f aca="false">IF(AND(ABS(E314)&lt;0.5,ABS(D314-StratLoans)&lt;0.5,ABS(I314)&lt;1,ABS(H314-StratUPB)&lt;1),"PASS","FAIL")</f>
        <v>PASS</v>
      </c>
    </row>
    <row r="315" customFormat="false" ht="15" hidden="false" customHeight="false" outlineLevel="0" collapsed="false">
      <c r="B315" s="27" t="s">
        <v>77</v>
      </c>
      <c r="C315" s="44" t="n">
        <f aca="false">SUM(C47:C53)</f>
        <v>131</v>
      </c>
      <c r="D315" s="44" t="n">
        <f aca="false">C54</f>
        <v>131</v>
      </c>
      <c r="E315" s="44" t="n">
        <f aca="false">C315-StratLoans</f>
        <v>0</v>
      </c>
      <c r="F315" s="7"/>
      <c r="G315" s="31" t="n">
        <f aca="false">SUM(G47:G53)</f>
        <v>3716189993.3</v>
      </c>
      <c r="H315" s="31" t="n">
        <f aca="false">G54</f>
        <v>3716189993.3</v>
      </c>
      <c r="I315" s="31" t="n">
        <f aca="false">G315-StratUPB</f>
        <v>0</v>
      </c>
      <c r="J315" s="52" t="str">
        <f aca="false">IF(AND(ABS(E315)&lt;0.5,ABS(D315-StratLoans)&lt;0.5,ABS(I315)&lt;1,ABS(H315-StratUPB)&lt;1),"PASS","FAIL")</f>
        <v>PASS</v>
      </c>
    </row>
    <row r="316" customFormat="false" ht="15" hidden="false" customHeight="false" outlineLevel="0" collapsed="false">
      <c r="B316" s="18" t="s">
        <v>83</v>
      </c>
      <c r="C316" s="26" t="n">
        <f aca="false">SUM(C58:C65)</f>
        <v>131</v>
      </c>
      <c r="D316" s="26" t="n">
        <f aca="false">C66</f>
        <v>131</v>
      </c>
      <c r="E316" s="26" t="n">
        <f aca="false">C316-StratLoans</f>
        <v>0</v>
      </c>
      <c r="G316" s="22" t="n">
        <f aca="false">SUM(G58:G65)</f>
        <v>3716189993.3</v>
      </c>
      <c r="H316" s="22" t="n">
        <f aca="false">G66</f>
        <v>3716189993.3</v>
      </c>
      <c r="I316" s="22" t="n">
        <f aca="false">G316-StratUPB</f>
        <v>0</v>
      </c>
      <c r="J316" s="51" t="str">
        <f aca="false">IF(AND(ABS(E316)&lt;0.5,ABS(D316-StratLoans)&lt;0.5,ABS(I316)&lt;1,ABS(H316-StratUPB)&lt;1),"PASS","FAIL")</f>
        <v>PASS</v>
      </c>
    </row>
    <row r="317" customFormat="false" ht="15" hidden="false" customHeight="false" outlineLevel="0" collapsed="false">
      <c r="B317" s="27" t="s">
        <v>91</v>
      </c>
      <c r="C317" s="44" t="n">
        <f aca="false">SUM(C70:C85)</f>
        <v>131</v>
      </c>
      <c r="D317" s="44" t="n">
        <f aca="false">C86</f>
        <v>131</v>
      </c>
      <c r="E317" s="44" t="n">
        <f aca="false">C317-StratLoans</f>
        <v>0</v>
      </c>
      <c r="F317" s="7"/>
      <c r="G317" s="31" t="n">
        <f aca="false">SUM(G70:G85)</f>
        <v>3716189993.3</v>
      </c>
      <c r="H317" s="31" t="n">
        <f aca="false">G86</f>
        <v>3716189993.3</v>
      </c>
      <c r="I317" s="31" t="n">
        <f aca="false">G317-StratUPB</f>
        <v>0</v>
      </c>
      <c r="J317" s="52" t="str">
        <f aca="false">IF(AND(ABS(E317)&lt;0.5,ABS(D317-StratLoans)&lt;0.5,ABS(I317)&lt;1,ABS(H317-StratUPB)&lt;1),"PASS","FAIL")</f>
        <v>PASS</v>
      </c>
    </row>
    <row r="318" customFormat="false" ht="15" hidden="false" customHeight="false" outlineLevel="0" collapsed="false">
      <c r="B318" s="18" t="s">
        <v>108</v>
      </c>
      <c r="C318" s="26" t="n">
        <f aca="false">SUM(C90:C97)</f>
        <v>131</v>
      </c>
      <c r="D318" s="26" t="n">
        <f aca="false">C98</f>
        <v>131</v>
      </c>
      <c r="E318" s="26" t="n">
        <f aca="false">C318-StratLoans</f>
        <v>0</v>
      </c>
      <c r="G318" s="22" t="n">
        <f aca="false">SUM(G90:G97)</f>
        <v>3716189993.3</v>
      </c>
      <c r="H318" s="22" t="n">
        <f aca="false">G98</f>
        <v>3716189993.3</v>
      </c>
      <c r="I318" s="22" t="n">
        <f aca="false">G318-StratUPB</f>
        <v>0</v>
      </c>
      <c r="J318" s="51" t="str">
        <f aca="false">IF(AND(ABS(E318)&lt;0.5,ABS(D318-StratLoans)&lt;0.5,ABS(I318)&lt;1,ABS(H318-StratUPB)&lt;1),"PASS","FAIL")</f>
        <v>PASS</v>
      </c>
    </row>
    <row r="319" customFormat="false" ht="15" hidden="false" customHeight="false" outlineLevel="0" collapsed="false">
      <c r="B319" s="27" t="s">
        <v>116</v>
      </c>
      <c r="C319" s="44" t="n">
        <f aca="false">SUM(C102:C116)</f>
        <v>131</v>
      </c>
      <c r="D319" s="44" t="n">
        <f aca="false">C117</f>
        <v>131</v>
      </c>
      <c r="E319" s="44" t="n">
        <f aca="false">C319-StratLoans</f>
        <v>0</v>
      </c>
      <c r="F319" s="7"/>
      <c r="G319" s="31" t="n">
        <f aca="false">SUM(G102:G116)</f>
        <v>3716189993.3</v>
      </c>
      <c r="H319" s="31" t="n">
        <f aca="false">G117</f>
        <v>3716189993.3</v>
      </c>
      <c r="I319" s="31" t="n">
        <f aca="false">G319-StratUPB</f>
        <v>0</v>
      </c>
      <c r="J319" s="52" t="str">
        <f aca="false">IF(AND(ABS(E319)&lt;0.5,ABS(D319-StratLoans)&lt;0.5,ABS(I319)&lt;1,ABS(H319-StratUPB)&lt;1),"PASS","FAIL")</f>
        <v>PASS</v>
      </c>
    </row>
    <row r="320" customFormat="false" ht="15" hidden="false" customHeight="false" outlineLevel="0" collapsed="false">
      <c r="B320" s="18" t="s">
        <v>131</v>
      </c>
      <c r="C320" s="26" t="n">
        <f aca="false">SUM(C121:C123)</f>
        <v>131</v>
      </c>
      <c r="D320" s="26" t="n">
        <f aca="false">C124</f>
        <v>131</v>
      </c>
      <c r="E320" s="26" t="n">
        <f aca="false">C320-StratLoans</f>
        <v>0</v>
      </c>
      <c r="G320" s="22" t="n">
        <f aca="false">SUM(G121:G123)</f>
        <v>3716189993.3</v>
      </c>
      <c r="H320" s="22" t="n">
        <f aca="false">G124</f>
        <v>3716189993.3</v>
      </c>
      <c r="I320" s="22" t="n">
        <f aca="false">G320-StratUPB</f>
        <v>0</v>
      </c>
      <c r="J320" s="51" t="str">
        <f aca="false">IF(AND(ABS(E320)&lt;0.5,ABS(D320-StratLoans)&lt;0.5,ABS(I320)&lt;1,ABS(H320-StratUPB)&lt;1),"PASS","FAIL")</f>
        <v>PASS</v>
      </c>
    </row>
    <row r="321" customFormat="false" ht="15" hidden="false" customHeight="false" outlineLevel="0" collapsed="false">
      <c r="B321" s="27" t="s">
        <v>134</v>
      </c>
      <c r="C321" s="44" t="n">
        <f aca="false">SUM(C128:C132)</f>
        <v>131</v>
      </c>
      <c r="D321" s="44" t="n">
        <f aca="false">C133</f>
        <v>131</v>
      </c>
      <c r="E321" s="44" t="n">
        <f aca="false">C321-StratLoans</f>
        <v>0</v>
      </c>
      <c r="F321" s="7"/>
      <c r="G321" s="31" t="n">
        <f aca="false">SUM(G128:G132)</f>
        <v>3716189993.3</v>
      </c>
      <c r="H321" s="31" t="n">
        <f aca="false">G133</f>
        <v>3716189993.3</v>
      </c>
      <c r="I321" s="31" t="n">
        <f aca="false">G321-StratUPB</f>
        <v>0</v>
      </c>
      <c r="J321" s="52" t="str">
        <f aca="false">IF(AND(ABS(E321)&lt;0.5,ABS(D321-StratLoans)&lt;0.5,ABS(I321)&lt;1,ABS(H321-StratUPB)&lt;1),"PASS","FAIL")</f>
        <v>PASS</v>
      </c>
    </row>
    <row r="322" customFormat="false" ht="15" hidden="false" customHeight="false" outlineLevel="0" collapsed="false">
      <c r="B322" s="18" t="s">
        <v>139</v>
      </c>
      <c r="C322" s="26" t="n">
        <f aca="false">SUM(C137:C143)</f>
        <v>131</v>
      </c>
      <c r="D322" s="26" t="n">
        <f aca="false">C144</f>
        <v>131</v>
      </c>
      <c r="E322" s="26" t="n">
        <f aca="false">C322-StratLoans</f>
        <v>0</v>
      </c>
      <c r="G322" s="22" t="n">
        <f aca="false">SUM(G137:G143)</f>
        <v>3716189993.3</v>
      </c>
      <c r="H322" s="22" t="n">
        <f aca="false">G144</f>
        <v>3716189993.3</v>
      </c>
      <c r="I322" s="22" t="n">
        <f aca="false">G322-StratUPB</f>
        <v>0</v>
      </c>
      <c r="J322" s="51" t="str">
        <f aca="false">IF(AND(ABS(E322)&lt;0.5,ABS(D322-StratLoans)&lt;0.5,ABS(I322)&lt;1,ABS(H322-StratUPB)&lt;1),"PASS","FAIL")</f>
        <v>PASS</v>
      </c>
    </row>
    <row r="323" customFormat="false" ht="15" hidden="false" customHeight="false" outlineLevel="0" collapsed="false">
      <c r="B323" s="27" t="s">
        <v>146</v>
      </c>
      <c r="C323" s="44" t="n">
        <f aca="false">SUM(C148:C154)</f>
        <v>131</v>
      </c>
      <c r="D323" s="44" t="n">
        <f aca="false">C155</f>
        <v>131</v>
      </c>
      <c r="E323" s="44" t="n">
        <f aca="false">C323-StratLoans</f>
        <v>0</v>
      </c>
      <c r="F323" s="7"/>
      <c r="G323" s="31" t="n">
        <f aca="false">SUM(G148:G154)</f>
        <v>3716189993.3</v>
      </c>
      <c r="H323" s="31" t="n">
        <f aca="false">G155</f>
        <v>3716189993.3</v>
      </c>
      <c r="I323" s="31" t="n">
        <f aca="false">G323-StratUPB</f>
        <v>0</v>
      </c>
      <c r="J323" s="52" t="str">
        <f aca="false">IF(AND(ABS(E323)&lt;0.5,ABS(D323-StratLoans)&lt;0.5,ABS(I323)&lt;1,ABS(H323-StratUPB)&lt;1),"PASS","FAIL")</f>
        <v>PASS</v>
      </c>
    </row>
    <row r="324" customFormat="false" ht="15" hidden="false" customHeight="false" outlineLevel="0" collapsed="false">
      <c r="B324" s="18" t="s">
        <v>157</v>
      </c>
      <c r="C324" s="26" t="n">
        <f aca="false">SUM(C159:C165)</f>
        <v>131</v>
      </c>
      <c r="D324" s="26" t="n">
        <f aca="false">C166</f>
        <v>131</v>
      </c>
      <c r="E324" s="26" t="n">
        <f aca="false">C324-StratLoans</f>
        <v>0</v>
      </c>
      <c r="G324" s="22" t="n">
        <f aca="false">SUM(G159:G165)</f>
        <v>3716189993.3</v>
      </c>
      <c r="H324" s="22" t="n">
        <f aca="false">G166</f>
        <v>3716189993.3</v>
      </c>
      <c r="I324" s="22" t="n">
        <f aca="false">G324-StratUPB</f>
        <v>0</v>
      </c>
      <c r="J324" s="51" t="str">
        <f aca="false">IF(AND(ABS(E324)&lt;0.5,ABS(D324-StratLoans)&lt;0.5,ABS(I324)&lt;1,ABS(H324-StratUPB)&lt;1),"PASS","FAIL")</f>
        <v>PASS</v>
      </c>
    </row>
    <row r="325" customFormat="false" ht="15" hidden="false" customHeight="false" outlineLevel="0" collapsed="false">
      <c r="B325" s="27" t="s">
        <v>165</v>
      </c>
      <c r="C325" s="44" t="n">
        <f aca="false">SUM(C170:C176)</f>
        <v>131</v>
      </c>
      <c r="D325" s="44" t="n">
        <f aca="false">C177</f>
        <v>131</v>
      </c>
      <c r="E325" s="44" t="n">
        <f aca="false">C325-StratLoans</f>
        <v>0</v>
      </c>
      <c r="F325" s="7"/>
      <c r="G325" s="31" t="n">
        <f aca="false">SUM(G170:G176)</f>
        <v>3716189993.3</v>
      </c>
      <c r="H325" s="31" t="n">
        <f aca="false">G177</f>
        <v>3716189993.3</v>
      </c>
      <c r="I325" s="31" t="n">
        <f aca="false">G325-StratUPB</f>
        <v>0</v>
      </c>
      <c r="J325" s="52" t="str">
        <f aca="false">IF(AND(ABS(E325)&lt;0.5,ABS(D325-StratLoans)&lt;0.5,ABS(I325)&lt;1,ABS(H325-StratUPB)&lt;1),"PASS","FAIL")</f>
        <v>PASS</v>
      </c>
    </row>
    <row r="326" customFormat="false" ht="15" hidden="false" customHeight="false" outlineLevel="0" collapsed="false">
      <c r="B326" s="18" t="s">
        <v>173</v>
      </c>
      <c r="C326" s="26" t="n">
        <f aca="false">SUM(C181:C185)</f>
        <v>131</v>
      </c>
      <c r="D326" s="26" t="n">
        <f aca="false">C186</f>
        <v>131</v>
      </c>
      <c r="E326" s="26" t="n">
        <f aca="false">C326-StratLoans</f>
        <v>0</v>
      </c>
      <c r="G326" s="22" t="n">
        <f aca="false">SUM(G181:G185)</f>
        <v>3716189993.3</v>
      </c>
      <c r="H326" s="22" t="n">
        <f aca="false">G186</f>
        <v>3716189993.3</v>
      </c>
      <c r="I326" s="22" t="n">
        <f aca="false">G326-StratUPB</f>
        <v>0</v>
      </c>
      <c r="J326" s="51" t="str">
        <f aca="false">IF(AND(ABS(E326)&lt;0.5,ABS(D326-StratLoans)&lt;0.5,ABS(I326)&lt;1,ABS(H326-StratUPB)&lt;1),"PASS","FAIL")</f>
        <v>PASS</v>
      </c>
    </row>
    <row r="327" customFormat="false" ht="15" hidden="false" customHeight="false" outlineLevel="0" collapsed="false">
      <c r="B327" s="27" t="s">
        <v>180</v>
      </c>
      <c r="C327" s="44" t="n">
        <f aca="false">SUM(C191:C196)</f>
        <v>131</v>
      </c>
      <c r="D327" s="44" t="n">
        <f aca="false">C197</f>
        <v>131</v>
      </c>
      <c r="E327" s="44" t="n">
        <f aca="false">C327-StratLoans</f>
        <v>0</v>
      </c>
      <c r="F327" s="7"/>
      <c r="G327" s="31" t="n">
        <f aca="false">SUM(G191:G196)</f>
        <v>3716189993.3</v>
      </c>
      <c r="H327" s="31" t="n">
        <f aca="false">G197</f>
        <v>3716189993.3</v>
      </c>
      <c r="I327" s="31" t="n">
        <f aca="false">G327-StratUPB</f>
        <v>0</v>
      </c>
      <c r="J327" s="52" t="str">
        <f aca="false">IF(AND(ABS(E327)&lt;0.5,ABS(D327-StratLoans)&lt;0.5,ABS(I327)&lt;1,ABS(H327-StratUPB)&lt;1),"PASS","FAIL")</f>
        <v>PASS</v>
      </c>
    </row>
    <row r="328" customFormat="false" ht="15" hidden="false" customHeight="false" outlineLevel="0" collapsed="false">
      <c r="B328" s="18" t="s">
        <v>186</v>
      </c>
      <c r="C328" s="26" t="n">
        <f aca="false">SUM(C201:C209)</f>
        <v>131</v>
      </c>
      <c r="D328" s="26" t="n">
        <f aca="false">C210</f>
        <v>131</v>
      </c>
      <c r="E328" s="26" t="n">
        <f aca="false">C328-StratLoans</f>
        <v>0</v>
      </c>
      <c r="G328" s="22" t="n">
        <f aca="false">SUM(G201:G209)</f>
        <v>3716189993.3</v>
      </c>
      <c r="H328" s="22" t="n">
        <f aca="false">G210</f>
        <v>3716189993.3</v>
      </c>
      <c r="I328" s="22" t="n">
        <f aca="false">G328-StratUPB</f>
        <v>0</v>
      </c>
      <c r="J328" s="51" t="str">
        <f aca="false">IF(AND(ABS(E328)&lt;0.5,ABS(D328-StratLoans)&lt;0.5,ABS(I328)&lt;1,ABS(H328-StratUPB)&lt;1),"PASS","FAIL")</f>
        <v>PASS</v>
      </c>
    </row>
    <row r="329" customFormat="false" ht="15" hidden="false" customHeight="false" outlineLevel="0" collapsed="false">
      <c r="B329" s="27" t="s">
        <v>196</v>
      </c>
      <c r="C329" s="44" t="n">
        <f aca="false">SUM(C214:C222)</f>
        <v>131</v>
      </c>
      <c r="D329" s="44" t="n">
        <f aca="false">C223</f>
        <v>131</v>
      </c>
      <c r="E329" s="44" t="n">
        <f aca="false">C329-StratLoans</f>
        <v>0</v>
      </c>
      <c r="F329" s="7"/>
      <c r="G329" s="31" t="n">
        <f aca="false">SUM(G214:G222)</f>
        <v>3716189993.3</v>
      </c>
      <c r="H329" s="31" t="n">
        <f aca="false">G223</f>
        <v>3716189993.3</v>
      </c>
      <c r="I329" s="31" t="n">
        <f aca="false">G329-StratUPB</f>
        <v>0</v>
      </c>
      <c r="J329" s="52" t="str">
        <f aca="false">IF(AND(ABS(E329)&lt;0.5,ABS(D329-StratLoans)&lt;0.5,ABS(I329)&lt;1,ABS(H329-StratUPB)&lt;1),"PASS","FAIL")</f>
        <v>PASS</v>
      </c>
    </row>
    <row r="330" customFormat="false" ht="15" hidden="false" customHeight="false" outlineLevel="0" collapsed="false">
      <c r="B330" s="18" t="s">
        <v>197</v>
      </c>
      <c r="C330" s="26" t="n">
        <f aca="false">SUM(C227:C233)</f>
        <v>131</v>
      </c>
      <c r="D330" s="26" t="n">
        <f aca="false">C234</f>
        <v>131</v>
      </c>
      <c r="E330" s="26" t="n">
        <f aca="false">C330-StratLoans</f>
        <v>0</v>
      </c>
      <c r="G330" s="22" t="n">
        <f aca="false">SUM(G227:G233)</f>
        <v>3716189993.3</v>
      </c>
      <c r="H330" s="22" t="n">
        <f aca="false">G234</f>
        <v>3716189993.3</v>
      </c>
      <c r="I330" s="22" t="n">
        <f aca="false">G330-StratUPB</f>
        <v>0</v>
      </c>
      <c r="J330" s="51" t="str">
        <f aca="false">IF(AND(ABS(E330)&lt;0.5,ABS(D330-StratLoans)&lt;0.5,ABS(I330)&lt;1,ABS(H330-StratUPB)&lt;1),"PASS","FAIL")</f>
        <v>PASS</v>
      </c>
    </row>
    <row r="331" customFormat="false" ht="15" hidden="false" customHeight="false" outlineLevel="0" collapsed="false">
      <c r="B331" s="27" t="s">
        <v>200</v>
      </c>
      <c r="C331" s="44" t="n">
        <f aca="false">SUM(C238:C244)</f>
        <v>131</v>
      </c>
      <c r="D331" s="44" t="n">
        <f aca="false">C245</f>
        <v>131</v>
      </c>
      <c r="E331" s="44" t="n">
        <f aca="false">C331-StratLoans</f>
        <v>0</v>
      </c>
      <c r="F331" s="7"/>
      <c r="G331" s="31" t="n">
        <f aca="false">SUM(G238:G244)</f>
        <v>3716189993.3</v>
      </c>
      <c r="H331" s="31" t="n">
        <f aca="false">G245</f>
        <v>3716189993.3</v>
      </c>
      <c r="I331" s="31" t="n">
        <f aca="false">G331-StratUPB</f>
        <v>0</v>
      </c>
      <c r="J331" s="52" t="str">
        <f aca="false">IF(AND(ABS(E331)&lt;0.5,ABS(D331-StratLoans)&lt;0.5,ABS(I331)&lt;1,ABS(H331-StratUPB)&lt;1),"PASS","FAIL")</f>
        <v>PASS</v>
      </c>
    </row>
    <row r="332" customFormat="false" ht="15" hidden="false" customHeight="false" outlineLevel="0" collapsed="false">
      <c r="B332" s="18" t="s">
        <v>208</v>
      </c>
      <c r="C332" s="26" t="n">
        <f aca="false">SUM(C249:C254)</f>
        <v>131</v>
      </c>
      <c r="D332" s="26" t="n">
        <f aca="false">C255</f>
        <v>131</v>
      </c>
      <c r="E332" s="26" t="n">
        <f aca="false">C332-StratLoans</f>
        <v>0</v>
      </c>
      <c r="G332" s="22" t="n">
        <f aca="false">SUM(G249:G254)</f>
        <v>3716189993.3</v>
      </c>
      <c r="H332" s="22" t="n">
        <f aca="false">G255</f>
        <v>3716189993.3</v>
      </c>
      <c r="I332" s="22" t="n">
        <f aca="false">G332-StratUPB</f>
        <v>0</v>
      </c>
      <c r="J332" s="51" t="str">
        <f aca="false">IF(AND(ABS(E332)&lt;0.5,ABS(D332-StratLoans)&lt;0.5,ABS(I332)&lt;1,ABS(H332-StratUPB)&lt;1),"PASS","FAIL")</f>
        <v>PASS</v>
      </c>
    </row>
    <row r="333" customFormat="false" ht="15" hidden="false" customHeight="false" outlineLevel="0" collapsed="false">
      <c r="B333" s="27" t="s">
        <v>212</v>
      </c>
      <c r="C333" s="44" t="n">
        <f aca="false">SUM(C259:C265)</f>
        <v>131</v>
      </c>
      <c r="D333" s="44" t="n">
        <f aca="false">C266</f>
        <v>131</v>
      </c>
      <c r="E333" s="44" t="n">
        <f aca="false">C333-StratLoans</f>
        <v>0</v>
      </c>
      <c r="F333" s="7"/>
      <c r="G333" s="31" t="n">
        <f aca="false">SUM(G259:G265)</f>
        <v>3716189993.3</v>
      </c>
      <c r="H333" s="31" t="n">
        <f aca="false">G266</f>
        <v>3716189993.3</v>
      </c>
      <c r="I333" s="31" t="n">
        <f aca="false">G333-StratUPB</f>
        <v>0</v>
      </c>
      <c r="J333" s="52" t="str">
        <f aca="false">IF(AND(ABS(E333)&lt;0.5,ABS(D333-StratLoans)&lt;0.5,ABS(I333)&lt;1,ABS(H333-StratUPB)&lt;1),"PASS","FAIL")</f>
        <v>PASS</v>
      </c>
    </row>
    <row r="334" customFormat="false" ht="15" hidden="false" customHeight="false" outlineLevel="0" collapsed="false">
      <c r="B334" s="18" t="s">
        <v>215</v>
      </c>
      <c r="C334" s="26" t="n">
        <f aca="false">SUM(C270:C275)</f>
        <v>131</v>
      </c>
      <c r="D334" s="26" t="n">
        <f aca="false">C276</f>
        <v>131</v>
      </c>
      <c r="E334" s="26" t="n">
        <f aca="false">C334-StratLoans</f>
        <v>0</v>
      </c>
      <c r="G334" s="22" t="n">
        <f aca="false">SUM(G270:G275)</f>
        <v>3716189993.3</v>
      </c>
      <c r="H334" s="22" t="n">
        <f aca="false">G276</f>
        <v>3716189993.3</v>
      </c>
      <c r="I334" s="22" t="n">
        <f aca="false">G334-StratUPB</f>
        <v>0</v>
      </c>
      <c r="J334" s="51" t="str">
        <f aca="false">IF(AND(ABS(E334)&lt;0.5,ABS(D334-StratLoans)&lt;0.5,ABS(I334)&lt;1,ABS(H334-StratUPB)&lt;1),"PASS","FAIL")</f>
        <v>PASS</v>
      </c>
    </row>
    <row r="335" customFormat="false" ht="15" hidden="false" customHeight="false" outlineLevel="0" collapsed="false">
      <c r="B335" s="27" t="s">
        <v>222</v>
      </c>
      <c r="C335" s="44" t="n">
        <f aca="false">SUM(C280:C286)</f>
        <v>131</v>
      </c>
      <c r="D335" s="44" t="n">
        <f aca="false">C287</f>
        <v>131</v>
      </c>
      <c r="E335" s="44" t="n">
        <f aca="false">C335-StratLoans</f>
        <v>0</v>
      </c>
      <c r="F335" s="7"/>
      <c r="G335" s="31" t="n">
        <f aca="false">SUM(G280:G286)</f>
        <v>3716189993.3</v>
      </c>
      <c r="H335" s="31" t="n">
        <f aca="false">G287</f>
        <v>3716189993.3</v>
      </c>
      <c r="I335" s="31" t="n">
        <f aca="false">G335-StratUPB</f>
        <v>0</v>
      </c>
      <c r="J335" s="52" t="str">
        <f aca="false">IF(AND(ABS(E335)&lt;0.5,ABS(D335-StratLoans)&lt;0.5,ABS(I335)&lt;1,ABS(H335-StratUPB)&lt;1),"PASS","FAIL")</f>
        <v>PASS</v>
      </c>
    </row>
    <row r="336" customFormat="false" ht="15" hidden="false" customHeight="false" outlineLevel="0" collapsed="false">
      <c r="B336" s="18" t="s">
        <v>225</v>
      </c>
      <c r="C336" s="26" t="n">
        <f aca="false">SUM(C291:C296)</f>
        <v>131</v>
      </c>
      <c r="D336" s="26" t="n">
        <f aca="false">C297</f>
        <v>131</v>
      </c>
      <c r="E336" s="26" t="n">
        <f aca="false">C336-StratLoans</f>
        <v>0</v>
      </c>
      <c r="G336" s="22" t="n">
        <f aca="false">SUM(G291:G296)</f>
        <v>3716189993.3</v>
      </c>
      <c r="H336" s="22" t="n">
        <f aca="false">G297</f>
        <v>3716189993.3</v>
      </c>
      <c r="I336" s="22" t="n">
        <f aca="false">G336-StratUPB</f>
        <v>0</v>
      </c>
      <c r="J336" s="51" t="str">
        <f aca="false">IF(AND(ABS(E336)&lt;0.5,ABS(D336-StratLoans)&lt;0.5,ABS(I336)&lt;1,ABS(H336-StratUPB)&lt;1),"PASS","FAIL")</f>
        <v>PASS</v>
      </c>
    </row>
    <row r="337" customFormat="false" ht="15" hidden="false" customHeight="false" outlineLevel="0" collapsed="false">
      <c r="B337" s="27" t="s">
        <v>231</v>
      </c>
      <c r="C337" s="44" t="n">
        <f aca="false">SUM(C301:C308)</f>
        <v>131</v>
      </c>
      <c r="D337" s="44" t="n">
        <f aca="false">C309</f>
        <v>131</v>
      </c>
      <c r="E337" s="44" t="n">
        <f aca="false">C337-StratLoans</f>
        <v>0</v>
      </c>
      <c r="F337" s="7"/>
      <c r="G337" s="31" t="n">
        <f aca="false">SUM(G301:G308)</f>
        <v>3716189993.3</v>
      </c>
      <c r="H337" s="31" t="n">
        <f aca="false">G309</f>
        <v>3716189993.3</v>
      </c>
      <c r="I337" s="31" t="n">
        <f aca="false">G337-StratUPB</f>
        <v>0</v>
      </c>
      <c r="J337" s="52" t="str">
        <f aca="false">IF(AND(ABS(E337)&lt;0.5,ABS(D337-StratLoans)&lt;0.5,ABS(I337)&lt;1,ABS(H337-StratUPB)&lt;1),"PASS","FAIL")</f>
        <v>PASS</v>
      </c>
    </row>
    <row r="338" customFormat="false" ht="15" hidden="false" customHeight="false" outlineLevel="0" collapsed="false">
      <c r="B338" s="53" t="str">
        <f aca="false">IF(COUNTIF(J314:J337,"FAIL")=0,"All "&amp;COUNTA(J314:J337)&amp;" strats tie to the filtered loan count and UPB.",COUNTIF(J314:J337,"FAIL")&amp;" strats do not tie. Review flagged rows above.")</f>
        <v>All 24 strats tie to the filtered loan count and UPB.</v>
      </c>
    </row>
    <row r="340" customFormat="false" ht="15" hidden="false" customHeight="false" outlineLevel="0" collapsed="false">
      <c r="B340" s="54" t="s">
        <v>249</v>
      </c>
    </row>
    <row r="341" customFormat="false" ht="15" hidden="false" customHeight="false" outlineLevel="0" collapsed="false">
      <c r="B341" s="1" t="s">
        <v>250</v>
      </c>
    </row>
    <row r="342" customFormat="false" ht="15" hidden="false" customHeight="false" outlineLevel="0" collapsed="false">
      <c r="B342" s="1" t="s">
        <v>251</v>
      </c>
    </row>
  </sheetData>
  <mergeCells count="1">
    <mergeCell ref="B2:T2"/>
  </mergeCells>
  <conditionalFormatting sqref="J314:J337">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dataValidations count="1">
    <dataValidation allowBlank="false" errorStyle="stop" operator="between" showDropDown="false" showErrorMessage="false" showInputMessage="false" sqref="C7" type="list">
      <formula1>"All Loans,Multifamily,Seniors Housing,Mezzanine"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M30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9"/>
    <col collapsed="false" customWidth="true" hidden="false" outlineLevel="0" max="4" min="4" style="0" width="40"/>
    <col collapsed="false" customWidth="true" hidden="false" outlineLevel="0" max="5" min="5" style="0" width="15"/>
    <col collapsed="false" customWidth="true" hidden="false" outlineLevel="0" max="6" min="6" style="0" width="14"/>
    <col collapsed="false" customWidth="true" hidden="false" outlineLevel="0" max="7" min="7" style="0" width="18"/>
    <col collapsed="false" customWidth="true" hidden="false" outlineLevel="0" max="8" min="8" style="0" width="14"/>
    <col collapsed="false" customWidth="true" hidden="false" outlineLevel="0" max="9" min="9" style="0" width="10"/>
    <col collapsed="false" customWidth="true" hidden="false" outlineLevel="0" max="10" min="10" style="0" width="9"/>
    <col collapsed="false" customWidth="true" hidden="false" outlineLevel="0" max="11" min="11" style="0" width="13"/>
    <col collapsed="false" customWidth="true" hidden="false" outlineLevel="0" max="13" min="12" style="0" width="9"/>
    <col collapsed="false" customWidth="true" hidden="false" outlineLevel="0" max="15" min="14" style="0" width="14"/>
    <col collapsed="false" customWidth="true" hidden="false" outlineLevel="0" max="16" min="16" style="0" width="15"/>
    <col collapsed="false" customWidth="true" hidden="false" outlineLevel="0" max="17" min="17" style="0" width="13"/>
    <col collapsed="false" customWidth="true" hidden="false" outlineLevel="0" max="18" min="18" style="0" width="15"/>
    <col collapsed="false" customWidth="true" hidden="false" outlineLevel="0" max="19" min="19" style="0" width="13"/>
    <col collapsed="false" customWidth="true" hidden="false" outlineLevel="0" max="22" min="20" style="0" width="15"/>
    <col collapsed="false" customWidth="true" hidden="false" outlineLevel="0" max="23" min="23" style="0" width="9"/>
    <col collapsed="false" customWidth="true" hidden="false" outlineLevel="0" max="24" min="24" style="0" width="10"/>
    <col collapsed="false" customWidth="true" hidden="false" outlineLevel="0" max="28" min="25" style="0" width="9"/>
    <col collapsed="false" customWidth="true" hidden="false" outlineLevel="0" max="29" min="29" style="0" width="8"/>
    <col collapsed="false" customWidth="true" hidden="false" outlineLevel="0" max="31" min="30" style="0" width="9"/>
    <col collapsed="false" customWidth="true" hidden="false" outlineLevel="0" max="36" min="32" style="0" width="11"/>
    <col collapsed="false" customWidth="true" hidden="false" outlineLevel="0" max="37" min="37" style="0" width="20"/>
    <col collapsed="false" customWidth="true" hidden="false" outlineLevel="0" max="38" min="38" style="0" width="14"/>
    <col collapsed="false" customWidth="true" hidden="false" outlineLevel="0" max="39" min="39" style="0" width="9"/>
    <col collapsed="false" customWidth="true" hidden="false" outlineLevel="0" max="40" min="40" style="0" width="20"/>
    <col collapsed="false" customWidth="true" hidden="false" outlineLevel="0" max="41" min="41" style="0" width="14"/>
    <col collapsed="false" customWidth="true" hidden="false" outlineLevel="0" max="42" min="42" style="0" width="9"/>
    <col collapsed="false" customWidth="true" hidden="false" outlineLevel="0" max="43" min="43" style="0" width="14"/>
    <col collapsed="false" customWidth="true" hidden="false" outlineLevel="0" max="44" min="44" style="0" width="9"/>
    <col collapsed="false" customWidth="true" hidden="false" outlineLevel="0" max="45" min="45" style="0" width="2"/>
    <col collapsed="false" customWidth="true" hidden="false" outlineLevel="0" max="46" min="46" style="0" width="9"/>
    <col collapsed="false" customWidth="true" hidden="false" outlineLevel="0" max="47" min="47" style="0" width="26"/>
    <col collapsed="false" customWidth="true" hidden="false" outlineLevel="0" max="48" min="48" style="0" width="12"/>
    <col collapsed="false" customWidth="true" hidden="false" outlineLevel="0" max="49" min="49" style="0" width="14"/>
    <col collapsed="false" customWidth="true" hidden="false" outlineLevel="0" max="50" min="50" style="0" width="9"/>
    <col collapsed="false" customWidth="true" hidden="false" outlineLevel="0" max="51" min="51" style="0" width="14"/>
    <col collapsed="false" customWidth="true" hidden="false" outlineLevel="0" max="52" min="52" style="0" width="12"/>
    <col collapsed="false" customWidth="true" hidden="false" outlineLevel="0" max="53" min="53" style="0" width="20"/>
    <col collapsed="false" customWidth="true" hidden="false" outlineLevel="0" max="54" min="54" style="0" width="14"/>
    <col collapsed="false" customWidth="true" hidden="false" outlineLevel="0" max="55" min="55" style="0" width="10"/>
    <col collapsed="false" customWidth="true" hidden="false" outlineLevel="0" max="56" min="56" style="0" width="9"/>
    <col collapsed="false" customWidth="true" hidden="false" outlineLevel="0" max="58" min="57" style="0" width="10"/>
    <col collapsed="false" customWidth="true" hidden="false" outlineLevel="0" max="60" min="59" style="0" width="12"/>
    <col collapsed="false" customWidth="true" hidden="false" outlineLevel="0" max="61" min="61" style="0" width="9"/>
    <col collapsed="false" customWidth="true" hidden="false" outlineLevel="0" max="63" min="62" style="0" width="10"/>
    <col collapsed="false" customWidth="true" hidden="false" outlineLevel="0" max="64" min="64" style="0" width="9"/>
    <col collapsed="false" customWidth="true" hidden="false" outlineLevel="0" max="65" min="65" style="0" width="14"/>
  </cols>
  <sheetData>
    <row r="1" customFormat="false" ht="15" hidden="false" customHeight="false" outlineLevel="0" collapsed="false">
      <c r="B1" s="2" t="s">
        <v>252</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customFormat="false" ht="15" hidden="false" customHeight="false" outlineLevel="0" collapsed="false">
      <c r="B2" s="53" t="s">
        <v>3</v>
      </c>
      <c r="D2" s="55" t="n">
        <v>46203</v>
      </c>
      <c r="E2" s="56" t="s">
        <v>6</v>
      </c>
      <c r="F2" s="57" t="n">
        <v>0.0365</v>
      </c>
      <c r="H2" s="1" t="s">
        <v>253</v>
      </c>
      <c r="BD2" s="56" t="s">
        <v>254</v>
      </c>
      <c r="BE2" s="58" t="n">
        <v>30.4375</v>
      </c>
    </row>
    <row r="3" customFormat="false" ht="15" hidden="false" customHeight="false" outlineLevel="0" collapsed="false">
      <c r="B3" s="59" t="s">
        <v>255</v>
      </c>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T3" s="59" t="s">
        <v>256</v>
      </c>
      <c r="AU3" s="59"/>
      <c r="AV3" s="59"/>
      <c r="AW3" s="59"/>
      <c r="AX3" s="59"/>
      <c r="AY3" s="59"/>
      <c r="AZ3" s="59"/>
      <c r="BA3" s="59"/>
      <c r="BB3" s="59"/>
      <c r="BC3" s="59"/>
      <c r="BD3" s="59"/>
      <c r="BE3" s="59"/>
      <c r="BF3" s="59"/>
      <c r="BG3" s="59"/>
      <c r="BH3" s="59"/>
      <c r="BI3" s="59"/>
      <c r="BJ3" s="59"/>
      <c r="BK3" s="59"/>
      <c r="BL3" s="59"/>
      <c r="BM3" s="59"/>
    </row>
    <row r="4" customFormat="false" ht="54" hidden="false" customHeight="true" outlineLevel="0" collapsed="false">
      <c r="B4" s="16" t="s">
        <v>257</v>
      </c>
      <c r="C4" s="17" t="s">
        <v>42</v>
      </c>
      <c r="D4" s="17" t="s">
        <v>41</v>
      </c>
      <c r="E4" s="17" t="s">
        <v>258</v>
      </c>
      <c r="F4" s="17" t="s">
        <v>259</v>
      </c>
      <c r="G4" s="17" t="s">
        <v>47</v>
      </c>
      <c r="H4" s="17" t="s">
        <v>260</v>
      </c>
      <c r="I4" s="17" t="s">
        <v>261</v>
      </c>
      <c r="J4" s="17" t="s">
        <v>262</v>
      </c>
      <c r="K4" s="17" t="s">
        <v>263</v>
      </c>
      <c r="L4" s="17" t="s">
        <v>65</v>
      </c>
      <c r="M4" s="17" t="s">
        <v>66</v>
      </c>
      <c r="N4" s="17" t="s">
        <v>264</v>
      </c>
      <c r="O4" s="17" t="s">
        <v>265</v>
      </c>
      <c r="P4" s="17" t="s">
        <v>266</v>
      </c>
      <c r="Q4" s="17" t="s">
        <v>31</v>
      </c>
      <c r="R4" s="17" t="s">
        <v>267</v>
      </c>
      <c r="S4" s="17" t="s">
        <v>28</v>
      </c>
      <c r="T4" s="17" t="s">
        <v>25</v>
      </c>
      <c r="U4" s="17" t="s">
        <v>268</v>
      </c>
      <c r="V4" s="17" t="s">
        <v>269</v>
      </c>
      <c r="W4" s="17" t="s">
        <v>51</v>
      </c>
      <c r="X4" s="17" t="s">
        <v>270</v>
      </c>
      <c r="Y4" s="17" t="s">
        <v>271</v>
      </c>
      <c r="Z4" s="17" t="s">
        <v>272</v>
      </c>
      <c r="AA4" s="17" t="s">
        <v>273</v>
      </c>
      <c r="AB4" s="17" t="s">
        <v>274</v>
      </c>
      <c r="AC4" s="17" t="s">
        <v>275</v>
      </c>
      <c r="AD4" s="17" t="s">
        <v>49</v>
      </c>
      <c r="AE4" s="17" t="s">
        <v>276</v>
      </c>
      <c r="AF4" s="17" t="s">
        <v>277</v>
      </c>
      <c r="AG4" s="17" t="s">
        <v>278</v>
      </c>
      <c r="AH4" s="17" t="s">
        <v>279</v>
      </c>
      <c r="AI4" s="17" t="s">
        <v>280</v>
      </c>
      <c r="AJ4" s="17" t="s">
        <v>281</v>
      </c>
      <c r="AK4" s="17" t="s">
        <v>282</v>
      </c>
      <c r="AL4" s="17" t="s">
        <v>283</v>
      </c>
      <c r="AM4" s="17" t="s">
        <v>284</v>
      </c>
      <c r="AN4" s="17" t="s">
        <v>285</v>
      </c>
      <c r="AO4" s="17" t="s">
        <v>286</v>
      </c>
      <c r="AP4" s="17" t="s">
        <v>287</v>
      </c>
      <c r="AQ4" s="17" t="s">
        <v>59</v>
      </c>
      <c r="AR4" s="17" t="s">
        <v>57</v>
      </c>
      <c r="AT4" s="17" t="s">
        <v>288</v>
      </c>
      <c r="AU4" s="17" t="s">
        <v>45</v>
      </c>
      <c r="AV4" s="17" t="s">
        <v>289</v>
      </c>
      <c r="AW4" s="17" t="s">
        <v>290</v>
      </c>
      <c r="AX4" s="17" t="s">
        <v>50</v>
      </c>
      <c r="AY4" s="17" t="s">
        <v>291</v>
      </c>
      <c r="AZ4" s="17" t="s">
        <v>292</v>
      </c>
      <c r="BA4" s="17" t="s">
        <v>48</v>
      </c>
      <c r="BB4" s="17" t="s">
        <v>293</v>
      </c>
      <c r="BC4" s="17" t="s">
        <v>56</v>
      </c>
      <c r="BD4" s="17" t="s">
        <v>53</v>
      </c>
      <c r="BE4" s="17" t="s">
        <v>294</v>
      </c>
      <c r="BF4" s="17" t="s">
        <v>295</v>
      </c>
      <c r="BG4" s="17" t="s">
        <v>296</v>
      </c>
      <c r="BH4" s="17" t="s">
        <v>297</v>
      </c>
      <c r="BI4" s="17" t="s">
        <v>298</v>
      </c>
      <c r="BJ4" s="17" t="s">
        <v>299</v>
      </c>
      <c r="BK4" s="17" t="s">
        <v>300</v>
      </c>
      <c r="BL4" s="17" t="s">
        <v>301</v>
      </c>
      <c r="BM4" s="17" t="s">
        <v>302</v>
      </c>
    </row>
    <row r="5" customFormat="false" ht="15" hidden="false" customHeight="false" outlineLevel="0" collapsed="false">
      <c r="B5" s="60" t="n">
        <v>1</v>
      </c>
      <c r="C5" s="61" t="n">
        <v>40005</v>
      </c>
      <c r="D5" s="62" t="s">
        <v>303</v>
      </c>
      <c r="E5" s="62" t="s">
        <v>72</v>
      </c>
      <c r="F5" s="62" t="s">
        <v>304</v>
      </c>
      <c r="G5" s="62" t="s">
        <v>84</v>
      </c>
      <c r="H5" s="62" t="s">
        <v>305</v>
      </c>
      <c r="I5" s="63" t="s">
        <v>93</v>
      </c>
      <c r="J5" s="63" t="s">
        <v>93</v>
      </c>
      <c r="K5" s="63" t="s">
        <v>306</v>
      </c>
      <c r="L5" s="60" t="n">
        <v>92</v>
      </c>
      <c r="M5" s="60"/>
      <c r="N5" s="63" t="s">
        <v>307</v>
      </c>
      <c r="O5" s="63" t="s">
        <v>307</v>
      </c>
      <c r="P5" s="64" t="n">
        <v>34599396.26</v>
      </c>
      <c r="Q5" s="64" t="n">
        <v>0</v>
      </c>
      <c r="R5" s="64" t="n">
        <v>34599396.26</v>
      </c>
      <c r="S5" s="64" t="n">
        <v>2179742.28999999</v>
      </c>
      <c r="T5" s="64" t="n">
        <v>36400000</v>
      </c>
      <c r="U5" s="64" t="n">
        <v>14300000</v>
      </c>
      <c r="V5" s="64" t="n">
        <v>68000000</v>
      </c>
      <c r="W5" s="65" t="n">
        <v>0.114324755244755</v>
      </c>
      <c r="X5" s="65" t="n">
        <v>0.535294117647059</v>
      </c>
      <c r="Y5" s="57" t="n">
        <v>0.06</v>
      </c>
      <c r="Z5" s="57" t="n">
        <v>0.045</v>
      </c>
      <c r="AA5" s="57" t="n">
        <v>0</v>
      </c>
      <c r="AB5" s="57" t="n">
        <v>0</v>
      </c>
      <c r="AC5" s="63" t="s">
        <v>308</v>
      </c>
      <c r="AD5" s="57" t="n">
        <v>0.0685</v>
      </c>
      <c r="AE5" s="57" t="n">
        <v>0.05</v>
      </c>
      <c r="AF5" s="66" t="n">
        <v>46843</v>
      </c>
      <c r="AG5" s="63" t="n">
        <v>18</v>
      </c>
      <c r="AH5" s="66" t="n">
        <v>45714</v>
      </c>
      <c r="AI5" s="66" t="n">
        <v>46809</v>
      </c>
      <c r="AJ5" s="66" t="n">
        <v>47540</v>
      </c>
      <c r="AK5" s="62" t="s">
        <v>127</v>
      </c>
      <c r="AL5" s="64" t="n">
        <v>23382272.01</v>
      </c>
      <c r="AM5" s="57" t="n">
        <v>0.0498</v>
      </c>
      <c r="AN5" s="62"/>
      <c r="AO5" s="64"/>
      <c r="AP5" s="57"/>
      <c r="AQ5" s="64" t="n">
        <v>11217124.25</v>
      </c>
      <c r="AR5" s="65" t="n">
        <v>0.143980444260212</v>
      </c>
      <c r="AT5" s="26" t="n">
        <f aca="false">IF($D5="",0,IF(OR(StratFilter="All Loans",$E5=StratFilter),1,0))</f>
        <v>1</v>
      </c>
      <c r="AU5" s="18" t="str">
        <f aca="false">IF($D5="","",IFERROR(VLOOKUP(TRIM($K5),PropTypeMap,2,FALSE()),"Unmapped"))</f>
        <v>Multifamily</v>
      </c>
      <c r="AV5" s="21" t="str">
        <f aca="false">IF($D5="","",IFERROR(VLOOKUP($J5,RegionMap,2,FALSE()),"Unmapped"))</f>
        <v>Northeast</v>
      </c>
      <c r="AW5" s="21" t="str">
        <f aca="false">IF($D5="","",IF($AC5="SOFR","Floating (SOFR)","Fixed / All-In"))</f>
        <v>Floating (SOFR)</v>
      </c>
      <c r="AX5" s="24" t="n">
        <f aca="false">IF($D5="","",$AD5+SOFR)</f>
        <v>0.105</v>
      </c>
      <c r="AY5" s="21" t="str">
        <f aca="false">IF($D5="","",IF($AF5="Waived","Waived",IF(ISNUMBER($AF5),IF($AF5&gt;AsOfDate,"In Place","Expired"),"None Reported")))</f>
        <v>In Place</v>
      </c>
      <c r="AZ5" s="21" t="str">
        <f aca="false">IF($D5="","",IF(ISNUMBER($AG5),IF($AG5=0,"None",$AG5&amp;" Months"),IF($AG5="","None Reported",$AG5)))</f>
        <v>18 Months</v>
      </c>
      <c r="BA5" s="18" t="str">
        <f aca="false">IF($D5="","",IF($AK5="","Unlevered",$AK5))</f>
        <v>Axos Bank</v>
      </c>
      <c r="BB5" s="22" t="n">
        <f aca="false">IF($D5="","",SUM($AL5,$AO5))</f>
        <v>23382272.01</v>
      </c>
      <c r="BC5" s="23" t="n">
        <f aca="false">IF($D5="","",IF($P5&gt;0,$BB5/$P5,0))</f>
        <v>0.675800000505558</v>
      </c>
      <c r="BD5" s="25" t="n">
        <f aca="false">IF($D5="","",(AsOfDate-$AH5)/DaysPerMonth)</f>
        <v>16.0657084188912</v>
      </c>
      <c r="BE5" s="25" t="n">
        <f aca="false">IF($D5="","",($AI5-AsOfDate)/DaysPerMonth)</f>
        <v>19.9096509240246</v>
      </c>
      <c r="BF5" s="25" t="n">
        <f aca="false">IF($D5="","",($AJ5-AsOfDate)/DaysPerMonth)</f>
        <v>43.9260780287474</v>
      </c>
      <c r="BG5" s="25" t="n">
        <f aca="false">IF($D5="","",MAX(0,$BE5))</f>
        <v>19.9096509240246</v>
      </c>
      <c r="BH5" s="25" t="n">
        <f aca="false">IF($D5="","",MAX(0,$BF5))</f>
        <v>43.9260780287474</v>
      </c>
      <c r="BI5" s="67" t="n">
        <f aca="false">IF($D5="","",YEAR($AI5))</f>
        <v>2028</v>
      </c>
      <c r="BJ5" s="67" t="n">
        <f aca="false">IF($D5="","",YEAR($AJ5))</f>
        <v>2030</v>
      </c>
      <c r="BK5" s="67" t="n">
        <f aca="false">IF($D5="","",YEAR($AH5))</f>
        <v>2025</v>
      </c>
      <c r="BL5" s="68"/>
      <c r="BM5" s="26" t="n">
        <f aca="false">IF($AT5=1,$P5+(1000-ROW())/1000000,0)</f>
        <v>34599396.260995</v>
      </c>
    </row>
    <row r="6" customFormat="false" ht="15" hidden="false" customHeight="false" outlineLevel="0" collapsed="false">
      <c r="B6" s="69" t="n">
        <v>2</v>
      </c>
      <c r="C6" s="70" t="n">
        <v>30111</v>
      </c>
      <c r="D6" s="71" t="s">
        <v>309</v>
      </c>
      <c r="E6" s="71" t="s">
        <v>72</v>
      </c>
      <c r="F6" s="71" t="s">
        <v>72</v>
      </c>
      <c r="G6" s="71" t="s">
        <v>88</v>
      </c>
      <c r="H6" s="71" t="s">
        <v>310</v>
      </c>
      <c r="I6" s="72" t="s">
        <v>92</v>
      </c>
      <c r="J6" s="72" t="s">
        <v>92</v>
      </c>
      <c r="K6" s="72" t="s">
        <v>306</v>
      </c>
      <c r="L6" s="69" t="n">
        <v>344</v>
      </c>
      <c r="M6" s="69"/>
      <c r="N6" s="72" t="n">
        <v>2012</v>
      </c>
      <c r="O6" s="72" t="s">
        <v>311</v>
      </c>
      <c r="P6" s="73" t="n">
        <v>62550000</v>
      </c>
      <c r="Q6" s="73" t="n">
        <v>0</v>
      </c>
      <c r="R6" s="73" t="n">
        <v>62550000</v>
      </c>
      <c r="S6" s="73" t="n">
        <v>0</v>
      </c>
      <c r="T6" s="73" t="n">
        <v>62800000</v>
      </c>
      <c r="U6" s="73" t="n">
        <v>78600000</v>
      </c>
      <c r="V6" s="73" t="n">
        <v>101100000</v>
      </c>
      <c r="W6" s="74" t="n">
        <v>0.75972010178117</v>
      </c>
      <c r="X6" s="74" t="n">
        <v>0.621167161226508</v>
      </c>
      <c r="Y6" s="75" t="n">
        <v>0.0315</v>
      </c>
      <c r="Z6" s="75" t="n">
        <v>0.001</v>
      </c>
      <c r="AA6" s="75" t="n">
        <v>0.001</v>
      </c>
      <c r="AB6" s="75" t="n">
        <v>0</v>
      </c>
      <c r="AC6" s="72" t="s">
        <v>308</v>
      </c>
      <c r="AD6" s="75" t="n">
        <v>0.0325</v>
      </c>
      <c r="AE6" s="75" t="n">
        <v>0.0415</v>
      </c>
      <c r="AF6" s="76" t="n">
        <v>46204</v>
      </c>
      <c r="AG6" s="72" t="n">
        <v>6</v>
      </c>
      <c r="AH6" s="76" t="n">
        <v>44540</v>
      </c>
      <c r="AI6" s="76" t="n">
        <v>45658</v>
      </c>
      <c r="AJ6" s="76" t="n">
        <v>46388</v>
      </c>
      <c r="AK6" s="71" t="s">
        <v>126</v>
      </c>
      <c r="AL6" s="73" t="n">
        <v>38835500</v>
      </c>
      <c r="AM6" s="75" t="n">
        <v>0.0175</v>
      </c>
      <c r="AN6" s="71"/>
      <c r="AO6" s="73"/>
      <c r="AP6" s="75"/>
      <c r="AQ6" s="73" t="n">
        <v>23714500</v>
      </c>
      <c r="AR6" s="74" t="n">
        <v>0.0935644015264922</v>
      </c>
      <c r="AT6" s="44" t="n">
        <f aca="false">IF($D6="",0,IF(OR(StratFilter="All Loans",$E6=StratFilter),1,0))</f>
        <v>1</v>
      </c>
      <c r="AU6" s="27" t="str">
        <f aca="false">IF($D6="","",IFERROR(VLOOKUP(TRIM($K6),PropTypeMap,2,FALSE()),"Unmapped"))</f>
        <v>Multifamily</v>
      </c>
      <c r="AV6" s="30" t="str">
        <f aca="false">IF($D6="","",IFERROR(VLOOKUP($J6,RegionMap,2,FALSE()),"Unmapped"))</f>
        <v>Southwest</v>
      </c>
      <c r="AW6" s="30" t="str">
        <f aca="false">IF($D6="","",IF($AC6="SOFR","Floating (SOFR)","Fixed / All-In"))</f>
        <v>Floating (SOFR)</v>
      </c>
      <c r="AX6" s="33" t="n">
        <f aca="false">IF($D6="","",$AD6+SOFR)</f>
        <v>0.069</v>
      </c>
      <c r="AY6" s="30" t="str">
        <f aca="false">IF($D6="","",IF($AF6="Waived","Waived",IF(ISNUMBER($AF6),IF($AF6&gt;AsOfDate,"In Place","Expired"),"None Reported")))</f>
        <v>In Place</v>
      </c>
      <c r="AZ6" s="30" t="str">
        <f aca="false">IF($D6="","",IF(ISNUMBER($AG6),IF($AG6=0,"None",$AG6&amp;" Months"),IF($AG6="","None Reported",$AG6)))</f>
        <v>6 Months</v>
      </c>
      <c r="BA6" s="27" t="str">
        <f aca="false">IF($D6="","",IF($AK6="","Unlevered",$AK6))</f>
        <v>Bank of America</v>
      </c>
      <c r="BB6" s="31" t="n">
        <f aca="false">IF($D6="","",SUM($AL6,$AO6))</f>
        <v>38835500</v>
      </c>
      <c r="BC6" s="32" t="n">
        <f aca="false">IF($D6="","",IF($P6&gt;0,$BB6/$P6,0))</f>
        <v>0.620871302957634</v>
      </c>
      <c r="BD6" s="34" t="n">
        <f aca="false">IF($D6="","",(AsOfDate-$AH6)/DaysPerMonth)</f>
        <v>54.6365503080082</v>
      </c>
      <c r="BE6" s="34" t="n">
        <f aca="false">IF($D6="","",($AI6-AsOfDate)/DaysPerMonth)</f>
        <v>-17.9055441478439</v>
      </c>
      <c r="BF6" s="34" t="n">
        <f aca="false">IF($D6="","",($AJ6-AsOfDate)/DaysPerMonth)</f>
        <v>6.07802874743327</v>
      </c>
      <c r="BG6" s="34" t="n">
        <f aca="false">IF($D6="","",MAX(0,$BE6))</f>
        <v>0</v>
      </c>
      <c r="BH6" s="34" t="n">
        <f aca="false">IF($D6="","",MAX(0,$BF6))</f>
        <v>6.07802874743327</v>
      </c>
      <c r="BI6" s="77" t="n">
        <f aca="false">IF($D6="","",YEAR($AI6))</f>
        <v>2025</v>
      </c>
      <c r="BJ6" s="77" t="n">
        <f aca="false">IF($D6="","",YEAR($AJ6))</f>
        <v>2027</v>
      </c>
      <c r="BK6" s="77" t="n">
        <f aca="false">IF($D6="","",YEAR($AH6))</f>
        <v>2021</v>
      </c>
      <c r="BL6" s="78" t="n">
        <v>2012</v>
      </c>
      <c r="BM6" s="44" t="n">
        <f aca="false">IF($AT6=1,$P6+(1000-ROW())/1000000,0)</f>
        <v>62550000.000994</v>
      </c>
    </row>
    <row r="7" customFormat="false" ht="15" hidden="false" customHeight="false" outlineLevel="0" collapsed="false">
      <c r="B7" s="60" t="n">
        <v>3</v>
      </c>
      <c r="C7" s="61" t="n">
        <v>30105</v>
      </c>
      <c r="D7" s="62" t="s">
        <v>312</v>
      </c>
      <c r="E7" s="62" t="s">
        <v>72</v>
      </c>
      <c r="F7" s="62" t="s">
        <v>72</v>
      </c>
      <c r="G7" s="62" t="s">
        <v>87</v>
      </c>
      <c r="H7" s="62" t="s">
        <v>313</v>
      </c>
      <c r="I7" s="63" t="s">
        <v>314</v>
      </c>
      <c r="J7" s="63" t="s">
        <v>314</v>
      </c>
      <c r="K7" s="63" t="s">
        <v>306</v>
      </c>
      <c r="L7" s="60" t="n">
        <v>288</v>
      </c>
      <c r="M7" s="60"/>
      <c r="N7" s="63" t="n">
        <v>1975</v>
      </c>
      <c r="O7" s="63" t="s">
        <v>311</v>
      </c>
      <c r="P7" s="64" t="n">
        <v>17800000</v>
      </c>
      <c r="Q7" s="64" t="n">
        <v>0</v>
      </c>
      <c r="R7" s="64" t="n">
        <v>17800000</v>
      </c>
      <c r="S7" s="64" t="n">
        <v>0</v>
      </c>
      <c r="T7" s="64" t="n">
        <v>17800000</v>
      </c>
      <c r="U7" s="64" t="n">
        <v>19750000</v>
      </c>
      <c r="V7" s="64" t="n">
        <v>25150000</v>
      </c>
      <c r="W7" s="65" t="n">
        <v>0.801113924050633</v>
      </c>
      <c r="X7" s="65" t="n">
        <v>0.707753479125249</v>
      </c>
      <c r="Y7" s="57" t="n">
        <v>0.0335</v>
      </c>
      <c r="Z7" s="57" t="n">
        <v>0.0015</v>
      </c>
      <c r="AA7" s="57" t="n">
        <v>0.001</v>
      </c>
      <c r="AB7" s="57" t="n">
        <v>0</v>
      </c>
      <c r="AC7" s="63" t="s">
        <v>308</v>
      </c>
      <c r="AD7" s="57" t="n">
        <v>0.0345</v>
      </c>
      <c r="AE7" s="57"/>
      <c r="AF7" s="66"/>
      <c r="AG7" s="63" t="n">
        <v>6</v>
      </c>
      <c r="AH7" s="66" t="n">
        <v>44529</v>
      </c>
      <c r="AI7" s="66" t="n">
        <v>45627</v>
      </c>
      <c r="AJ7" s="66" t="n">
        <v>46235</v>
      </c>
      <c r="AK7" s="62" t="s">
        <v>130</v>
      </c>
      <c r="AL7" s="64" t="n">
        <v>12640000</v>
      </c>
      <c r="AM7" s="57" t="n">
        <v>0.0211448</v>
      </c>
      <c r="AN7" s="62"/>
      <c r="AO7" s="64"/>
      <c r="AP7" s="57"/>
      <c r="AQ7" s="64" t="n">
        <v>5160000</v>
      </c>
      <c r="AR7" s="65" t="n">
        <v>0.103715063565892</v>
      </c>
      <c r="AT7" s="26" t="n">
        <f aca="false">IF($D7="",0,IF(OR(StratFilter="All Loans",$E7=StratFilter),1,0))</f>
        <v>1</v>
      </c>
      <c r="AU7" s="18" t="str">
        <f aca="false">IF($D7="","",IFERROR(VLOOKUP(TRIM($K7),PropTypeMap,2,FALSE()),"Unmapped"))</f>
        <v>Multifamily</v>
      </c>
      <c r="AV7" s="21" t="str">
        <f aca="false">IF($D7="","",IFERROR(VLOOKUP($J7,RegionMap,2,FALSE()),"Unmapped"))</f>
        <v>Midwest</v>
      </c>
      <c r="AW7" s="21" t="str">
        <f aca="false">IF($D7="","",IF($AC7="SOFR","Floating (SOFR)","Fixed / All-In"))</f>
        <v>Floating (SOFR)</v>
      </c>
      <c r="AX7" s="24" t="n">
        <f aca="false">IF($D7="","",$AD7+SOFR)</f>
        <v>0.071</v>
      </c>
      <c r="AY7" s="21" t="str">
        <f aca="false">IF($D7="","",IF($AF7="Waived","Waived",IF(ISNUMBER($AF7),IF($AF7&gt;AsOfDate,"In Place","Expired"),"None Reported")))</f>
        <v>None Reported</v>
      </c>
      <c r="AZ7" s="21" t="str">
        <f aca="false">IF($D7="","",IF(ISNUMBER($AG7),IF($AG7=0,"None",$AG7&amp;" Months"),IF($AG7="","None Reported",$AG7)))</f>
        <v>6 Months</v>
      </c>
      <c r="BA7" s="18" t="str">
        <f aca="false">IF($D7="","",IF($AK7="","Unlevered",$AK7))</f>
        <v>Bank United</v>
      </c>
      <c r="BB7" s="22" t="n">
        <f aca="false">IF($D7="","",SUM($AL7,$AO7))</f>
        <v>12640000</v>
      </c>
      <c r="BC7" s="23" t="n">
        <f aca="false">IF($D7="","",IF($P7&gt;0,$BB7/$P7,0))</f>
        <v>0.710112359550562</v>
      </c>
      <c r="BD7" s="25" t="n">
        <f aca="false">IF($D7="","",(AsOfDate-$AH7)/DaysPerMonth)</f>
        <v>54.9979466119097</v>
      </c>
      <c r="BE7" s="25" t="n">
        <f aca="false">IF($D7="","",($AI7-AsOfDate)/DaysPerMonth)</f>
        <v>-18.9240246406571</v>
      </c>
      <c r="BF7" s="25" t="n">
        <f aca="false">IF($D7="","",($AJ7-AsOfDate)/DaysPerMonth)</f>
        <v>1.05133470225873</v>
      </c>
      <c r="BG7" s="25" t="n">
        <f aca="false">IF($D7="","",MAX(0,$BE7))</f>
        <v>0</v>
      </c>
      <c r="BH7" s="25" t="n">
        <f aca="false">IF($D7="","",MAX(0,$BF7))</f>
        <v>1.05133470225873</v>
      </c>
      <c r="BI7" s="67" t="n">
        <f aca="false">IF($D7="","",YEAR($AI7))</f>
        <v>2024</v>
      </c>
      <c r="BJ7" s="67" t="n">
        <f aca="false">IF($D7="","",YEAR($AJ7))</f>
        <v>2026</v>
      </c>
      <c r="BK7" s="67" t="n">
        <f aca="false">IF($D7="","",YEAR($AH7))</f>
        <v>2021</v>
      </c>
      <c r="BL7" s="68" t="n">
        <v>1975</v>
      </c>
      <c r="BM7" s="26" t="n">
        <f aca="false">IF($AT7=1,$P7+(1000-ROW())/1000000,0)</f>
        <v>17800000.000993</v>
      </c>
    </row>
    <row r="8" customFormat="false" ht="15" hidden="false" customHeight="false" outlineLevel="0" collapsed="false">
      <c r="B8" s="69" t="n">
        <v>4</v>
      </c>
      <c r="C8" s="70" t="n">
        <v>30217</v>
      </c>
      <c r="D8" s="71" t="s">
        <v>315</v>
      </c>
      <c r="E8" s="71" t="s">
        <v>72</v>
      </c>
      <c r="F8" s="71" t="s">
        <v>72</v>
      </c>
      <c r="G8" s="71" t="s">
        <v>85</v>
      </c>
      <c r="H8" s="71" t="s">
        <v>316</v>
      </c>
      <c r="I8" s="72" t="s">
        <v>317</v>
      </c>
      <c r="J8" s="72" t="s">
        <v>317</v>
      </c>
      <c r="K8" s="72" t="s">
        <v>306</v>
      </c>
      <c r="L8" s="69" t="n">
        <v>104</v>
      </c>
      <c r="M8" s="69"/>
      <c r="N8" s="72" t="n">
        <v>2007</v>
      </c>
      <c r="O8" s="72" t="s">
        <v>311</v>
      </c>
      <c r="P8" s="73" t="n">
        <v>7500000</v>
      </c>
      <c r="Q8" s="73" t="n">
        <v>0</v>
      </c>
      <c r="R8" s="73" t="n">
        <v>7500000</v>
      </c>
      <c r="S8" s="73" t="n">
        <v>0</v>
      </c>
      <c r="T8" s="73" t="n">
        <v>7500000</v>
      </c>
      <c r="U8" s="73" t="n">
        <v>11950000</v>
      </c>
      <c r="V8" s="73" t="n">
        <v>14250000</v>
      </c>
      <c r="W8" s="74" t="n">
        <v>0.627615062761506</v>
      </c>
      <c r="X8" s="74" t="n">
        <v>0.526315789473684</v>
      </c>
      <c r="Y8" s="75" t="n">
        <v>0.035</v>
      </c>
      <c r="Z8" s="75" t="n">
        <v>0.0375</v>
      </c>
      <c r="AA8" s="75" t="n">
        <v>0</v>
      </c>
      <c r="AB8" s="75" t="n">
        <v>0</v>
      </c>
      <c r="AC8" s="72" t="s">
        <v>308</v>
      </c>
      <c r="AD8" s="75" t="n">
        <v>0.036</v>
      </c>
      <c r="AE8" s="75" t="n">
        <v>0.0375</v>
      </c>
      <c r="AF8" s="76" t="n">
        <v>46357</v>
      </c>
      <c r="AG8" s="72" t="n">
        <v>6</v>
      </c>
      <c r="AH8" s="76" t="n">
        <v>45441</v>
      </c>
      <c r="AI8" s="76" t="n">
        <v>46174</v>
      </c>
      <c r="AJ8" s="76" t="n">
        <v>46357</v>
      </c>
      <c r="AK8" s="71" t="s">
        <v>130</v>
      </c>
      <c r="AL8" s="73" t="n">
        <v>6000000</v>
      </c>
      <c r="AM8" s="75" t="n">
        <v>0.0236448</v>
      </c>
      <c r="AN8" s="71"/>
      <c r="AO8" s="73"/>
      <c r="AP8" s="75"/>
      <c r="AQ8" s="73" t="n">
        <v>1500000</v>
      </c>
      <c r="AR8" s="74" t="n">
        <v>0.1219208</v>
      </c>
      <c r="AT8" s="44" t="n">
        <f aca="false">IF($D8="",0,IF(OR(StratFilter="All Loans",$E8=StratFilter),1,0))</f>
        <v>1</v>
      </c>
      <c r="AU8" s="27" t="str">
        <f aca="false">IF($D8="","",IFERROR(VLOOKUP(TRIM($K8),PropTypeMap,2,FALSE()),"Unmapped"))</f>
        <v>Multifamily</v>
      </c>
      <c r="AV8" s="30" t="str">
        <f aca="false">IF($D8="","",IFERROR(VLOOKUP($J8,RegionMap,2,FALSE()),"Unmapped"))</f>
        <v>Mid-Atlantic</v>
      </c>
      <c r="AW8" s="30" t="str">
        <f aca="false">IF($D8="","",IF($AC8="SOFR","Floating (SOFR)","Fixed / All-In"))</f>
        <v>Floating (SOFR)</v>
      </c>
      <c r="AX8" s="33" t="n">
        <f aca="false">IF($D8="","",$AD8+SOFR)</f>
        <v>0.0725</v>
      </c>
      <c r="AY8" s="30" t="str">
        <f aca="false">IF($D8="","",IF($AF8="Waived","Waived",IF(ISNUMBER($AF8),IF($AF8&gt;AsOfDate,"In Place","Expired"),"None Reported")))</f>
        <v>In Place</v>
      </c>
      <c r="AZ8" s="30" t="str">
        <f aca="false">IF($D8="","",IF(ISNUMBER($AG8),IF($AG8=0,"None",$AG8&amp;" Months"),IF($AG8="","None Reported",$AG8)))</f>
        <v>6 Months</v>
      </c>
      <c r="BA8" s="27" t="str">
        <f aca="false">IF($D8="","",IF($AK8="","Unlevered",$AK8))</f>
        <v>Bank United</v>
      </c>
      <c r="BB8" s="31" t="n">
        <f aca="false">IF($D8="","",SUM($AL8,$AO8))</f>
        <v>6000000</v>
      </c>
      <c r="BC8" s="32" t="n">
        <f aca="false">IF($D8="","",IF($P8&gt;0,$BB8/$P8,0))</f>
        <v>0.8</v>
      </c>
      <c r="BD8" s="34" t="n">
        <f aca="false">IF($D8="","",(AsOfDate-$AH8)/DaysPerMonth)</f>
        <v>25.0349075975359</v>
      </c>
      <c r="BE8" s="34" t="n">
        <f aca="false">IF($D8="","",($AI8-AsOfDate)/DaysPerMonth)</f>
        <v>-0.952772073921971</v>
      </c>
      <c r="BF8" s="34" t="n">
        <f aca="false">IF($D8="","",($AJ8-AsOfDate)/DaysPerMonth)</f>
        <v>5.05954825462012</v>
      </c>
      <c r="BG8" s="34" t="n">
        <f aca="false">IF($D8="","",MAX(0,$BE8))</f>
        <v>0</v>
      </c>
      <c r="BH8" s="34" t="n">
        <f aca="false">IF($D8="","",MAX(0,$BF8))</f>
        <v>5.05954825462012</v>
      </c>
      <c r="BI8" s="77" t="n">
        <f aca="false">IF($D8="","",YEAR($AI8))</f>
        <v>2026</v>
      </c>
      <c r="BJ8" s="77" t="n">
        <f aca="false">IF($D8="","",YEAR($AJ8))</f>
        <v>2026</v>
      </c>
      <c r="BK8" s="77" t="n">
        <f aca="false">IF($D8="","",YEAR($AH8))</f>
        <v>2024</v>
      </c>
      <c r="BL8" s="78" t="n">
        <v>2007</v>
      </c>
      <c r="BM8" s="44" t="n">
        <f aca="false">IF($AT8=1,$P8+(1000-ROW())/1000000,0)</f>
        <v>7500000.000992</v>
      </c>
    </row>
    <row r="9" customFormat="false" ht="15" hidden="false" customHeight="false" outlineLevel="0" collapsed="false">
      <c r="B9" s="60" t="n">
        <v>5</v>
      </c>
      <c r="C9" s="61" t="n">
        <v>30326</v>
      </c>
      <c r="D9" s="62" t="s">
        <v>318</v>
      </c>
      <c r="E9" s="62" t="s">
        <v>72</v>
      </c>
      <c r="F9" s="62" t="s">
        <v>72</v>
      </c>
      <c r="G9" s="62" t="s">
        <v>84</v>
      </c>
      <c r="H9" s="62" t="s">
        <v>319</v>
      </c>
      <c r="I9" s="63" t="s">
        <v>320</v>
      </c>
      <c r="J9" s="63" t="s">
        <v>320</v>
      </c>
      <c r="K9" s="63" t="s">
        <v>306</v>
      </c>
      <c r="L9" s="60" t="n">
        <v>292</v>
      </c>
      <c r="M9" s="60"/>
      <c r="N9" s="63" t="n">
        <v>1985</v>
      </c>
      <c r="O9" s="63" t="s">
        <v>311</v>
      </c>
      <c r="P9" s="64" t="n">
        <v>31490000</v>
      </c>
      <c r="Q9" s="64" t="n">
        <v>0</v>
      </c>
      <c r="R9" s="64" t="n">
        <v>31490000</v>
      </c>
      <c r="S9" s="64" t="n">
        <v>0</v>
      </c>
      <c r="T9" s="64" t="n">
        <v>31490000</v>
      </c>
      <c r="U9" s="64" t="n">
        <v>44100000</v>
      </c>
      <c r="V9" s="64" t="n">
        <v>54000000</v>
      </c>
      <c r="W9" s="65" t="n">
        <v>0.7140589569161</v>
      </c>
      <c r="X9" s="65" t="n">
        <v>0.583148148148148</v>
      </c>
      <c r="Y9" s="57" t="n">
        <v>0.0335</v>
      </c>
      <c r="Z9" s="57" t="n">
        <v>0.035</v>
      </c>
      <c r="AA9" s="57" t="n">
        <v>0</v>
      </c>
      <c r="AB9" s="57" t="n">
        <v>0</v>
      </c>
      <c r="AC9" s="63" t="s">
        <v>308</v>
      </c>
      <c r="AD9" s="57" t="n">
        <v>0.0335</v>
      </c>
      <c r="AE9" s="57" t="n">
        <v>0.0425</v>
      </c>
      <c r="AF9" s="66" t="n">
        <v>46753</v>
      </c>
      <c r="AG9" s="63" t="n">
        <v>6</v>
      </c>
      <c r="AH9" s="66" t="n">
        <v>46021</v>
      </c>
      <c r="AI9" s="66" t="n">
        <v>46447</v>
      </c>
      <c r="AJ9" s="66" t="n">
        <v>46813</v>
      </c>
      <c r="AK9" s="62" t="s">
        <v>129</v>
      </c>
      <c r="AL9" s="64" t="n">
        <v>25192000</v>
      </c>
      <c r="AM9" s="57" t="n">
        <v>0.016</v>
      </c>
      <c r="AN9" s="62"/>
      <c r="AO9" s="64"/>
      <c r="AP9" s="57"/>
      <c r="AQ9" s="64" t="n">
        <v>6298000</v>
      </c>
      <c r="AR9" s="65" t="n">
        <v>0.14</v>
      </c>
      <c r="AT9" s="26" t="n">
        <f aca="false">IF($D9="",0,IF(OR(StratFilter="All Loans",$E9=StratFilter),1,0))</f>
        <v>1</v>
      </c>
      <c r="AU9" s="18" t="str">
        <f aca="false">IF($D9="","",IFERROR(VLOOKUP(TRIM($K9),PropTypeMap,2,FALSE()),"Unmapped"))</f>
        <v>Multifamily</v>
      </c>
      <c r="AV9" s="21" t="str">
        <f aca="false">IF($D9="","",IFERROR(VLOOKUP($J9,RegionMap,2,FALSE()),"Unmapped"))</f>
        <v>Southeast</v>
      </c>
      <c r="AW9" s="21" t="str">
        <f aca="false">IF($D9="","",IF($AC9="SOFR","Floating (SOFR)","Fixed / All-In"))</f>
        <v>Floating (SOFR)</v>
      </c>
      <c r="AX9" s="24" t="n">
        <f aca="false">IF($D9="","",$AD9+SOFR)</f>
        <v>0.07</v>
      </c>
      <c r="AY9" s="21" t="str">
        <f aca="false">IF($D9="","",IF($AF9="Waived","Waived",IF(ISNUMBER($AF9),IF($AF9&gt;AsOfDate,"In Place","Expired"),"None Reported")))</f>
        <v>In Place</v>
      </c>
      <c r="AZ9" s="21" t="str">
        <f aca="false">IF($D9="","",IF(ISNUMBER($AG9),IF($AG9=0,"None",$AG9&amp;" Months"),IF($AG9="","None Reported",$AG9)))</f>
        <v>6 Months</v>
      </c>
      <c r="BA9" s="18" t="str">
        <f aca="false">IF($D9="","",IF($AK9="","Unlevered",$AK9))</f>
        <v>Capital One MF</v>
      </c>
      <c r="BB9" s="22" t="n">
        <f aca="false">IF($D9="","",SUM($AL9,$AO9))</f>
        <v>25192000</v>
      </c>
      <c r="BC9" s="23" t="n">
        <f aca="false">IF($D9="","",IF($P9&gt;0,$BB9/$P9,0))</f>
        <v>0.8</v>
      </c>
      <c r="BD9" s="25" t="n">
        <f aca="false">IF($D9="","",(AsOfDate-$AH9)/DaysPerMonth)</f>
        <v>5.97946611909651</v>
      </c>
      <c r="BE9" s="25" t="n">
        <f aca="false">IF($D9="","",($AI9-AsOfDate)/DaysPerMonth)</f>
        <v>8.01642710472279</v>
      </c>
      <c r="BF9" s="25" t="n">
        <f aca="false">IF($D9="","",($AJ9-AsOfDate)/DaysPerMonth)</f>
        <v>20.041067761807</v>
      </c>
      <c r="BG9" s="25" t="n">
        <f aca="false">IF($D9="","",MAX(0,$BE9))</f>
        <v>8.01642710472279</v>
      </c>
      <c r="BH9" s="25" t="n">
        <f aca="false">IF($D9="","",MAX(0,$BF9))</f>
        <v>20.041067761807</v>
      </c>
      <c r="BI9" s="67" t="n">
        <f aca="false">IF($D9="","",YEAR($AI9))</f>
        <v>2027</v>
      </c>
      <c r="BJ9" s="67" t="n">
        <f aca="false">IF($D9="","",YEAR($AJ9))</f>
        <v>2028</v>
      </c>
      <c r="BK9" s="67" t="n">
        <f aca="false">IF($D9="","",YEAR($AH9))</f>
        <v>2025</v>
      </c>
      <c r="BL9" s="68" t="n">
        <v>1985</v>
      </c>
      <c r="BM9" s="26" t="n">
        <f aca="false">IF($AT9=1,$P9+(1000-ROW())/1000000,0)</f>
        <v>31490000.000991</v>
      </c>
    </row>
    <row r="10" customFormat="false" ht="15" hidden="false" customHeight="false" outlineLevel="0" collapsed="false">
      <c r="B10" s="69" t="n">
        <v>6</v>
      </c>
      <c r="C10" s="70" t="n">
        <v>30324</v>
      </c>
      <c r="D10" s="71" t="s">
        <v>321</v>
      </c>
      <c r="E10" s="71" t="s">
        <v>72</v>
      </c>
      <c r="F10" s="71" t="s">
        <v>72</v>
      </c>
      <c r="G10" s="71" t="s">
        <v>84</v>
      </c>
      <c r="H10" s="71" t="s">
        <v>322</v>
      </c>
      <c r="I10" s="72" t="s">
        <v>93</v>
      </c>
      <c r="J10" s="72" t="s">
        <v>93</v>
      </c>
      <c r="K10" s="72" t="s">
        <v>306</v>
      </c>
      <c r="L10" s="69" t="n">
        <v>315</v>
      </c>
      <c r="M10" s="69"/>
      <c r="N10" s="72" t="n">
        <v>2025</v>
      </c>
      <c r="O10" s="72" t="s">
        <v>311</v>
      </c>
      <c r="P10" s="73" t="n">
        <v>125800000</v>
      </c>
      <c r="Q10" s="73" t="n">
        <v>0</v>
      </c>
      <c r="R10" s="73" t="n">
        <v>125800000</v>
      </c>
      <c r="S10" s="73" t="n">
        <v>0</v>
      </c>
      <c r="T10" s="73" t="n">
        <v>125800000</v>
      </c>
      <c r="U10" s="73" t="n">
        <v>175000000</v>
      </c>
      <c r="V10" s="73" t="n">
        <v>190000000</v>
      </c>
      <c r="W10" s="74" t="n">
        <v>0.718857142857143</v>
      </c>
      <c r="X10" s="74" t="n">
        <v>0.662105263157895</v>
      </c>
      <c r="Y10" s="75" t="n">
        <v>0.0285</v>
      </c>
      <c r="Z10" s="75" t="n">
        <v>0.0375</v>
      </c>
      <c r="AA10" s="75" t="n">
        <v>0</v>
      </c>
      <c r="AB10" s="75" t="n">
        <v>0</v>
      </c>
      <c r="AC10" s="72" t="s">
        <v>308</v>
      </c>
      <c r="AD10" s="75" t="n">
        <v>0.0295</v>
      </c>
      <c r="AE10" s="75" t="n">
        <v>0.04</v>
      </c>
      <c r="AF10" s="76" t="n">
        <v>47119</v>
      </c>
      <c r="AG10" s="72" t="n">
        <v>6</v>
      </c>
      <c r="AH10" s="76" t="n">
        <v>46022</v>
      </c>
      <c r="AI10" s="76" t="n">
        <v>47119</v>
      </c>
      <c r="AJ10" s="76" t="n">
        <v>47484</v>
      </c>
      <c r="AK10" s="71" t="s">
        <v>119</v>
      </c>
      <c r="AL10" s="73" t="n">
        <v>100640000</v>
      </c>
      <c r="AM10" s="75" t="n">
        <v>0.0185</v>
      </c>
      <c r="AN10" s="71"/>
      <c r="AO10" s="73"/>
      <c r="AP10" s="75"/>
      <c r="AQ10" s="73" t="n">
        <v>25160000</v>
      </c>
      <c r="AR10" s="74" t="n">
        <v>0.11</v>
      </c>
      <c r="AT10" s="44" t="n">
        <f aca="false">IF($D10="",0,IF(OR(StratFilter="All Loans",$E10=StratFilter),1,0))</f>
        <v>1</v>
      </c>
      <c r="AU10" s="27" t="str">
        <f aca="false">IF($D10="","",IFERROR(VLOOKUP(TRIM($K10),PropTypeMap,2,FALSE()),"Unmapped"))</f>
        <v>Multifamily</v>
      </c>
      <c r="AV10" s="30" t="str">
        <f aca="false">IF($D10="","",IFERROR(VLOOKUP($J10,RegionMap,2,FALSE()),"Unmapped"))</f>
        <v>Northeast</v>
      </c>
      <c r="AW10" s="30" t="str">
        <f aca="false">IF($D10="","",IF($AC10="SOFR","Floating (SOFR)","Fixed / All-In"))</f>
        <v>Floating (SOFR)</v>
      </c>
      <c r="AX10" s="33" t="n">
        <f aca="false">IF($D10="","",$AD10+SOFR)</f>
        <v>0.066</v>
      </c>
      <c r="AY10" s="30" t="str">
        <f aca="false">IF($D10="","",IF($AF10="Waived","Waived",IF(ISNUMBER($AF10),IF($AF10&gt;AsOfDate,"In Place","Expired"),"None Reported")))</f>
        <v>In Place</v>
      </c>
      <c r="AZ10" s="30" t="str">
        <f aca="false">IF($D10="","",IF(ISNUMBER($AG10),IF($AG10=0,"None",$AG10&amp;" Months"),IF($AG10="","None Reported",$AG10)))</f>
        <v>6 Months</v>
      </c>
      <c r="BA10" s="27" t="str">
        <f aca="false">IF($D10="","",IF($AK10="","Unlevered",$AK10))</f>
        <v>Goldman Sachs</v>
      </c>
      <c r="BB10" s="31" t="n">
        <f aca="false">IF($D10="","",SUM($AL10,$AO10))</f>
        <v>100640000</v>
      </c>
      <c r="BC10" s="32" t="n">
        <f aca="false">IF($D10="","",IF($P10&gt;0,$BB10/$P10,0))</f>
        <v>0.8</v>
      </c>
      <c r="BD10" s="34" t="n">
        <f aca="false">IF($D10="","",(AsOfDate-$AH10)/DaysPerMonth)</f>
        <v>5.94661190965092</v>
      </c>
      <c r="BE10" s="34" t="n">
        <f aca="false">IF($D10="","",($AI10-AsOfDate)/DaysPerMonth)</f>
        <v>30.0944558521561</v>
      </c>
      <c r="BF10" s="34" t="n">
        <f aca="false">IF($D10="","",($AJ10-AsOfDate)/DaysPerMonth)</f>
        <v>42.0862422997947</v>
      </c>
      <c r="BG10" s="34" t="n">
        <f aca="false">IF($D10="","",MAX(0,$BE10))</f>
        <v>30.0944558521561</v>
      </c>
      <c r="BH10" s="34" t="n">
        <f aca="false">IF($D10="","",MAX(0,$BF10))</f>
        <v>42.0862422997947</v>
      </c>
      <c r="BI10" s="77" t="n">
        <f aca="false">IF($D10="","",YEAR($AI10))</f>
        <v>2029</v>
      </c>
      <c r="BJ10" s="77" t="n">
        <f aca="false">IF($D10="","",YEAR($AJ10))</f>
        <v>2030</v>
      </c>
      <c r="BK10" s="77" t="n">
        <f aca="false">IF($D10="","",YEAR($AH10))</f>
        <v>2025</v>
      </c>
      <c r="BL10" s="78" t="n">
        <v>2025</v>
      </c>
      <c r="BM10" s="44" t="n">
        <f aca="false">IF($AT10=1,$P10+(1000-ROW())/1000000,0)</f>
        <v>125800000.00099</v>
      </c>
    </row>
    <row r="11" customFormat="false" ht="15" hidden="false" customHeight="false" outlineLevel="0" collapsed="false">
      <c r="B11" s="60" t="n">
        <v>7</v>
      </c>
      <c r="C11" s="61" t="n">
        <v>30025</v>
      </c>
      <c r="D11" s="62" t="s">
        <v>323</v>
      </c>
      <c r="E11" s="62" t="s">
        <v>72</v>
      </c>
      <c r="F11" s="62" t="s">
        <v>72</v>
      </c>
      <c r="G11" s="62" t="s">
        <v>86</v>
      </c>
      <c r="H11" s="62" t="s">
        <v>324</v>
      </c>
      <c r="I11" s="63" t="s">
        <v>100</v>
      </c>
      <c r="J11" s="63" t="s">
        <v>100</v>
      </c>
      <c r="K11" s="63" t="s">
        <v>306</v>
      </c>
      <c r="L11" s="60" t="n">
        <v>350</v>
      </c>
      <c r="M11" s="60"/>
      <c r="N11" s="63" t="n">
        <v>1940</v>
      </c>
      <c r="O11" s="63" t="s">
        <v>311</v>
      </c>
      <c r="P11" s="64" t="n">
        <v>80000000</v>
      </c>
      <c r="Q11" s="64" t="n">
        <v>0</v>
      </c>
      <c r="R11" s="64" t="n">
        <v>80000000</v>
      </c>
      <c r="S11" s="64" t="n">
        <v>0</v>
      </c>
      <c r="T11" s="64" t="n">
        <v>85000000</v>
      </c>
      <c r="U11" s="64" t="n">
        <v>103000000</v>
      </c>
      <c r="V11" s="64" t="n">
        <v>116800000</v>
      </c>
      <c r="W11" s="65" t="n">
        <v>0.79126213592233</v>
      </c>
      <c r="X11" s="65" t="n">
        <v>0.727739726027397</v>
      </c>
      <c r="Y11" s="57" t="n">
        <v>0.0335</v>
      </c>
      <c r="Z11" s="57" t="n">
        <v>0.0025</v>
      </c>
      <c r="AA11" s="57" t="n">
        <v>0.001</v>
      </c>
      <c r="AB11" s="57" t="n">
        <v>0</v>
      </c>
      <c r="AC11" s="63" t="s">
        <v>308</v>
      </c>
      <c r="AD11" s="57" t="n">
        <v>0.0345</v>
      </c>
      <c r="AE11" s="57" t="n">
        <v>0.025</v>
      </c>
      <c r="AF11" s="66" t="n">
        <v>46357</v>
      </c>
      <c r="AG11" s="63" t="n">
        <v>6</v>
      </c>
      <c r="AH11" s="66" t="n">
        <v>44341</v>
      </c>
      <c r="AI11" s="66" t="n">
        <v>45444</v>
      </c>
      <c r="AJ11" s="66" t="n">
        <v>46357</v>
      </c>
      <c r="AK11" s="62" t="s">
        <v>119</v>
      </c>
      <c r="AL11" s="64" t="n">
        <v>64000000</v>
      </c>
      <c r="AM11" s="57" t="n">
        <v>0.0165</v>
      </c>
      <c r="AN11" s="62"/>
      <c r="AO11" s="64"/>
      <c r="AP11" s="57"/>
      <c r="AQ11" s="64" t="n">
        <v>16000000</v>
      </c>
      <c r="AR11" s="65" t="n">
        <v>0.143</v>
      </c>
      <c r="AT11" s="26" t="n">
        <f aca="false">IF($D11="",0,IF(OR(StratFilter="All Loans",$E11=StratFilter),1,0))</f>
        <v>1</v>
      </c>
      <c r="AU11" s="18" t="str">
        <f aca="false">IF($D11="","",IFERROR(VLOOKUP(TRIM($K11),PropTypeMap,2,FALSE()),"Unmapped"))</f>
        <v>Multifamily</v>
      </c>
      <c r="AV11" s="21" t="str">
        <f aca="false">IF($D11="","",IFERROR(VLOOKUP($J11,RegionMap,2,FALSE()),"Unmapped"))</f>
        <v>Northeast</v>
      </c>
      <c r="AW11" s="21" t="str">
        <f aca="false">IF($D11="","",IF($AC11="SOFR","Floating (SOFR)","Fixed / All-In"))</f>
        <v>Floating (SOFR)</v>
      </c>
      <c r="AX11" s="24" t="n">
        <f aca="false">IF($D11="","",$AD11+SOFR)</f>
        <v>0.071</v>
      </c>
      <c r="AY11" s="21" t="str">
        <f aca="false">IF($D11="","",IF($AF11="Waived","Waived",IF(ISNUMBER($AF11),IF($AF11&gt;AsOfDate,"In Place","Expired"),"None Reported")))</f>
        <v>In Place</v>
      </c>
      <c r="AZ11" s="21" t="str">
        <f aca="false">IF($D11="","",IF(ISNUMBER($AG11),IF($AG11=0,"None",$AG11&amp;" Months"),IF($AG11="","None Reported",$AG11)))</f>
        <v>6 Months</v>
      </c>
      <c r="BA11" s="18" t="str">
        <f aca="false">IF($D11="","",IF($AK11="","Unlevered",$AK11))</f>
        <v>Goldman Sachs</v>
      </c>
      <c r="BB11" s="22" t="n">
        <f aca="false">IF($D11="","",SUM($AL11,$AO11))</f>
        <v>64000000</v>
      </c>
      <c r="BC11" s="23" t="n">
        <f aca="false">IF($D11="","",IF($P11&gt;0,$BB11/$P11,0))</f>
        <v>0.8</v>
      </c>
      <c r="BD11" s="25" t="n">
        <f aca="false">IF($D11="","",(AsOfDate-$AH11)/DaysPerMonth)</f>
        <v>61.1745379876797</v>
      </c>
      <c r="BE11" s="25" t="n">
        <f aca="false">IF($D11="","",($AI11-AsOfDate)/DaysPerMonth)</f>
        <v>-24.9363449691992</v>
      </c>
      <c r="BF11" s="25" t="n">
        <f aca="false">IF($D11="","",($AJ11-AsOfDate)/DaysPerMonth)</f>
        <v>5.05954825462012</v>
      </c>
      <c r="BG11" s="25" t="n">
        <f aca="false">IF($D11="","",MAX(0,$BE11))</f>
        <v>0</v>
      </c>
      <c r="BH11" s="25" t="n">
        <f aca="false">IF($D11="","",MAX(0,$BF11))</f>
        <v>5.05954825462012</v>
      </c>
      <c r="BI11" s="67" t="n">
        <f aca="false">IF($D11="","",YEAR($AI11))</f>
        <v>2024</v>
      </c>
      <c r="BJ11" s="67" t="n">
        <f aca="false">IF($D11="","",YEAR($AJ11))</f>
        <v>2026</v>
      </c>
      <c r="BK11" s="67" t="n">
        <f aca="false">IF($D11="","",YEAR($AH11))</f>
        <v>2021</v>
      </c>
      <c r="BL11" s="68" t="n">
        <v>1940</v>
      </c>
      <c r="BM11" s="26" t="n">
        <f aca="false">IF($AT11=1,$P11+(1000-ROW())/1000000,0)</f>
        <v>80000000.000989</v>
      </c>
    </row>
    <row r="12" customFormat="false" ht="15" hidden="false" customHeight="false" outlineLevel="0" collapsed="false">
      <c r="B12" s="69" t="n">
        <v>8</v>
      </c>
      <c r="C12" s="70" t="n">
        <v>30116</v>
      </c>
      <c r="D12" s="71" t="s">
        <v>325</v>
      </c>
      <c r="E12" s="71" t="s">
        <v>72</v>
      </c>
      <c r="F12" s="71" t="s">
        <v>72</v>
      </c>
      <c r="G12" s="71" t="s">
        <v>87</v>
      </c>
      <c r="H12" s="71" t="s">
        <v>326</v>
      </c>
      <c r="I12" s="72" t="s">
        <v>92</v>
      </c>
      <c r="J12" s="72" t="s">
        <v>92</v>
      </c>
      <c r="K12" s="72" t="s">
        <v>306</v>
      </c>
      <c r="L12" s="69" t="n">
        <v>351</v>
      </c>
      <c r="M12" s="69"/>
      <c r="N12" s="72" t="n">
        <v>2019</v>
      </c>
      <c r="O12" s="72" t="s">
        <v>311</v>
      </c>
      <c r="P12" s="73" t="n">
        <v>49140000</v>
      </c>
      <c r="Q12" s="73" t="n">
        <v>0</v>
      </c>
      <c r="R12" s="73" t="n">
        <v>49140000</v>
      </c>
      <c r="S12" s="73" t="n">
        <v>0</v>
      </c>
      <c r="T12" s="73" t="n">
        <v>49140000</v>
      </c>
      <c r="U12" s="73" t="n">
        <v>72300000</v>
      </c>
      <c r="V12" s="73" t="n">
        <v>76100000</v>
      </c>
      <c r="W12" s="74" t="n">
        <v>0.678454273858921</v>
      </c>
      <c r="X12" s="74" t="n">
        <v>0.645729303547963</v>
      </c>
      <c r="Y12" s="75" t="n">
        <v>0.0285</v>
      </c>
      <c r="Z12" s="75" t="n">
        <v>0.0005</v>
      </c>
      <c r="AA12" s="75" t="n">
        <v>0</v>
      </c>
      <c r="AB12" s="75" t="n">
        <v>0.0025</v>
      </c>
      <c r="AC12" s="72" t="s">
        <v>308</v>
      </c>
      <c r="AD12" s="75" t="n">
        <v>0.031</v>
      </c>
      <c r="AE12" s="75" t="n">
        <v>0.0225</v>
      </c>
      <c r="AF12" s="76" t="n">
        <v>46401</v>
      </c>
      <c r="AG12" s="72" t="n">
        <v>6</v>
      </c>
      <c r="AH12" s="76" t="n">
        <v>44550</v>
      </c>
      <c r="AI12" s="76" t="n">
        <v>45658</v>
      </c>
      <c r="AJ12" s="76" t="n">
        <v>46388</v>
      </c>
      <c r="AK12" s="71" t="s">
        <v>119</v>
      </c>
      <c r="AL12" s="73" t="n">
        <v>36855000</v>
      </c>
      <c r="AM12" s="75" t="n">
        <v>0.016</v>
      </c>
      <c r="AN12" s="71"/>
      <c r="AO12" s="73"/>
      <c r="AP12" s="75"/>
      <c r="AQ12" s="73" t="n">
        <v>12285000</v>
      </c>
      <c r="AR12" s="74" t="n">
        <v>0.1125</v>
      </c>
      <c r="AT12" s="44" t="n">
        <f aca="false">IF($D12="",0,IF(OR(StratFilter="All Loans",$E12=StratFilter),1,0))</f>
        <v>1</v>
      </c>
      <c r="AU12" s="27" t="str">
        <f aca="false">IF($D12="","",IFERROR(VLOOKUP(TRIM($K12),PropTypeMap,2,FALSE()),"Unmapped"))</f>
        <v>Multifamily</v>
      </c>
      <c r="AV12" s="30" t="str">
        <f aca="false">IF($D12="","",IFERROR(VLOOKUP($J12,RegionMap,2,FALSE()),"Unmapped"))</f>
        <v>Southwest</v>
      </c>
      <c r="AW12" s="30" t="str">
        <f aca="false">IF($D12="","",IF($AC12="SOFR","Floating (SOFR)","Fixed / All-In"))</f>
        <v>Floating (SOFR)</v>
      </c>
      <c r="AX12" s="33" t="n">
        <f aca="false">IF($D12="","",$AD12+SOFR)</f>
        <v>0.0675</v>
      </c>
      <c r="AY12" s="30" t="str">
        <f aca="false">IF($D12="","",IF($AF12="Waived","Waived",IF(ISNUMBER($AF12),IF($AF12&gt;AsOfDate,"In Place","Expired"),"None Reported")))</f>
        <v>In Place</v>
      </c>
      <c r="AZ12" s="30" t="str">
        <f aca="false">IF($D12="","",IF(ISNUMBER($AG12),IF($AG12=0,"None",$AG12&amp;" Months"),IF($AG12="","None Reported",$AG12)))</f>
        <v>6 Months</v>
      </c>
      <c r="BA12" s="27" t="str">
        <f aca="false">IF($D12="","",IF($AK12="","Unlevered",$AK12))</f>
        <v>Goldman Sachs</v>
      </c>
      <c r="BB12" s="31" t="n">
        <f aca="false">IF($D12="","",SUM($AL12,$AO12))</f>
        <v>36855000</v>
      </c>
      <c r="BC12" s="32" t="n">
        <f aca="false">IF($D12="","",IF($P12&gt;0,$BB12/$P12,0))</f>
        <v>0.75</v>
      </c>
      <c r="BD12" s="34" t="n">
        <f aca="false">IF($D12="","",(AsOfDate-$AH12)/DaysPerMonth)</f>
        <v>54.3080082135524</v>
      </c>
      <c r="BE12" s="34" t="n">
        <f aca="false">IF($D12="","",($AI12-AsOfDate)/DaysPerMonth)</f>
        <v>-17.9055441478439</v>
      </c>
      <c r="BF12" s="34" t="n">
        <f aca="false">IF($D12="","",($AJ12-AsOfDate)/DaysPerMonth)</f>
        <v>6.07802874743327</v>
      </c>
      <c r="BG12" s="34" t="n">
        <f aca="false">IF($D12="","",MAX(0,$BE12))</f>
        <v>0</v>
      </c>
      <c r="BH12" s="34" t="n">
        <f aca="false">IF($D12="","",MAX(0,$BF12))</f>
        <v>6.07802874743327</v>
      </c>
      <c r="BI12" s="77" t="n">
        <f aca="false">IF($D12="","",YEAR($AI12))</f>
        <v>2025</v>
      </c>
      <c r="BJ12" s="77" t="n">
        <f aca="false">IF($D12="","",YEAR($AJ12))</f>
        <v>2027</v>
      </c>
      <c r="BK12" s="77" t="n">
        <f aca="false">IF($D12="","",YEAR($AH12))</f>
        <v>2021</v>
      </c>
      <c r="BL12" s="78" t="n">
        <v>2019</v>
      </c>
      <c r="BM12" s="44" t="n">
        <f aca="false">IF($AT12=1,$P12+(1000-ROW())/1000000,0)</f>
        <v>49140000.000988</v>
      </c>
    </row>
    <row r="13" customFormat="false" ht="15" hidden="false" customHeight="false" outlineLevel="0" collapsed="false">
      <c r="B13" s="60" t="n">
        <v>9</v>
      </c>
      <c r="C13" s="61" t="n">
        <v>30334</v>
      </c>
      <c r="D13" s="62" t="s">
        <v>327</v>
      </c>
      <c r="E13" s="62" t="s">
        <v>72</v>
      </c>
      <c r="F13" s="62" t="s">
        <v>72</v>
      </c>
      <c r="G13" s="62" t="s">
        <v>84</v>
      </c>
      <c r="H13" s="62" t="s">
        <v>328</v>
      </c>
      <c r="I13" s="63" t="s">
        <v>98</v>
      </c>
      <c r="J13" s="63" t="s">
        <v>98</v>
      </c>
      <c r="K13" s="63" t="s">
        <v>306</v>
      </c>
      <c r="L13" s="60" t="n">
        <v>304</v>
      </c>
      <c r="M13" s="60"/>
      <c r="N13" s="63" t="n">
        <v>1983</v>
      </c>
      <c r="O13" s="63" t="s">
        <v>329</v>
      </c>
      <c r="P13" s="64" t="n">
        <v>31000000</v>
      </c>
      <c r="Q13" s="64" t="n">
        <v>0</v>
      </c>
      <c r="R13" s="64" t="n">
        <v>31000000</v>
      </c>
      <c r="S13" s="64" t="n">
        <v>0</v>
      </c>
      <c r="T13" s="64" t="n">
        <v>31000000</v>
      </c>
      <c r="U13" s="64" t="n">
        <v>42200000</v>
      </c>
      <c r="V13" s="64" t="n">
        <v>42200000</v>
      </c>
      <c r="W13" s="65" t="n">
        <v>0.734597156398104</v>
      </c>
      <c r="X13" s="65" t="n">
        <v>0.734597156398104</v>
      </c>
      <c r="Y13" s="57" t="n">
        <v>0.0275</v>
      </c>
      <c r="Z13" s="57" t="n">
        <v>0.03</v>
      </c>
      <c r="AA13" s="57" t="n">
        <v>0</v>
      </c>
      <c r="AB13" s="57" t="n">
        <v>0</v>
      </c>
      <c r="AC13" s="63" t="s">
        <v>308</v>
      </c>
      <c r="AD13" s="57" t="n">
        <v>0.0275</v>
      </c>
      <c r="AE13" s="57" t="n">
        <v>0.04</v>
      </c>
      <c r="AF13" s="66" t="n">
        <v>47237</v>
      </c>
      <c r="AG13" s="63" t="n">
        <v>12</v>
      </c>
      <c r="AH13" s="66" t="n">
        <v>46141</v>
      </c>
      <c r="AI13" s="66" t="n">
        <v>47239</v>
      </c>
      <c r="AJ13" s="66" t="n">
        <v>47604</v>
      </c>
      <c r="AK13" s="62" t="s">
        <v>119</v>
      </c>
      <c r="AL13" s="64" t="n">
        <v>24800000</v>
      </c>
      <c r="AM13" s="57" t="n">
        <v>0.014</v>
      </c>
      <c r="AN13" s="62"/>
      <c r="AO13" s="64"/>
      <c r="AP13" s="57"/>
      <c r="AQ13" s="64" t="n">
        <v>6200000</v>
      </c>
      <c r="AR13" s="65" t="n">
        <v>0.118</v>
      </c>
      <c r="AT13" s="26" t="n">
        <f aca="false">IF($D13="",0,IF(OR(StratFilter="All Loans",$E13=StratFilter),1,0))</f>
        <v>1</v>
      </c>
      <c r="AU13" s="18" t="str">
        <f aca="false">IF($D13="","",IFERROR(VLOOKUP(TRIM($K13),PropTypeMap,2,FALSE()),"Unmapped"))</f>
        <v>Multifamily</v>
      </c>
      <c r="AV13" s="21" t="str">
        <f aca="false">IF($D13="","",IFERROR(VLOOKUP($J13,RegionMap,2,FALSE()),"Unmapped"))</f>
        <v>Southeast</v>
      </c>
      <c r="AW13" s="21" t="str">
        <f aca="false">IF($D13="","",IF($AC13="SOFR","Floating (SOFR)","Fixed / All-In"))</f>
        <v>Floating (SOFR)</v>
      </c>
      <c r="AX13" s="24" t="n">
        <f aca="false">IF($D13="","",$AD13+SOFR)</f>
        <v>0.064</v>
      </c>
      <c r="AY13" s="21" t="str">
        <f aca="false">IF($D13="","",IF($AF13="Waived","Waived",IF(ISNUMBER($AF13),IF($AF13&gt;AsOfDate,"In Place","Expired"),"None Reported")))</f>
        <v>In Place</v>
      </c>
      <c r="AZ13" s="21" t="str">
        <f aca="false">IF($D13="","",IF(ISNUMBER($AG13),IF($AG13=0,"None",$AG13&amp;" Months"),IF($AG13="","None Reported",$AG13)))</f>
        <v>12 Months</v>
      </c>
      <c r="BA13" s="18" t="str">
        <f aca="false">IF($D13="","",IF($AK13="","Unlevered",$AK13))</f>
        <v>Goldman Sachs</v>
      </c>
      <c r="BB13" s="22" t="n">
        <f aca="false">IF($D13="","",SUM($AL13,$AO13))</f>
        <v>24800000</v>
      </c>
      <c r="BC13" s="23" t="n">
        <f aca="false">IF($D13="","",IF($P13&gt;0,$BB13/$P13,0))</f>
        <v>0.8</v>
      </c>
      <c r="BD13" s="25" t="n">
        <f aca="false">IF($D13="","",(AsOfDate-$AH13)/DaysPerMonth)</f>
        <v>2.03696098562628</v>
      </c>
      <c r="BE13" s="25" t="n">
        <f aca="false">IF($D13="","",($AI13-AsOfDate)/DaysPerMonth)</f>
        <v>34.0369609856263</v>
      </c>
      <c r="BF13" s="25" t="n">
        <f aca="false">IF($D13="","",($AJ13-AsOfDate)/DaysPerMonth)</f>
        <v>46.0287474332649</v>
      </c>
      <c r="BG13" s="25" t="n">
        <f aca="false">IF($D13="","",MAX(0,$BE13))</f>
        <v>34.0369609856263</v>
      </c>
      <c r="BH13" s="25" t="n">
        <f aca="false">IF($D13="","",MAX(0,$BF13))</f>
        <v>46.0287474332649</v>
      </c>
      <c r="BI13" s="67" t="n">
        <f aca="false">IF($D13="","",YEAR($AI13))</f>
        <v>2029</v>
      </c>
      <c r="BJ13" s="67" t="n">
        <f aca="false">IF($D13="","",YEAR($AJ13))</f>
        <v>2030</v>
      </c>
      <c r="BK13" s="67" t="n">
        <f aca="false">IF($D13="","",YEAR($AH13))</f>
        <v>2026</v>
      </c>
      <c r="BL13" s="68" t="n">
        <v>1983</v>
      </c>
      <c r="BM13" s="26" t="n">
        <f aca="false">IF($AT13=1,$P13+(1000-ROW())/1000000,0)</f>
        <v>31000000.000987</v>
      </c>
    </row>
    <row r="14" customFormat="false" ht="15" hidden="false" customHeight="false" outlineLevel="0" collapsed="false">
      <c r="B14" s="69" t="n">
        <v>10</v>
      </c>
      <c r="C14" s="70" t="n">
        <v>30109</v>
      </c>
      <c r="D14" s="71" t="s">
        <v>330</v>
      </c>
      <c r="E14" s="71" t="s">
        <v>72</v>
      </c>
      <c r="F14" s="71" t="s">
        <v>72</v>
      </c>
      <c r="G14" s="71" t="s">
        <v>88</v>
      </c>
      <c r="H14" s="71" t="s">
        <v>331</v>
      </c>
      <c r="I14" s="72" t="s">
        <v>92</v>
      </c>
      <c r="J14" s="72" t="s">
        <v>92</v>
      </c>
      <c r="K14" s="72" t="s">
        <v>306</v>
      </c>
      <c r="L14" s="69" t="n">
        <v>296</v>
      </c>
      <c r="M14" s="69"/>
      <c r="N14" s="72" t="n">
        <v>2016</v>
      </c>
      <c r="O14" s="72" t="s">
        <v>311</v>
      </c>
      <c r="P14" s="73" t="n">
        <v>34000000</v>
      </c>
      <c r="Q14" s="73" t="n">
        <v>0</v>
      </c>
      <c r="R14" s="73" t="n">
        <v>34000000</v>
      </c>
      <c r="S14" s="73" t="n">
        <v>0</v>
      </c>
      <c r="T14" s="73" t="n">
        <v>34000000</v>
      </c>
      <c r="U14" s="73" t="n">
        <v>50000000</v>
      </c>
      <c r="V14" s="73" t="n">
        <v>69900000</v>
      </c>
      <c r="W14" s="74" t="n">
        <v>0.5762</v>
      </c>
      <c r="X14" s="74" t="n">
        <v>0.486409155937053</v>
      </c>
      <c r="Y14" s="75" t="n">
        <v>0.0305</v>
      </c>
      <c r="Z14" s="75" t="n">
        <v>0.001</v>
      </c>
      <c r="AA14" s="75" t="n">
        <v>0.001</v>
      </c>
      <c r="AB14" s="75" t="n">
        <v>0</v>
      </c>
      <c r="AC14" s="72" t="s">
        <v>308</v>
      </c>
      <c r="AD14" s="75" t="n">
        <v>0.0315</v>
      </c>
      <c r="AE14" s="75"/>
      <c r="AF14" s="76"/>
      <c r="AG14" s="72" t="n">
        <v>6</v>
      </c>
      <c r="AH14" s="76" t="n">
        <v>44540</v>
      </c>
      <c r="AI14" s="76" t="n">
        <v>45658</v>
      </c>
      <c r="AJ14" s="76" t="n">
        <v>46388</v>
      </c>
      <c r="AK14" s="71" t="s">
        <v>119</v>
      </c>
      <c r="AL14" s="73" t="n">
        <v>23800000</v>
      </c>
      <c r="AM14" s="75" t="n">
        <v>0.019</v>
      </c>
      <c r="AN14" s="71"/>
      <c r="AO14" s="73"/>
      <c r="AP14" s="75"/>
      <c r="AQ14" s="73" t="n">
        <v>10200000</v>
      </c>
      <c r="AR14" s="74" t="n">
        <v>0.0971666666666667</v>
      </c>
      <c r="AT14" s="44" t="n">
        <f aca="false">IF($D14="",0,IF(OR(StratFilter="All Loans",$E14=StratFilter),1,0))</f>
        <v>1</v>
      </c>
      <c r="AU14" s="27" t="str">
        <f aca="false">IF($D14="","",IFERROR(VLOOKUP(TRIM($K14),PropTypeMap,2,FALSE()),"Unmapped"))</f>
        <v>Multifamily</v>
      </c>
      <c r="AV14" s="30" t="str">
        <f aca="false">IF($D14="","",IFERROR(VLOOKUP($J14,RegionMap,2,FALSE()),"Unmapped"))</f>
        <v>Southwest</v>
      </c>
      <c r="AW14" s="30" t="str">
        <f aca="false">IF($D14="","",IF($AC14="SOFR","Floating (SOFR)","Fixed / All-In"))</f>
        <v>Floating (SOFR)</v>
      </c>
      <c r="AX14" s="33" t="n">
        <f aca="false">IF($D14="","",$AD14+SOFR)</f>
        <v>0.068</v>
      </c>
      <c r="AY14" s="30" t="str">
        <f aca="false">IF($D14="","",IF($AF14="Waived","Waived",IF(ISNUMBER($AF14),IF($AF14&gt;AsOfDate,"In Place","Expired"),"None Reported")))</f>
        <v>None Reported</v>
      </c>
      <c r="AZ14" s="30" t="str">
        <f aca="false">IF($D14="","",IF(ISNUMBER($AG14),IF($AG14=0,"None",$AG14&amp;" Months"),IF($AG14="","None Reported",$AG14)))</f>
        <v>6 Months</v>
      </c>
      <c r="BA14" s="27" t="str">
        <f aca="false">IF($D14="","",IF($AK14="","Unlevered",$AK14))</f>
        <v>Goldman Sachs</v>
      </c>
      <c r="BB14" s="31" t="n">
        <f aca="false">IF($D14="","",SUM($AL14,$AO14))</f>
        <v>23800000</v>
      </c>
      <c r="BC14" s="32" t="n">
        <f aca="false">IF($D14="","",IF($P14&gt;0,$BB14/$P14,0))</f>
        <v>0.7</v>
      </c>
      <c r="BD14" s="34" t="n">
        <f aca="false">IF($D14="","",(AsOfDate-$AH14)/DaysPerMonth)</f>
        <v>54.6365503080082</v>
      </c>
      <c r="BE14" s="34" t="n">
        <f aca="false">IF($D14="","",($AI14-AsOfDate)/DaysPerMonth)</f>
        <v>-17.9055441478439</v>
      </c>
      <c r="BF14" s="34" t="n">
        <f aca="false">IF($D14="","",($AJ14-AsOfDate)/DaysPerMonth)</f>
        <v>6.07802874743327</v>
      </c>
      <c r="BG14" s="34" t="n">
        <f aca="false">IF($D14="","",MAX(0,$BE14))</f>
        <v>0</v>
      </c>
      <c r="BH14" s="34" t="n">
        <f aca="false">IF($D14="","",MAX(0,$BF14))</f>
        <v>6.07802874743327</v>
      </c>
      <c r="BI14" s="77" t="n">
        <f aca="false">IF($D14="","",YEAR($AI14))</f>
        <v>2025</v>
      </c>
      <c r="BJ14" s="77" t="n">
        <f aca="false">IF($D14="","",YEAR($AJ14))</f>
        <v>2027</v>
      </c>
      <c r="BK14" s="77" t="n">
        <f aca="false">IF($D14="","",YEAR($AH14))</f>
        <v>2021</v>
      </c>
      <c r="BL14" s="78" t="n">
        <v>2016</v>
      </c>
      <c r="BM14" s="44" t="n">
        <f aca="false">IF($AT14=1,$P14+(1000-ROW())/1000000,0)</f>
        <v>34000000.000986</v>
      </c>
    </row>
    <row r="15" customFormat="false" ht="15" hidden="false" customHeight="false" outlineLevel="0" collapsed="false">
      <c r="B15" s="60" t="n">
        <v>11</v>
      </c>
      <c r="C15" s="61" t="n">
        <v>30083</v>
      </c>
      <c r="D15" s="62" t="s">
        <v>332</v>
      </c>
      <c r="E15" s="62" t="s">
        <v>72</v>
      </c>
      <c r="F15" s="62" t="s">
        <v>72</v>
      </c>
      <c r="G15" s="62" t="s">
        <v>88</v>
      </c>
      <c r="H15" s="62" t="s">
        <v>333</v>
      </c>
      <c r="I15" s="63" t="s">
        <v>97</v>
      </c>
      <c r="J15" s="63" t="s">
        <v>97</v>
      </c>
      <c r="K15" s="63" t="s">
        <v>306</v>
      </c>
      <c r="L15" s="60" t="n">
        <v>300</v>
      </c>
      <c r="M15" s="60"/>
      <c r="N15" s="63" t="s">
        <v>334</v>
      </c>
      <c r="O15" s="63" t="s">
        <v>311</v>
      </c>
      <c r="P15" s="64" t="n">
        <v>28000000</v>
      </c>
      <c r="Q15" s="64" t="n">
        <v>0</v>
      </c>
      <c r="R15" s="64" t="n">
        <v>28000000</v>
      </c>
      <c r="S15" s="64" t="n">
        <v>0</v>
      </c>
      <c r="T15" s="64" t="n">
        <v>33000000</v>
      </c>
      <c r="U15" s="64" t="n">
        <v>45000000</v>
      </c>
      <c r="V15" s="64" t="n">
        <v>48400000</v>
      </c>
      <c r="W15" s="65" t="n">
        <v>0.727777777777778</v>
      </c>
      <c r="X15" s="65" t="n">
        <v>0.681818181818182</v>
      </c>
      <c r="Y15" s="57" t="n">
        <v>0.0305</v>
      </c>
      <c r="Z15" s="57" t="n">
        <v>0.001</v>
      </c>
      <c r="AA15" s="57" t="n">
        <v>0.001</v>
      </c>
      <c r="AB15" s="57" t="n">
        <v>0</v>
      </c>
      <c r="AC15" s="63" t="s">
        <v>308</v>
      </c>
      <c r="AD15" s="57" t="n">
        <v>0.0315</v>
      </c>
      <c r="AE15" s="57"/>
      <c r="AF15" s="66"/>
      <c r="AG15" s="63" t="n">
        <v>6</v>
      </c>
      <c r="AH15" s="66" t="n">
        <v>44439</v>
      </c>
      <c r="AI15" s="66" t="n">
        <v>45536</v>
      </c>
      <c r="AJ15" s="66" t="n">
        <v>46266</v>
      </c>
      <c r="AK15" s="62" t="s">
        <v>119</v>
      </c>
      <c r="AL15" s="64" t="n">
        <v>22400000</v>
      </c>
      <c r="AM15" s="57" t="n">
        <v>0.0165</v>
      </c>
      <c r="AN15" s="62"/>
      <c r="AO15" s="64"/>
      <c r="AP15" s="57"/>
      <c r="AQ15" s="64" t="n">
        <v>5600000</v>
      </c>
      <c r="AR15" s="65" t="n">
        <v>0.128</v>
      </c>
      <c r="AT15" s="26" t="n">
        <f aca="false">IF($D15="",0,IF(OR(StratFilter="All Loans",$E15=StratFilter),1,0))</f>
        <v>1</v>
      </c>
      <c r="AU15" s="18" t="str">
        <f aca="false">IF($D15="","",IFERROR(VLOOKUP(TRIM($K15),PropTypeMap,2,FALSE()),"Unmapped"))</f>
        <v>Multifamily</v>
      </c>
      <c r="AV15" s="21" t="str">
        <f aca="false">IF($D15="","",IFERROR(VLOOKUP($J15,RegionMap,2,FALSE()),"Unmapped"))</f>
        <v>Southeast</v>
      </c>
      <c r="AW15" s="21" t="str">
        <f aca="false">IF($D15="","",IF($AC15="SOFR","Floating (SOFR)","Fixed / All-In"))</f>
        <v>Floating (SOFR)</v>
      </c>
      <c r="AX15" s="24" t="n">
        <f aca="false">IF($D15="","",$AD15+SOFR)</f>
        <v>0.068</v>
      </c>
      <c r="AY15" s="21" t="str">
        <f aca="false">IF($D15="","",IF($AF15="Waived","Waived",IF(ISNUMBER($AF15),IF($AF15&gt;AsOfDate,"In Place","Expired"),"None Reported")))</f>
        <v>None Reported</v>
      </c>
      <c r="AZ15" s="21" t="str">
        <f aca="false">IF($D15="","",IF(ISNUMBER($AG15),IF($AG15=0,"None",$AG15&amp;" Months"),IF($AG15="","None Reported",$AG15)))</f>
        <v>6 Months</v>
      </c>
      <c r="BA15" s="18" t="str">
        <f aca="false">IF($D15="","",IF($AK15="","Unlevered",$AK15))</f>
        <v>Goldman Sachs</v>
      </c>
      <c r="BB15" s="22" t="n">
        <f aca="false">IF($D15="","",SUM($AL15,$AO15))</f>
        <v>22400000</v>
      </c>
      <c r="BC15" s="23" t="n">
        <f aca="false">IF($D15="","",IF($P15&gt;0,$BB15/$P15,0))</f>
        <v>0.8</v>
      </c>
      <c r="BD15" s="25" t="n">
        <f aca="false">IF($D15="","",(AsOfDate-$AH15)/DaysPerMonth)</f>
        <v>57.9548254620123</v>
      </c>
      <c r="BE15" s="25" t="n">
        <f aca="false">IF($D15="","",($AI15-AsOfDate)/DaysPerMonth)</f>
        <v>-21.9137577002053</v>
      </c>
      <c r="BF15" s="25" t="n">
        <f aca="false">IF($D15="","",($AJ15-AsOfDate)/DaysPerMonth)</f>
        <v>2.06981519507187</v>
      </c>
      <c r="BG15" s="25" t="n">
        <f aca="false">IF($D15="","",MAX(0,$BE15))</f>
        <v>0</v>
      </c>
      <c r="BH15" s="25" t="n">
        <f aca="false">IF($D15="","",MAX(0,$BF15))</f>
        <v>2.06981519507187</v>
      </c>
      <c r="BI15" s="67" t="n">
        <f aca="false">IF($D15="","",YEAR($AI15))</f>
        <v>2024</v>
      </c>
      <c r="BJ15" s="67" t="n">
        <f aca="false">IF($D15="","",YEAR($AJ15))</f>
        <v>2026</v>
      </c>
      <c r="BK15" s="67" t="n">
        <f aca="false">IF($D15="","",YEAR($AH15))</f>
        <v>2021</v>
      </c>
      <c r="BL15" s="68" t="n">
        <v>1971</v>
      </c>
      <c r="BM15" s="26" t="n">
        <f aca="false">IF($AT15=1,$P15+(1000-ROW())/1000000,0)</f>
        <v>28000000.000985</v>
      </c>
    </row>
    <row r="16" customFormat="false" ht="15" hidden="false" customHeight="false" outlineLevel="0" collapsed="false">
      <c r="B16" s="69" t="n">
        <v>12</v>
      </c>
      <c r="C16" s="70" t="n">
        <v>3961</v>
      </c>
      <c r="D16" s="71" t="s">
        <v>335</v>
      </c>
      <c r="E16" s="71" t="s">
        <v>72</v>
      </c>
      <c r="F16" s="71" t="s">
        <v>72</v>
      </c>
      <c r="G16" s="71" t="s">
        <v>88</v>
      </c>
      <c r="H16" s="71" t="s">
        <v>310</v>
      </c>
      <c r="I16" s="72" t="s">
        <v>92</v>
      </c>
      <c r="J16" s="72" t="s">
        <v>92</v>
      </c>
      <c r="K16" s="72" t="s">
        <v>306</v>
      </c>
      <c r="L16" s="69" t="n">
        <v>280</v>
      </c>
      <c r="M16" s="69"/>
      <c r="N16" s="72" t="n">
        <v>1984</v>
      </c>
      <c r="O16" s="72" t="n">
        <v>2014</v>
      </c>
      <c r="P16" s="73" t="n">
        <v>27250000</v>
      </c>
      <c r="Q16" s="73" t="n">
        <v>-301538.687546179</v>
      </c>
      <c r="R16" s="73" t="n">
        <v>26948461.3124538</v>
      </c>
      <c r="S16" s="73" t="n">
        <v>0</v>
      </c>
      <c r="T16" s="73" t="n">
        <v>30200000</v>
      </c>
      <c r="U16" s="73" t="n">
        <v>36400000</v>
      </c>
      <c r="V16" s="73" t="n">
        <v>41700000</v>
      </c>
      <c r="W16" s="74" t="n">
        <v>0.648351648351648</v>
      </c>
      <c r="X16" s="74" t="n">
        <v>0.724220623501199</v>
      </c>
      <c r="Y16" s="75" t="n">
        <v>0.0275</v>
      </c>
      <c r="Z16" s="75" t="n">
        <v>0.0125</v>
      </c>
      <c r="AA16" s="75" t="n">
        <v>0.001</v>
      </c>
      <c r="AB16" s="75" t="n">
        <v>0</v>
      </c>
      <c r="AC16" s="72" t="s">
        <v>308</v>
      </c>
      <c r="AD16" s="75" t="n">
        <v>0.0285</v>
      </c>
      <c r="AE16" s="75" t="n">
        <v>0.03</v>
      </c>
      <c r="AF16" s="76" t="n">
        <v>46478</v>
      </c>
      <c r="AG16" s="72" t="n">
        <v>6</v>
      </c>
      <c r="AH16" s="76" t="n">
        <v>43906</v>
      </c>
      <c r="AI16" s="76" t="n">
        <v>45017</v>
      </c>
      <c r="AJ16" s="76" t="n">
        <v>46478</v>
      </c>
      <c r="AK16" s="71" t="s">
        <v>119</v>
      </c>
      <c r="AL16" s="73" t="n">
        <v>19075000</v>
      </c>
      <c r="AM16" s="75" t="n">
        <v>0.0175</v>
      </c>
      <c r="AN16" s="71"/>
      <c r="AO16" s="73"/>
      <c r="AP16" s="75"/>
      <c r="AQ16" s="73" t="n">
        <v>8175000</v>
      </c>
      <c r="AR16" s="74" t="n">
        <v>0.0906666666666667</v>
      </c>
      <c r="AT16" s="44" t="n">
        <f aca="false">IF($D16="",0,IF(OR(StratFilter="All Loans",$E16=StratFilter),1,0))</f>
        <v>1</v>
      </c>
      <c r="AU16" s="27" t="str">
        <f aca="false">IF($D16="","",IFERROR(VLOOKUP(TRIM($K16),PropTypeMap,2,FALSE()),"Unmapped"))</f>
        <v>Multifamily</v>
      </c>
      <c r="AV16" s="30" t="str">
        <f aca="false">IF($D16="","",IFERROR(VLOOKUP($J16,RegionMap,2,FALSE()),"Unmapped"))</f>
        <v>Southwest</v>
      </c>
      <c r="AW16" s="30" t="str">
        <f aca="false">IF($D16="","",IF($AC16="SOFR","Floating (SOFR)","Fixed / All-In"))</f>
        <v>Floating (SOFR)</v>
      </c>
      <c r="AX16" s="33" t="n">
        <f aca="false">IF($D16="","",$AD16+SOFR)</f>
        <v>0.065</v>
      </c>
      <c r="AY16" s="30" t="str">
        <f aca="false">IF($D16="","",IF($AF16="Waived","Waived",IF(ISNUMBER($AF16),IF($AF16&gt;AsOfDate,"In Place","Expired"),"None Reported")))</f>
        <v>In Place</v>
      </c>
      <c r="AZ16" s="30" t="str">
        <f aca="false">IF($D16="","",IF(ISNUMBER($AG16),IF($AG16=0,"None",$AG16&amp;" Months"),IF($AG16="","None Reported",$AG16)))</f>
        <v>6 Months</v>
      </c>
      <c r="BA16" s="27" t="str">
        <f aca="false">IF($D16="","",IF($AK16="","Unlevered",$AK16))</f>
        <v>Goldman Sachs</v>
      </c>
      <c r="BB16" s="31" t="n">
        <f aca="false">IF($D16="","",SUM($AL16,$AO16))</f>
        <v>19075000</v>
      </c>
      <c r="BC16" s="32" t="n">
        <f aca="false">IF($D16="","",IF($P16&gt;0,$BB16/$P16,0))</f>
        <v>0.7</v>
      </c>
      <c r="BD16" s="34" t="n">
        <f aca="false">IF($D16="","",(AsOfDate-$AH16)/DaysPerMonth)</f>
        <v>75.4661190965093</v>
      </c>
      <c r="BE16" s="34" t="n">
        <f aca="false">IF($D16="","",($AI16-AsOfDate)/DaysPerMonth)</f>
        <v>-38.9650924024641</v>
      </c>
      <c r="BF16" s="34" t="n">
        <f aca="false">IF($D16="","",($AJ16-AsOfDate)/DaysPerMonth)</f>
        <v>9.03490759753593</v>
      </c>
      <c r="BG16" s="34" t="n">
        <f aca="false">IF($D16="","",MAX(0,$BE16))</f>
        <v>0</v>
      </c>
      <c r="BH16" s="34" t="n">
        <f aca="false">IF($D16="","",MAX(0,$BF16))</f>
        <v>9.03490759753593</v>
      </c>
      <c r="BI16" s="77" t="n">
        <f aca="false">IF($D16="","",YEAR($AI16))</f>
        <v>2023</v>
      </c>
      <c r="BJ16" s="77" t="n">
        <f aca="false">IF($D16="","",YEAR($AJ16))</f>
        <v>2027</v>
      </c>
      <c r="BK16" s="77" t="n">
        <f aca="false">IF($D16="","",YEAR($AH16))</f>
        <v>2020</v>
      </c>
      <c r="BL16" s="78" t="n">
        <v>1984</v>
      </c>
      <c r="BM16" s="44" t="n">
        <f aca="false">IF($AT16=1,$P16+(1000-ROW())/1000000,0)</f>
        <v>27250000.000984</v>
      </c>
    </row>
    <row r="17" customFormat="false" ht="15" hidden="false" customHeight="false" outlineLevel="0" collapsed="false">
      <c r="B17" s="60" t="n">
        <v>13</v>
      </c>
      <c r="C17" s="61" t="n">
        <v>30089</v>
      </c>
      <c r="D17" s="62" t="s">
        <v>336</v>
      </c>
      <c r="E17" s="62" t="s">
        <v>72</v>
      </c>
      <c r="F17" s="62" t="s">
        <v>72</v>
      </c>
      <c r="G17" s="62" t="s">
        <v>87</v>
      </c>
      <c r="H17" s="62" t="s">
        <v>337</v>
      </c>
      <c r="I17" s="63" t="s">
        <v>96</v>
      </c>
      <c r="J17" s="63" t="s">
        <v>96</v>
      </c>
      <c r="K17" s="63" t="s">
        <v>306</v>
      </c>
      <c r="L17" s="60" t="n">
        <v>216</v>
      </c>
      <c r="M17" s="60"/>
      <c r="N17" s="63" t="n">
        <v>1972</v>
      </c>
      <c r="O17" s="63" t="s">
        <v>311</v>
      </c>
      <c r="P17" s="64" t="n">
        <v>27200000</v>
      </c>
      <c r="Q17" s="64" t="n">
        <v>0</v>
      </c>
      <c r="R17" s="64" t="n">
        <v>27200000</v>
      </c>
      <c r="S17" s="64" t="n">
        <v>0</v>
      </c>
      <c r="T17" s="64" t="n">
        <v>29500000</v>
      </c>
      <c r="U17" s="64" t="n">
        <v>32100000</v>
      </c>
      <c r="V17" s="64" t="n">
        <v>43900000</v>
      </c>
      <c r="W17" s="65" t="n">
        <v>0.677320872274143</v>
      </c>
      <c r="X17" s="65" t="n">
        <v>0.671981776765376</v>
      </c>
      <c r="Y17" s="57" t="n">
        <v>0.0335</v>
      </c>
      <c r="Z17" s="57" t="n">
        <v>0.0025</v>
      </c>
      <c r="AA17" s="57" t="n">
        <v>0.001</v>
      </c>
      <c r="AB17" s="57" t="n">
        <v>0</v>
      </c>
      <c r="AC17" s="63" t="s">
        <v>308</v>
      </c>
      <c r="AD17" s="57" t="n">
        <v>0.0345</v>
      </c>
      <c r="AE17" s="57" t="n">
        <v>0.0265</v>
      </c>
      <c r="AF17" s="66" t="n">
        <v>46296</v>
      </c>
      <c r="AG17" s="63" t="n">
        <v>6</v>
      </c>
      <c r="AH17" s="66" t="n">
        <v>44467</v>
      </c>
      <c r="AI17" s="66" t="n">
        <v>45566</v>
      </c>
      <c r="AJ17" s="66" t="n">
        <v>46296</v>
      </c>
      <c r="AK17" s="62" t="s">
        <v>119</v>
      </c>
      <c r="AL17" s="64" t="n">
        <v>18531200</v>
      </c>
      <c r="AM17" s="57" t="n">
        <v>0.0186448</v>
      </c>
      <c r="AN17" s="62"/>
      <c r="AO17" s="64"/>
      <c r="AP17" s="57"/>
      <c r="AQ17" s="64" t="n">
        <v>8668800</v>
      </c>
      <c r="AR17" s="65" t="n">
        <v>0.104893489553341</v>
      </c>
      <c r="AT17" s="26" t="n">
        <f aca="false">IF($D17="",0,IF(OR(StratFilter="All Loans",$E17=StratFilter),1,0))</f>
        <v>1</v>
      </c>
      <c r="AU17" s="18" t="str">
        <f aca="false">IF($D17="","",IFERROR(VLOOKUP(TRIM($K17),PropTypeMap,2,FALSE()),"Unmapped"))</f>
        <v>Multifamily</v>
      </c>
      <c r="AV17" s="21" t="str">
        <f aca="false">IF($D17="","",IFERROR(VLOOKUP($J17,RegionMap,2,FALSE()),"Unmapped"))</f>
        <v>Midwest</v>
      </c>
      <c r="AW17" s="21" t="str">
        <f aca="false">IF($D17="","",IF($AC17="SOFR","Floating (SOFR)","Fixed / All-In"))</f>
        <v>Floating (SOFR)</v>
      </c>
      <c r="AX17" s="24" t="n">
        <f aca="false">IF($D17="","",$AD17+SOFR)</f>
        <v>0.071</v>
      </c>
      <c r="AY17" s="21" t="str">
        <f aca="false">IF($D17="","",IF($AF17="Waived","Waived",IF(ISNUMBER($AF17),IF($AF17&gt;AsOfDate,"In Place","Expired"),"None Reported")))</f>
        <v>In Place</v>
      </c>
      <c r="AZ17" s="21" t="str">
        <f aca="false">IF($D17="","",IF(ISNUMBER($AG17),IF($AG17=0,"None",$AG17&amp;" Months"),IF($AG17="","None Reported",$AG17)))</f>
        <v>6 Months</v>
      </c>
      <c r="BA17" s="18" t="str">
        <f aca="false">IF($D17="","",IF($AK17="","Unlevered",$AK17))</f>
        <v>Goldman Sachs</v>
      </c>
      <c r="BB17" s="22" t="n">
        <f aca="false">IF($D17="","",SUM($AL17,$AO17))</f>
        <v>18531200</v>
      </c>
      <c r="BC17" s="23" t="n">
        <f aca="false">IF($D17="","",IF($P17&gt;0,$BB17/$P17,0))</f>
        <v>0.681294117647059</v>
      </c>
      <c r="BD17" s="25" t="n">
        <f aca="false">IF($D17="","",(AsOfDate-$AH17)/DaysPerMonth)</f>
        <v>57.0349075975359</v>
      </c>
      <c r="BE17" s="25" t="n">
        <f aca="false">IF($D17="","",($AI17-AsOfDate)/DaysPerMonth)</f>
        <v>-20.9281314168378</v>
      </c>
      <c r="BF17" s="25" t="n">
        <f aca="false">IF($D17="","",($AJ17-AsOfDate)/DaysPerMonth)</f>
        <v>3.05544147843943</v>
      </c>
      <c r="BG17" s="25" t="n">
        <f aca="false">IF($D17="","",MAX(0,$BE17))</f>
        <v>0</v>
      </c>
      <c r="BH17" s="25" t="n">
        <f aca="false">IF($D17="","",MAX(0,$BF17))</f>
        <v>3.05544147843943</v>
      </c>
      <c r="BI17" s="67" t="n">
        <f aca="false">IF($D17="","",YEAR($AI17))</f>
        <v>2024</v>
      </c>
      <c r="BJ17" s="67" t="n">
        <f aca="false">IF($D17="","",YEAR($AJ17))</f>
        <v>2026</v>
      </c>
      <c r="BK17" s="67" t="n">
        <f aca="false">IF($D17="","",YEAR($AH17))</f>
        <v>2021</v>
      </c>
      <c r="BL17" s="68" t="n">
        <v>1972</v>
      </c>
      <c r="BM17" s="26" t="n">
        <f aca="false">IF($AT17=1,$P17+(1000-ROW())/1000000,0)</f>
        <v>27200000.000983</v>
      </c>
    </row>
    <row r="18" customFormat="false" ht="15" hidden="false" customHeight="false" outlineLevel="0" collapsed="false">
      <c r="B18" s="69" t="n">
        <v>14</v>
      </c>
      <c r="C18" s="70" t="n">
        <v>30176</v>
      </c>
      <c r="D18" s="71" t="s">
        <v>338</v>
      </c>
      <c r="E18" s="71" t="s">
        <v>72</v>
      </c>
      <c r="F18" s="71" t="s">
        <v>72</v>
      </c>
      <c r="G18" s="71" t="s">
        <v>87</v>
      </c>
      <c r="H18" s="71" t="s">
        <v>339</v>
      </c>
      <c r="I18" s="72" t="s">
        <v>340</v>
      </c>
      <c r="J18" s="72" t="s">
        <v>340</v>
      </c>
      <c r="K18" s="72" t="s">
        <v>306</v>
      </c>
      <c r="L18" s="69" t="n">
        <v>176</v>
      </c>
      <c r="M18" s="69"/>
      <c r="N18" s="72" t="s">
        <v>341</v>
      </c>
      <c r="O18" s="72" t="s">
        <v>342</v>
      </c>
      <c r="P18" s="73" t="n">
        <v>21400000</v>
      </c>
      <c r="Q18" s="73" t="n">
        <v>0</v>
      </c>
      <c r="R18" s="73" t="n">
        <v>21400000</v>
      </c>
      <c r="S18" s="73" t="n">
        <v>2100000</v>
      </c>
      <c r="T18" s="73" t="n">
        <v>24000000</v>
      </c>
      <c r="U18" s="73" t="n">
        <v>35100000</v>
      </c>
      <c r="V18" s="73" t="n">
        <v>41700000</v>
      </c>
      <c r="W18" s="74" t="n">
        <v>0.535612535612536</v>
      </c>
      <c r="X18" s="74" t="n">
        <v>0.575539568345324</v>
      </c>
      <c r="Y18" s="75" t="n">
        <v>0.0365</v>
      </c>
      <c r="Z18" s="75" t="n">
        <v>0.008</v>
      </c>
      <c r="AA18" s="75" t="n">
        <v>0.001</v>
      </c>
      <c r="AB18" s="75" t="n">
        <v>0</v>
      </c>
      <c r="AC18" s="72" t="s">
        <v>308</v>
      </c>
      <c r="AD18" s="75" t="n">
        <v>0.0375</v>
      </c>
      <c r="AE18" s="75" t="n">
        <v>0.04</v>
      </c>
      <c r="AF18" s="76" t="n">
        <v>46266</v>
      </c>
      <c r="AG18" s="72" t="n">
        <v>6</v>
      </c>
      <c r="AH18" s="76" t="n">
        <v>44777</v>
      </c>
      <c r="AI18" s="76" t="n">
        <v>45536</v>
      </c>
      <c r="AJ18" s="76" t="n">
        <v>46266</v>
      </c>
      <c r="AK18" s="71" t="s">
        <v>119</v>
      </c>
      <c r="AL18" s="73" t="n">
        <v>17120000</v>
      </c>
      <c r="AM18" s="75" t="n">
        <v>0.0155</v>
      </c>
      <c r="AN18" s="71"/>
      <c r="AO18" s="73"/>
      <c r="AP18" s="75"/>
      <c r="AQ18" s="73" t="n">
        <v>4280000</v>
      </c>
      <c r="AR18" s="74" t="n">
        <v>0.162</v>
      </c>
      <c r="AT18" s="44" t="n">
        <f aca="false">IF($D18="",0,IF(OR(StratFilter="All Loans",$E18=StratFilter),1,0))</f>
        <v>1</v>
      </c>
      <c r="AU18" s="27" t="str">
        <f aca="false">IF($D18="","",IFERROR(VLOOKUP(TRIM($K18),PropTypeMap,2,FALSE()),"Unmapped"))</f>
        <v>Multifamily</v>
      </c>
      <c r="AV18" s="30" t="str">
        <f aca="false">IF($D18="","",IFERROR(VLOOKUP($J18,RegionMap,2,FALSE()),"Unmapped"))</f>
        <v>Southeast</v>
      </c>
      <c r="AW18" s="30" t="str">
        <f aca="false">IF($D18="","",IF($AC18="SOFR","Floating (SOFR)","Fixed / All-In"))</f>
        <v>Floating (SOFR)</v>
      </c>
      <c r="AX18" s="33" t="n">
        <f aca="false">IF($D18="","",$AD18+SOFR)</f>
        <v>0.074</v>
      </c>
      <c r="AY18" s="30" t="str">
        <f aca="false">IF($D18="","",IF($AF18="Waived","Waived",IF(ISNUMBER($AF18),IF($AF18&gt;AsOfDate,"In Place","Expired"),"None Reported")))</f>
        <v>In Place</v>
      </c>
      <c r="AZ18" s="30" t="str">
        <f aca="false">IF($D18="","",IF(ISNUMBER($AG18),IF($AG18=0,"None",$AG18&amp;" Months"),IF($AG18="","None Reported",$AG18)))</f>
        <v>6 Months</v>
      </c>
      <c r="BA18" s="27" t="str">
        <f aca="false">IF($D18="","",IF($AK18="","Unlevered",$AK18))</f>
        <v>Goldman Sachs</v>
      </c>
      <c r="BB18" s="31" t="n">
        <f aca="false">IF($D18="","",SUM($AL18,$AO18))</f>
        <v>17120000</v>
      </c>
      <c r="BC18" s="32" t="n">
        <f aca="false">IF($D18="","",IF($P18&gt;0,$BB18/$P18,0))</f>
        <v>0.8</v>
      </c>
      <c r="BD18" s="34" t="n">
        <f aca="false">IF($D18="","",(AsOfDate-$AH18)/DaysPerMonth)</f>
        <v>46.8501026694045</v>
      </c>
      <c r="BE18" s="34" t="n">
        <f aca="false">IF($D18="","",($AI18-AsOfDate)/DaysPerMonth)</f>
        <v>-21.9137577002053</v>
      </c>
      <c r="BF18" s="34" t="n">
        <f aca="false">IF($D18="","",($AJ18-AsOfDate)/DaysPerMonth)</f>
        <v>2.06981519507187</v>
      </c>
      <c r="BG18" s="34" t="n">
        <f aca="false">IF($D18="","",MAX(0,$BE18))</f>
        <v>0</v>
      </c>
      <c r="BH18" s="34" t="n">
        <f aca="false">IF($D18="","",MAX(0,$BF18))</f>
        <v>2.06981519507187</v>
      </c>
      <c r="BI18" s="77" t="n">
        <f aca="false">IF($D18="","",YEAR($AI18))</f>
        <v>2024</v>
      </c>
      <c r="BJ18" s="77" t="n">
        <f aca="false">IF($D18="","",YEAR($AJ18))</f>
        <v>2026</v>
      </c>
      <c r="BK18" s="77" t="n">
        <f aca="false">IF($D18="","",YEAR($AH18))</f>
        <v>2022</v>
      </c>
      <c r="BL18" s="78" t="n">
        <v>1903</v>
      </c>
      <c r="BM18" s="44" t="n">
        <f aca="false">IF($AT18=1,$P18+(1000-ROW())/1000000,0)</f>
        <v>21400000.000982</v>
      </c>
    </row>
    <row r="19" customFormat="false" ht="15" hidden="false" customHeight="false" outlineLevel="0" collapsed="false">
      <c r="B19" s="60" t="n">
        <v>15</v>
      </c>
      <c r="C19" s="61" t="n">
        <v>30339</v>
      </c>
      <c r="D19" s="62" t="s">
        <v>343</v>
      </c>
      <c r="E19" s="62" t="s">
        <v>72</v>
      </c>
      <c r="F19" s="62" t="s">
        <v>72</v>
      </c>
      <c r="G19" s="62" t="s">
        <v>84</v>
      </c>
      <c r="H19" s="62" t="s">
        <v>305</v>
      </c>
      <c r="I19" s="63" t="s">
        <v>93</v>
      </c>
      <c r="J19" s="63" t="s">
        <v>93</v>
      </c>
      <c r="K19" s="63" t="s">
        <v>306</v>
      </c>
      <c r="L19" s="60" t="n">
        <v>26</v>
      </c>
      <c r="M19" s="60"/>
      <c r="N19" s="63" t="n">
        <v>1989</v>
      </c>
      <c r="O19" s="63" t="n">
        <v>2025</v>
      </c>
      <c r="P19" s="64" t="n">
        <v>19500000</v>
      </c>
      <c r="Q19" s="64" t="n">
        <v>0</v>
      </c>
      <c r="R19" s="64" t="n">
        <v>19500000</v>
      </c>
      <c r="S19" s="64" t="n">
        <v>0</v>
      </c>
      <c r="T19" s="64" t="n">
        <v>19500000</v>
      </c>
      <c r="U19" s="64" t="n">
        <v>30700000</v>
      </c>
      <c r="V19" s="64" t="n">
        <v>31100000</v>
      </c>
      <c r="W19" s="65" t="n">
        <v>0.635179153094463</v>
      </c>
      <c r="X19" s="65" t="n">
        <v>0.627009646302251</v>
      </c>
      <c r="Y19" s="57" t="n">
        <v>0.0285</v>
      </c>
      <c r="Z19" s="57" t="n">
        <v>0.035</v>
      </c>
      <c r="AA19" s="57" t="n">
        <v>0</v>
      </c>
      <c r="AB19" s="57" t="n">
        <v>0</v>
      </c>
      <c r="AC19" s="63" t="s">
        <v>308</v>
      </c>
      <c r="AD19" s="57" t="n">
        <v>0.0285</v>
      </c>
      <c r="AE19" s="57" t="n">
        <v>0.04</v>
      </c>
      <c r="AF19" s="66" t="n">
        <v>46844</v>
      </c>
      <c r="AG19" s="63" t="n">
        <v>6</v>
      </c>
      <c r="AH19" s="66" t="n">
        <v>46113</v>
      </c>
      <c r="AI19" s="66" t="n">
        <v>46844</v>
      </c>
      <c r="AJ19" s="66" t="n">
        <v>47209</v>
      </c>
      <c r="AK19" s="62" t="s">
        <v>119</v>
      </c>
      <c r="AL19" s="64" t="n">
        <v>15600000</v>
      </c>
      <c r="AM19" s="57" t="n">
        <v>0.014</v>
      </c>
      <c r="AN19" s="62"/>
      <c r="AO19" s="64"/>
      <c r="AP19" s="57"/>
      <c r="AQ19" s="64" t="n">
        <v>3900000</v>
      </c>
      <c r="AR19" s="65" t="n">
        <v>0.123</v>
      </c>
      <c r="AT19" s="26" t="n">
        <f aca="false">IF($D19="",0,IF(OR(StratFilter="All Loans",$E19=StratFilter),1,0))</f>
        <v>1</v>
      </c>
      <c r="AU19" s="18" t="str">
        <f aca="false">IF($D19="","",IFERROR(VLOOKUP(TRIM($K19),PropTypeMap,2,FALSE()),"Unmapped"))</f>
        <v>Multifamily</v>
      </c>
      <c r="AV19" s="21" t="str">
        <f aca="false">IF($D19="","",IFERROR(VLOOKUP($J19,RegionMap,2,FALSE()),"Unmapped"))</f>
        <v>Northeast</v>
      </c>
      <c r="AW19" s="21" t="str">
        <f aca="false">IF($D19="","",IF($AC19="SOFR","Floating (SOFR)","Fixed / All-In"))</f>
        <v>Floating (SOFR)</v>
      </c>
      <c r="AX19" s="24" t="n">
        <f aca="false">IF($D19="","",$AD19+SOFR)</f>
        <v>0.065</v>
      </c>
      <c r="AY19" s="21" t="str">
        <f aca="false">IF($D19="","",IF($AF19="Waived","Waived",IF(ISNUMBER($AF19),IF($AF19&gt;AsOfDate,"In Place","Expired"),"None Reported")))</f>
        <v>In Place</v>
      </c>
      <c r="AZ19" s="21" t="str">
        <f aca="false">IF($D19="","",IF(ISNUMBER($AG19),IF($AG19=0,"None",$AG19&amp;" Months"),IF($AG19="","None Reported",$AG19)))</f>
        <v>6 Months</v>
      </c>
      <c r="BA19" s="18" t="str">
        <f aca="false">IF($D19="","",IF($AK19="","Unlevered",$AK19))</f>
        <v>Goldman Sachs</v>
      </c>
      <c r="BB19" s="22" t="n">
        <f aca="false">IF($D19="","",SUM($AL19,$AO19))</f>
        <v>15600000</v>
      </c>
      <c r="BC19" s="23" t="n">
        <f aca="false">IF($D19="","",IF($P19&gt;0,$BB19/$P19,0))</f>
        <v>0.8</v>
      </c>
      <c r="BD19" s="25" t="n">
        <f aca="false">IF($D19="","",(AsOfDate-$AH19)/DaysPerMonth)</f>
        <v>2.95687885010267</v>
      </c>
      <c r="BE19" s="25" t="n">
        <f aca="false">IF($D19="","",($AI19-AsOfDate)/DaysPerMonth)</f>
        <v>21.0595482546201</v>
      </c>
      <c r="BF19" s="25" t="n">
        <f aca="false">IF($D19="","",($AJ19-AsOfDate)/DaysPerMonth)</f>
        <v>33.0513347022587</v>
      </c>
      <c r="BG19" s="25" t="n">
        <f aca="false">IF($D19="","",MAX(0,$BE19))</f>
        <v>21.0595482546201</v>
      </c>
      <c r="BH19" s="25" t="n">
        <f aca="false">IF($D19="","",MAX(0,$BF19))</f>
        <v>33.0513347022587</v>
      </c>
      <c r="BI19" s="67" t="n">
        <f aca="false">IF($D19="","",YEAR($AI19))</f>
        <v>2028</v>
      </c>
      <c r="BJ19" s="67" t="n">
        <f aca="false">IF($D19="","",YEAR($AJ19))</f>
        <v>2029</v>
      </c>
      <c r="BK19" s="67" t="n">
        <f aca="false">IF($D19="","",YEAR($AH19))</f>
        <v>2026</v>
      </c>
      <c r="BL19" s="68" t="n">
        <v>1989</v>
      </c>
      <c r="BM19" s="26" t="n">
        <f aca="false">IF($AT19=1,$P19+(1000-ROW())/1000000,0)</f>
        <v>19500000.000981</v>
      </c>
    </row>
    <row r="20" customFormat="false" ht="15" hidden="false" customHeight="false" outlineLevel="0" collapsed="false">
      <c r="B20" s="69" t="n">
        <v>16</v>
      </c>
      <c r="C20" s="70" t="n">
        <v>30338</v>
      </c>
      <c r="D20" s="71" t="s">
        <v>344</v>
      </c>
      <c r="E20" s="71" t="s">
        <v>72</v>
      </c>
      <c r="F20" s="71" t="s">
        <v>72</v>
      </c>
      <c r="G20" s="71" t="s">
        <v>84</v>
      </c>
      <c r="H20" s="71" t="s">
        <v>345</v>
      </c>
      <c r="I20" s="72" t="s">
        <v>92</v>
      </c>
      <c r="J20" s="72" t="s">
        <v>92</v>
      </c>
      <c r="K20" s="72" t="s">
        <v>306</v>
      </c>
      <c r="L20" s="69" t="n">
        <v>232</v>
      </c>
      <c r="M20" s="69"/>
      <c r="N20" s="72" t="n">
        <v>2000</v>
      </c>
      <c r="O20" s="72" t="s">
        <v>329</v>
      </c>
      <c r="P20" s="73" t="n">
        <v>19000000</v>
      </c>
      <c r="Q20" s="73" t="n">
        <v>0</v>
      </c>
      <c r="R20" s="73" t="n">
        <v>19000000</v>
      </c>
      <c r="S20" s="73" t="n">
        <v>0</v>
      </c>
      <c r="T20" s="73" t="n">
        <v>22000000</v>
      </c>
      <c r="U20" s="73" t="n">
        <v>31500000</v>
      </c>
      <c r="V20" s="73" t="n">
        <v>31500000</v>
      </c>
      <c r="W20" s="74" t="n">
        <v>0.603174603174603</v>
      </c>
      <c r="X20" s="74" t="n">
        <v>0.698412698412698</v>
      </c>
      <c r="Y20" s="75" t="n">
        <v>0.0275</v>
      </c>
      <c r="Z20" s="75" t="n">
        <v>0.03</v>
      </c>
      <c r="AA20" s="75" t="n">
        <v>0</v>
      </c>
      <c r="AB20" s="75" t="n">
        <v>0</v>
      </c>
      <c r="AC20" s="72" t="s">
        <v>308</v>
      </c>
      <c r="AD20" s="75" t="n">
        <v>0.0275</v>
      </c>
      <c r="AE20" s="75" t="n">
        <v>0.04</v>
      </c>
      <c r="AF20" s="76" t="n">
        <v>47237</v>
      </c>
      <c r="AG20" s="72" t="n">
        <v>6</v>
      </c>
      <c r="AH20" s="76" t="n">
        <v>46141</v>
      </c>
      <c r="AI20" s="76" t="n">
        <v>47239</v>
      </c>
      <c r="AJ20" s="76" t="n">
        <v>47604</v>
      </c>
      <c r="AK20" s="71" t="s">
        <v>119</v>
      </c>
      <c r="AL20" s="73" t="n">
        <v>15200000</v>
      </c>
      <c r="AM20" s="75" t="n">
        <v>0.014</v>
      </c>
      <c r="AN20" s="71"/>
      <c r="AO20" s="73"/>
      <c r="AP20" s="75"/>
      <c r="AQ20" s="73" t="n">
        <v>3800000</v>
      </c>
      <c r="AR20" s="74" t="n">
        <v>0.118</v>
      </c>
      <c r="AT20" s="44" t="n">
        <f aca="false">IF($D20="",0,IF(OR(StratFilter="All Loans",$E20=StratFilter),1,0))</f>
        <v>1</v>
      </c>
      <c r="AU20" s="27" t="str">
        <f aca="false">IF($D20="","",IFERROR(VLOOKUP(TRIM($K20),PropTypeMap,2,FALSE()),"Unmapped"))</f>
        <v>Multifamily</v>
      </c>
      <c r="AV20" s="30" t="str">
        <f aca="false">IF($D20="","",IFERROR(VLOOKUP($J20,RegionMap,2,FALSE()),"Unmapped"))</f>
        <v>Southwest</v>
      </c>
      <c r="AW20" s="30" t="str">
        <f aca="false">IF($D20="","",IF($AC20="SOFR","Floating (SOFR)","Fixed / All-In"))</f>
        <v>Floating (SOFR)</v>
      </c>
      <c r="AX20" s="33" t="n">
        <f aca="false">IF($D20="","",$AD20+SOFR)</f>
        <v>0.064</v>
      </c>
      <c r="AY20" s="30" t="str">
        <f aca="false">IF($D20="","",IF($AF20="Waived","Waived",IF(ISNUMBER($AF20),IF($AF20&gt;AsOfDate,"In Place","Expired"),"None Reported")))</f>
        <v>In Place</v>
      </c>
      <c r="AZ20" s="30" t="str">
        <f aca="false">IF($D20="","",IF(ISNUMBER($AG20),IF($AG20=0,"None",$AG20&amp;" Months"),IF($AG20="","None Reported",$AG20)))</f>
        <v>6 Months</v>
      </c>
      <c r="BA20" s="27" t="str">
        <f aca="false">IF($D20="","",IF($AK20="","Unlevered",$AK20))</f>
        <v>Goldman Sachs</v>
      </c>
      <c r="BB20" s="31" t="n">
        <f aca="false">IF($D20="","",SUM($AL20,$AO20))</f>
        <v>15200000</v>
      </c>
      <c r="BC20" s="32" t="n">
        <f aca="false">IF($D20="","",IF($P20&gt;0,$BB20/$P20,0))</f>
        <v>0.8</v>
      </c>
      <c r="BD20" s="34" t="n">
        <f aca="false">IF($D20="","",(AsOfDate-$AH20)/DaysPerMonth)</f>
        <v>2.03696098562628</v>
      </c>
      <c r="BE20" s="34" t="n">
        <f aca="false">IF($D20="","",($AI20-AsOfDate)/DaysPerMonth)</f>
        <v>34.0369609856263</v>
      </c>
      <c r="BF20" s="34" t="n">
        <f aca="false">IF($D20="","",($AJ20-AsOfDate)/DaysPerMonth)</f>
        <v>46.0287474332649</v>
      </c>
      <c r="BG20" s="34" t="n">
        <f aca="false">IF($D20="","",MAX(0,$BE20))</f>
        <v>34.0369609856263</v>
      </c>
      <c r="BH20" s="34" t="n">
        <f aca="false">IF($D20="","",MAX(0,$BF20))</f>
        <v>46.0287474332649</v>
      </c>
      <c r="BI20" s="77" t="n">
        <f aca="false">IF($D20="","",YEAR($AI20))</f>
        <v>2029</v>
      </c>
      <c r="BJ20" s="77" t="n">
        <f aca="false">IF($D20="","",YEAR($AJ20))</f>
        <v>2030</v>
      </c>
      <c r="BK20" s="77" t="n">
        <f aca="false">IF($D20="","",YEAR($AH20))</f>
        <v>2026</v>
      </c>
      <c r="BL20" s="78" t="n">
        <v>2000</v>
      </c>
      <c r="BM20" s="44" t="n">
        <f aca="false">IF($AT20=1,$P20+(1000-ROW())/1000000,0)</f>
        <v>19000000.00098</v>
      </c>
    </row>
    <row r="21" customFormat="false" ht="15" hidden="false" customHeight="false" outlineLevel="0" collapsed="false">
      <c r="B21" s="60" t="n">
        <v>17</v>
      </c>
      <c r="C21" s="61" t="n">
        <v>30142</v>
      </c>
      <c r="D21" s="62" t="s">
        <v>346</v>
      </c>
      <c r="E21" s="62" t="s">
        <v>72</v>
      </c>
      <c r="F21" s="62" t="s">
        <v>72</v>
      </c>
      <c r="G21" s="62" t="s">
        <v>88</v>
      </c>
      <c r="H21" s="62" t="s">
        <v>347</v>
      </c>
      <c r="I21" s="63" t="s">
        <v>348</v>
      </c>
      <c r="J21" s="63" t="s">
        <v>348</v>
      </c>
      <c r="K21" s="63" t="s">
        <v>306</v>
      </c>
      <c r="L21" s="60" t="n">
        <v>242</v>
      </c>
      <c r="M21" s="60"/>
      <c r="N21" s="63" t="n">
        <v>1968</v>
      </c>
      <c r="O21" s="63" t="s">
        <v>311</v>
      </c>
      <c r="P21" s="64" t="n">
        <v>27250000</v>
      </c>
      <c r="Q21" s="64" t="n">
        <v>-1864974</v>
      </c>
      <c r="R21" s="64" t="n">
        <v>25385026</v>
      </c>
      <c r="S21" s="64" t="n">
        <v>1250000</v>
      </c>
      <c r="T21" s="64" t="n">
        <v>29000000</v>
      </c>
      <c r="U21" s="64" t="n">
        <v>39000000</v>
      </c>
      <c r="V21" s="64" t="n">
        <v>49500000</v>
      </c>
      <c r="W21" s="65" t="n">
        <v>0.647435897435898</v>
      </c>
      <c r="X21" s="65" t="n">
        <v>0.585858585858586</v>
      </c>
      <c r="Y21" s="57" t="n">
        <v>0.0335</v>
      </c>
      <c r="Z21" s="57" t="n">
        <v>0.0015</v>
      </c>
      <c r="AA21" s="57" t="n">
        <v>0.001</v>
      </c>
      <c r="AB21" s="57" t="n">
        <v>0</v>
      </c>
      <c r="AC21" s="63" t="s">
        <v>308</v>
      </c>
      <c r="AD21" s="57" t="n">
        <v>0.0345</v>
      </c>
      <c r="AE21" s="57" t="n">
        <v>0.03</v>
      </c>
      <c r="AF21" s="66" t="n">
        <v>46478</v>
      </c>
      <c r="AG21" s="63" t="n">
        <v>6</v>
      </c>
      <c r="AH21" s="66" t="n">
        <v>44629</v>
      </c>
      <c r="AI21" s="66" t="n">
        <v>45748</v>
      </c>
      <c r="AJ21" s="66" t="n">
        <v>46478</v>
      </c>
      <c r="AK21" s="62" t="s">
        <v>119</v>
      </c>
      <c r="AL21" s="64" t="n">
        <v>13845112.61</v>
      </c>
      <c r="AM21" s="57" t="n">
        <v>0.0205</v>
      </c>
      <c r="AN21" s="62"/>
      <c r="AO21" s="64"/>
      <c r="AP21" s="57"/>
      <c r="AQ21" s="64" t="n">
        <v>13404887.39</v>
      </c>
      <c r="AR21" s="65" t="n">
        <v>0.0854597691051547</v>
      </c>
      <c r="AT21" s="26" t="n">
        <f aca="false">IF($D21="",0,IF(OR(StratFilter="All Loans",$E21=StratFilter),1,0))</f>
        <v>1</v>
      </c>
      <c r="AU21" s="18" t="str">
        <f aca="false">IF($D21="","",IFERROR(VLOOKUP(TRIM($K21),PropTypeMap,2,FALSE()),"Unmapped"))</f>
        <v>Multifamily</v>
      </c>
      <c r="AV21" s="21" t="str">
        <f aca="false">IF($D21="","",IFERROR(VLOOKUP($J21,RegionMap,2,FALSE()),"Unmapped"))</f>
        <v>Southeast</v>
      </c>
      <c r="AW21" s="21" t="str">
        <f aca="false">IF($D21="","",IF($AC21="SOFR","Floating (SOFR)","Fixed / All-In"))</f>
        <v>Floating (SOFR)</v>
      </c>
      <c r="AX21" s="24" t="n">
        <f aca="false">IF($D21="","",$AD21+SOFR)</f>
        <v>0.071</v>
      </c>
      <c r="AY21" s="21" t="str">
        <f aca="false">IF($D21="","",IF($AF21="Waived","Waived",IF(ISNUMBER($AF21),IF($AF21&gt;AsOfDate,"In Place","Expired"),"None Reported")))</f>
        <v>In Place</v>
      </c>
      <c r="AZ21" s="21" t="str">
        <f aca="false">IF($D21="","",IF(ISNUMBER($AG21),IF($AG21=0,"None",$AG21&amp;" Months"),IF($AG21="","None Reported",$AG21)))</f>
        <v>6 Months</v>
      </c>
      <c r="BA21" s="18" t="str">
        <f aca="false">IF($D21="","",IF($AK21="","Unlevered",$AK21))</f>
        <v>Goldman Sachs</v>
      </c>
      <c r="BB21" s="22" t="n">
        <f aca="false">IF($D21="","",SUM($AL21,$AO21))</f>
        <v>13845112.61</v>
      </c>
      <c r="BC21" s="23" t="n">
        <f aca="false">IF($D21="","",IF($P21&gt;0,$BB21/$P21,0))</f>
        <v>0.508077526972477</v>
      </c>
      <c r="BD21" s="25" t="n">
        <f aca="false">IF($D21="","",(AsOfDate-$AH21)/DaysPerMonth)</f>
        <v>51.7125256673511</v>
      </c>
      <c r="BE21" s="25" t="n">
        <f aca="false">IF($D21="","",($AI21-AsOfDate)/DaysPerMonth)</f>
        <v>-14.9486652977413</v>
      </c>
      <c r="BF21" s="25" t="n">
        <f aca="false">IF($D21="","",($AJ21-AsOfDate)/DaysPerMonth)</f>
        <v>9.03490759753593</v>
      </c>
      <c r="BG21" s="25" t="n">
        <f aca="false">IF($D21="","",MAX(0,$BE21))</f>
        <v>0</v>
      </c>
      <c r="BH21" s="25" t="n">
        <f aca="false">IF($D21="","",MAX(0,$BF21))</f>
        <v>9.03490759753593</v>
      </c>
      <c r="BI21" s="67" t="n">
        <f aca="false">IF($D21="","",YEAR($AI21))</f>
        <v>2025</v>
      </c>
      <c r="BJ21" s="67" t="n">
        <f aca="false">IF($D21="","",YEAR($AJ21))</f>
        <v>2027</v>
      </c>
      <c r="BK21" s="67" t="n">
        <f aca="false">IF($D21="","",YEAR($AH21))</f>
        <v>2022</v>
      </c>
      <c r="BL21" s="68" t="n">
        <v>1968</v>
      </c>
      <c r="BM21" s="26" t="n">
        <f aca="false">IF($AT21=1,$P21+(1000-ROW())/1000000,0)</f>
        <v>27250000.000979</v>
      </c>
    </row>
    <row r="22" customFormat="false" ht="15" hidden="false" customHeight="false" outlineLevel="0" collapsed="false">
      <c r="B22" s="69" t="n">
        <v>18</v>
      </c>
      <c r="C22" s="70" t="n">
        <v>30297</v>
      </c>
      <c r="D22" s="71" t="s">
        <v>349</v>
      </c>
      <c r="E22" s="71" t="s">
        <v>72</v>
      </c>
      <c r="F22" s="71" t="s">
        <v>72</v>
      </c>
      <c r="G22" s="71" t="s">
        <v>87</v>
      </c>
      <c r="H22" s="71" t="s">
        <v>350</v>
      </c>
      <c r="I22" s="72" t="s">
        <v>102</v>
      </c>
      <c r="J22" s="72" t="s">
        <v>102</v>
      </c>
      <c r="K22" s="72" t="s">
        <v>306</v>
      </c>
      <c r="L22" s="69" t="n">
        <v>153</v>
      </c>
      <c r="M22" s="69"/>
      <c r="N22" s="72" t="n">
        <v>1973</v>
      </c>
      <c r="O22" s="72" t="s">
        <v>311</v>
      </c>
      <c r="P22" s="73" t="n">
        <v>16425000</v>
      </c>
      <c r="Q22" s="73" t="n">
        <v>0</v>
      </c>
      <c r="R22" s="73" t="n">
        <v>16425000</v>
      </c>
      <c r="S22" s="73" t="n">
        <v>0</v>
      </c>
      <c r="T22" s="73" t="n">
        <v>16425000</v>
      </c>
      <c r="U22" s="73" t="n">
        <v>23900000</v>
      </c>
      <c r="V22" s="73" t="n">
        <v>24900000</v>
      </c>
      <c r="W22" s="74" t="n">
        <v>0.687238493723849</v>
      </c>
      <c r="X22" s="74" t="n">
        <v>0.659638554216868</v>
      </c>
      <c r="Y22" s="75" t="n">
        <v>0.0315</v>
      </c>
      <c r="Z22" s="75" t="n">
        <v>0.035</v>
      </c>
      <c r="AA22" s="75" t="n">
        <v>0</v>
      </c>
      <c r="AB22" s="75" t="n">
        <v>0</v>
      </c>
      <c r="AC22" s="72" t="s">
        <v>308</v>
      </c>
      <c r="AD22" s="75" t="n">
        <v>0.0315</v>
      </c>
      <c r="AE22" s="75" t="n">
        <v>0.0425</v>
      </c>
      <c r="AF22" s="76" t="n">
        <v>46600</v>
      </c>
      <c r="AG22" s="72" t="n">
        <v>6</v>
      </c>
      <c r="AH22" s="76" t="n">
        <v>45870</v>
      </c>
      <c r="AI22" s="76" t="n">
        <v>46600</v>
      </c>
      <c r="AJ22" s="76" t="n">
        <v>46966</v>
      </c>
      <c r="AK22" s="71" t="s">
        <v>119</v>
      </c>
      <c r="AL22" s="73" t="n">
        <v>13140000</v>
      </c>
      <c r="AM22" s="75" t="n">
        <v>0.015</v>
      </c>
      <c r="AN22" s="71"/>
      <c r="AO22" s="73"/>
      <c r="AP22" s="75"/>
      <c r="AQ22" s="73" t="n">
        <v>3285000</v>
      </c>
      <c r="AR22" s="74" t="n">
        <v>0.134</v>
      </c>
      <c r="AT22" s="44" t="n">
        <f aca="false">IF($D22="",0,IF(OR(StratFilter="All Loans",$E22=StratFilter),1,0))</f>
        <v>1</v>
      </c>
      <c r="AU22" s="27" t="str">
        <f aca="false">IF($D22="","",IFERROR(VLOOKUP(TRIM($K22),PropTypeMap,2,FALSE()),"Unmapped"))</f>
        <v>Multifamily</v>
      </c>
      <c r="AV22" s="30" t="str">
        <f aca="false">IF($D22="","",IFERROR(VLOOKUP($J22,RegionMap,2,FALSE()),"Unmapped"))</f>
        <v>Midwest</v>
      </c>
      <c r="AW22" s="30" t="str">
        <f aca="false">IF($D22="","",IF($AC22="SOFR","Floating (SOFR)","Fixed / All-In"))</f>
        <v>Floating (SOFR)</v>
      </c>
      <c r="AX22" s="33" t="n">
        <f aca="false">IF($D22="","",$AD22+SOFR)</f>
        <v>0.068</v>
      </c>
      <c r="AY22" s="30" t="str">
        <f aca="false">IF($D22="","",IF($AF22="Waived","Waived",IF(ISNUMBER($AF22),IF($AF22&gt;AsOfDate,"In Place","Expired"),"None Reported")))</f>
        <v>In Place</v>
      </c>
      <c r="AZ22" s="30" t="str">
        <f aca="false">IF($D22="","",IF(ISNUMBER($AG22),IF($AG22=0,"None",$AG22&amp;" Months"),IF($AG22="","None Reported",$AG22)))</f>
        <v>6 Months</v>
      </c>
      <c r="BA22" s="27" t="str">
        <f aca="false">IF($D22="","",IF($AK22="","Unlevered",$AK22))</f>
        <v>Goldman Sachs</v>
      </c>
      <c r="BB22" s="31" t="n">
        <f aca="false">IF($D22="","",SUM($AL22,$AO22))</f>
        <v>13140000</v>
      </c>
      <c r="BC22" s="32" t="n">
        <f aca="false">IF($D22="","",IF($P22&gt;0,$BB22/$P22,0))</f>
        <v>0.8</v>
      </c>
      <c r="BD22" s="34" t="n">
        <f aca="false">IF($D22="","",(AsOfDate-$AH22)/DaysPerMonth)</f>
        <v>10.9404517453799</v>
      </c>
      <c r="BE22" s="34" t="n">
        <f aca="false">IF($D22="","",($AI22-AsOfDate)/DaysPerMonth)</f>
        <v>13.0431211498973</v>
      </c>
      <c r="BF22" s="34" t="n">
        <f aca="false">IF($D22="","",($AJ22-AsOfDate)/DaysPerMonth)</f>
        <v>25.0677618069815</v>
      </c>
      <c r="BG22" s="34" t="n">
        <f aca="false">IF($D22="","",MAX(0,$BE22))</f>
        <v>13.0431211498973</v>
      </c>
      <c r="BH22" s="34" t="n">
        <f aca="false">IF($D22="","",MAX(0,$BF22))</f>
        <v>25.0677618069815</v>
      </c>
      <c r="BI22" s="77" t="n">
        <f aca="false">IF($D22="","",YEAR($AI22))</f>
        <v>2027</v>
      </c>
      <c r="BJ22" s="77" t="n">
        <f aca="false">IF($D22="","",YEAR($AJ22))</f>
        <v>2028</v>
      </c>
      <c r="BK22" s="77" t="n">
        <f aca="false">IF($D22="","",YEAR($AH22))</f>
        <v>2025</v>
      </c>
      <c r="BL22" s="78" t="n">
        <v>1973</v>
      </c>
      <c r="BM22" s="44" t="n">
        <f aca="false">IF($AT22=1,$P22+(1000-ROW())/1000000,0)</f>
        <v>16425000.000978</v>
      </c>
    </row>
    <row r="23" customFormat="false" ht="15" hidden="false" customHeight="false" outlineLevel="0" collapsed="false">
      <c r="B23" s="60" t="n">
        <v>19</v>
      </c>
      <c r="C23" s="61" t="n">
        <v>30134</v>
      </c>
      <c r="D23" s="62" t="s">
        <v>351</v>
      </c>
      <c r="E23" s="62" t="s">
        <v>72</v>
      </c>
      <c r="F23" s="62" t="s">
        <v>72</v>
      </c>
      <c r="G23" s="62" t="s">
        <v>88</v>
      </c>
      <c r="H23" s="62" t="s">
        <v>352</v>
      </c>
      <c r="I23" s="63" t="s">
        <v>94</v>
      </c>
      <c r="J23" s="63" t="s">
        <v>94</v>
      </c>
      <c r="K23" s="63" t="s">
        <v>306</v>
      </c>
      <c r="L23" s="60" t="n">
        <v>108</v>
      </c>
      <c r="M23" s="60"/>
      <c r="N23" s="63" t="n">
        <v>1964</v>
      </c>
      <c r="O23" s="63" t="s">
        <v>311</v>
      </c>
      <c r="P23" s="64" t="n">
        <v>17680000</v>
      </c>
      <c r="Q23" s="64" t="n">
        <v>0</v>
      </c>
      <c r="R23" s="64" t="n">
        <v>17680000</v>
      </c>
      <c r="S23" s="64" t="n">
        <v>0</v>
      </c>
      <c r="T23" s="64" t="n">
        <v>17680000</v>
      </c>
      <c r="U23" s="64" t="n">
        <v>19700000</v>
      </c>
      <c r="V23" s="64" t="n">
        <v>26200000</v>
      </c>
      <c r="W23" s="65" t="n">
        <v>0.745177664974619</v>
      </c>
      <c r="X23" s="65" t="n">
        <v>0.674809160305344</v>
      </c>
      <c r="Y23" s="57" t="n">
        <v>0.0335</v>
      </c>
      <c r="Z23" s="57" t="n">
        <v>0.0015</v>
      </c>
      <c r="AA23" s="57" t="n">
        <v>0.001</v>
      </c>
      <c r="AB23" s="57" t="n">
        <v>0</v>
      </c>
      <c r="AC23" s="63" t="s">
        <v>308</v>
      </c>
      <c r="AD23" s="57" t="n">
        <v>0.0345</v>
      </c>
      <c r="AE23" s="57" t="n">
        <v>0.02</v>
      </c>
      <c r="AF23" s="66" t="s">
        <v>137</v>
      </c>
      <c r="AG23" s="63" t="n">
        <v>6</v>
      </c>
      <c r="AH23" s="66" t="n">
        <v>44595</v>
      </c>
      <c r="AI23" s="66" t="n">
        <v>45717</v>
      </c>
      <c r="AJ23" s="66" t="n">
        <v>46447</v>
      </c>
      <c r="AK23" s="62" t="s">
        <v>119</v>
      </c>
      <c r="AL23" s="64" t="n">
        <v>12510000</v>
      </c>
      <c r="AM23" s="57" t="n">
        <v>0.0175</v>
      </c>
      <c r="AN23" s="62"/>
      <c r="AO23" s="64"/>
      <c r="AP23" s="57"/>
      <c r="AQ23" s="64" t="n">
        <v>5170000</v>
      </c>
      <c r="AR23" s="65" t="n">
        <v>0.112135396518375</v>
      </c>
      <c r="AT23" s="26" t="n">
        <f aca="false">IF($D23="",0,IF(OR(StratFilter="All Loans",$E23=StratFilter),1,0))</f>
        <v>1</v>
      </c>
      <c r="AU23" s="18" t="str">
        <f aca="false">IF($D23="","",IFERROR(VLOOKUP(TRIM($K23),PropTypeMap,2,FALSE()),"Unmapped"))</f>
        <v>Multifamily</v>
      </c>
      <c r="AV23" s="21" t="str">
        <f aca="false">IF($D23="","",IFERROR(VLOOKUP($J23,RegionMap,2,FALSE()),"Unmapped"))</f>
        <v>Pacific</v>
      </c>
      <c r="AW23" s="21" t="str">
        <f aca="false">IF($D23="","",IF($AC23="SOFR","Floating (SOFR)","Fixed / All-In"))</f>
        <v>Floating (SOFR)</v>
      </c>
      <c r="AX23" s="24" t="n">
        <f aca="false">IF($D23="","",$AD23+SOFR)</f>
        <v>0.071</v>
      </c>
      <c r="AY23" s="21" t="str">
        <f aca="false">IF($D23="","",IF($AF23="Waived","Waived",IF(ISNUMBER($AF23),IF($AF23&gt;AsOfDate,"In Place","Expired"),"None Reported")))</f>
        <v>Waived</v>
      </c>
      <c r="AZ23" s="21" t="str">
        <f aca="false">IF($D23="","",IF(ISNUMBER($AG23),IF($AG23=0,"None",$AG23&amp;" Months"),IF($AG23="","None Reported",$AG23)))</f>
        <v>6 Months</v>
      </c>
      <c r="BA23" s="18" t="str">
        <f aca="false">IF($D23="","",IF($AK23="","Unlevered",$AK23))</f>
        <v>Goldman Sachs</v>
      </c>
      <c r="BB23" s="22" t="n">
        <f aca="false">IF($D23="","",SUM($AL23,$AO23))</f>
        <v>12510000</v>
      </c>
      <c r="BC23" s="23" t="n">
        <f aca="false">IF($D23="","",IF($P23&gt;0,$BB23/$P23,0))</f>
        <v>0.707579185520362</v>
      </c>
      <c r="BD23" s="25" t="n">
        <f aca="false">IF($D23="","",(AsOfDate-$AH23)/DaysPerMonth)</f>
        <v>52.829568788501</v>
      </c>
      <c r="BE23" s="25" t="n">
        <f aca="false">IF($D23="","",($AI23-AsOfDate)/DaysPerMonth)</f>
        <v>-15.9671457905544</v>
      </c>
      <c r="BF23" s="25" t="n">
        <f aca="false">IF($D23="","",($AJ23-AsOfDate)/DaysPerMonth)</f>
        <v>8.01642710472279</v>
      </c>
      <c r="BG23" s="25" t="n">
        <f aca="false">IF($D23="","",MAX(0,$BE23))</f>
        <v>0</v>
      </c>
      <c r="BH23" s="25" t="n">
        <f aca="false">IF($D23="","",MAX(0,$BF23))</f>
        <v>8.01642710472279</v>
      </c>
      <c r="BI23" s="67" t="n">
        <f aca="false">IF($D23="","",YEAR($AI23))</f>
        <v>2025</v>
      </c>
      <c r="BJ23" s="67" t="n">
        <f aca="false">IF($D23="","",YEAR($AJ23))</f>
        <v>2027</v>
      </c>
      <c r="BK23" s="67" t="n">
        <f aca="false">IF($D23="","",YEAR($AH23))</f>
        <v>2022</v>
      </c>
      <c r="BL23" s="68" t="n">
        <v>1964</v>
      </c>
      <c r="BM23" s="26" t="n">
        <f aca="false">IF($AT23=1,$P23+(1000-ROW())/1000000,0)</f>
        <v>17680000.000977</v>
      </c>
    </row>
    <row r="24" customFormat="false" ht="15" hidden="false" customHeight="false" outlineLevel="0" collapsed="false">
      <c r="B24" s="69" t="n">
        <v>20</v>
      </c>
      <c r="C24" s="70" t="n">
        <v>30212</v>
      </c>
      <c r="D24" s="71" t="s">
        <v>353</v>
      </c>
      <c r="E24" s="71" t="s">
        <v>72</v>
      </c>
      <c r="F24" s="71" t="s">
        <v>72</v>
      </c>
      <c r="G24" s="71" t="s">
        <v>87</v>
      </c>
      <c r="H24" s="71" t="s">
        <v>354</v>
      </c>
      <c r="I24" s="72" t="s">
        <v>355</v>
      </c>
      <c r="J24" s="72" t="s">
        <v>355</v>
      </c>
      <c r="K24" s="72" t="s">
        <v>306</v>
      </c>
      <c r="L24" s="69" t="n">
        <v>42</v>
      </c>
      <c r="M24" s="69"/>
      <c r="N24" s="72" t="n">
        <v>2023</v>
      </c>
      <c r="O24" s="72" t="s">
        <v>311</v>
      </c>
      <c r="P24" s="73" t="n">
        <v>12300000</v>
      </c>
      <c r="Q24" s="73" t="n">
        <v>0</v>
      </c>
      <c r="R24" s="73" t="n">
        <v>12300000</v>
      </c>
      <c r="S24" s="73" t="n">
        <v>0</v>
      </c>
      <c r="T24" s="73" t="n">
        <v>12300000</v>
      </c>
      <c r="U24" s="73" t="n">
        <v>18800000</v>
      </c>
      <c r="V24" s="73" t="n">
        <v>19200000</v>
      </c>
      <c r="W24" s="74" t="n">
        <v>0.654255319148936</v>
      </c>
      <c r="X24" s="74" t="n">
        <v>0.640625</v>
      </c>
      <c r="Y24" s="75" t="n">
        <v>0.0365</v>
      </c>
      <c r="Z24" s="75" t="n">
        <v>0.0375</v>
      </c>
      <c r="AA24" s="75" t="n">
        <v>0</v>
      </c>
      <c r="AB24" s="75" t="n">
        <v>0.005</v>
      </c>
      <c r="AC24" s="72" t="s">
        <v>308</v>
      </c>
      <c r="AD24" s="75" t="n">
        <v>0.0425</v>
      </c>
      <c r="AE24" s="75" t="n">
        <v>0.0315</v>
      </c>
      <c r="AF24" s="76" t="n">
        <v>46296</v>
      </c>
      <c r="AG24" s="72" t="n">
        <v>6</v>
      </c>
      <c r="AH24" s="76" t="n">
        <v>45188</v>
      </c>
      <c r="AI24" s="76" t="n">
        <v>45931</v>
      </c>
      <c r="AJ24" s="76" t="n">
        <v>46661</v>
      </c>
      <c r="AK24" s="71" t="s">
        <v>119</v>
      </c>
      <c r="AL24" s="73" t="n">
        <v>9840000</v>
      </c>
      <c r="AM24" s="75" t="n">
        <v>0.017</v>
      </c>
      <c r="AN24" s="71"/>
      <c r="AO24" s="73"/>
      <c r="AP24" s="75"/>
      <c r="AQ24" s="73" t="n">
        <v>2460000</v>
      </c>
      <c r="AR24" s="74" t="n">
        <v>0.181</v>
      </c>
      <c r="AT24" s="44" t="n">
        <f aca="false">IF($D24="",0,IF(OR(StratFilter="All Loans",$E24=StratFilter),1,0))</f>
        <v>1</v>
      </c>
      <c r="AU24" s="27" t="str">
        <f aca="false">IF($D24="","",IFERROR(VLOOKUP(TRIM($K24),PropTypeMap,2,FALSE()),"Unmapped"))</f>
        <v>Multifamily</v>
      </c>
      <c r="AV24" s="30" t="str">
        <f aca="false">IF($D24="","",IFERROR(VLOOKUP($J24,RegionMap,2,FALSE()),"Unmapped"))</f>
        <v>Northeast</v>
      </c>
      <c r="AW24" s="30" t="str">
        <f aca="false">IF($D24="","",IF($AC24="SOFR","Floating (SOFR)","Fixed / All-In"))</f>
        <v>Floating (SOFR)</v>
      </c>
      <c r="AX24" s="33" t="n">
        <f aca="false">IF($D24="","",$AD24+SOFR)</f>
        <v>0.079</v>
      </c>
      <c r="AY24" s="30" t="str">
        <f aca="false">IF($D24="","",IF($AF24="Waived","Waived",IF(ISNUMBER($AF24),IF($AF24&gt;AsOfDate,"In Place","Expired"),"None Reported")))</f>
        <v>In Place</v>
      </c>
      <c r="AZ24" s="30" t="str">
        <f aca="false">IF($D24="","",IF(ISNUMBER($AG24),IF($AG24=0,"None",$AG24&amp;" Months"),IF($AG24="","None Reported",$AG24)))</f>
        <v>6 Months</v>
      </c>
      <c r="BA24" s="27" t="str">
        <f aca="false">IF($D24="","",IF($AK24="","Unlevered",$AK24))</f>
        <v>Goldman Sachs</v>
      </c>
      <c r="BB24" s="31" t="n">
        <f aca="false">IF($D24="","",SUM($AL24,$AO24))</f>
        <v>9840000</v>
      </c>
      <c r="BC24" s="32" t="n">
        <f aca="false">IF($D24="","",IF($P24&gt;0,$BB24/$P24,0))</f>
        <v>0.8</v>
      </c>
      <c r="BD24" s="34" t="n">
        <f aca="false">IF($D24="","",(AsOfDate-$AH24)/DaysPerMonth)</f>
        <v>33.347022587269</v>
      </c>
      <c r="BE24" s="34" t="n">
        <f aca="false">IF($D24="","",($AI24-AsOfDate)/DaysPerMonth)</f>
        <v>-8.93634496919918</v>
      </c>
      <c r="BF24" s="34" t="n">
        <f aca="false">IF($D24="","",($AJ24-AsOfDate)/DaysPerMonth)</f>
        <v>15.047227926078</v>
      </c>
      <c r="BG24" s="34" t="n">
        <f aca="false">IF($D24="","",MAX(0,$BE24))</f>
        <v>0</v>
      </c>
      <c r="BH24" s="34" t="n">
        <f aca="false">IF($D24="","",MAX(0,$BF24))</f>
        <v>15.047227926078</v>
      </c>
      <c r="BI24" s="77" t="n">
        <f aca="false">IF($D24="","",YEAR($AI24))</f>
        <v>2025</v>
      </c>
      <c r="BJ24" s="77" t="n">
        <f aca="false">IF($D24="","",YEAR($AJ24))</f>
        <v>2027</v>
      </c>
      <c r="BK24" s="77" t="n">
        <f aca="false">IF($D24="","",YEAR($AH24))</f>
        <v>2023</v>
      </c>
      <c r="BL24" s="78" t="n">
        <v>2023</v>
      </c>
      <c r="BM24" s="44" t="n">
        <f aca="false">IF($AT24=1,$P24+(1000-ROW())/1000000,0)</f>
        <v>12300000.000976</v>
      </c>
    </row>
    <row r="25" customFormat="false" ht="15" hidden="false" customHeight="false" outlineLevel="0" collapsed="false">
      <c r="B25" s="60" t="n">
        <v>21</v>
      </c>
      <c r="C25" s="61" t="n">
        <v>30129</v>
      </c>
      <c r="D25" s="62" t="s">
        <v>356</v>
      </c>
      <c r="E25" s="62" t="s">
        <v>72</v>
      </c>
      <c r="F25" s="62" t="s">
        <v>72</v>
      </c>
      <c r="G25" s="62" t="s">
        <v>88</v>
      </c>
      <c r="H25" s="62" t="s">
        <v>352</v>
      </c>
      <c r="I25" s="63" t="s">
        <v>94</v>
      </c>
      <c r="J25" s="63" t="s">
        <v>94</v>
      </c>
      <c r="K25" s="63" t="s">
        <v>306</v>
      </c>
      <c r="L25" s="60" t="n">
        <v>71</v>
      </c>
      <c r="M25" s="60"/>
      <c r="N25" s="63" t="n">
        <v>1959</v>
      </c>
      <c r="O25" s="63" t="s">
        <v>311</v>
      </c>
      <c r="P25" s="64" t="n">
        <v>11950000</v>
      </c>
      <c r="Q25" s="64" t="n">
        <v>-10547.4544277098</v>
      </c>
      <c r="R25" s="64" t="n">
        <v>11939452.5455723</v>
      </c>
      <c r="S25" s="64" t="n">
        <v>0</v>
      </c>
      <c r="T25" s="64" t="n">
        <v>11950000</v>
      </c>
      <c r="U25" s="64" t="n">
        <v>13800000</v>
      </c>
      <c r="V25" s="64" t="n">
        <v>16200000</v>
      </c>
      <c r="W25" s="65" t="n">
        <v>0.804202898550725</v>
      </c>
      <c r="X25" s="65" t="n">
        <v>0.737654320987654</v>
      </c>
      <c r="Y25" s="57" t="n">
        <v>0.0335</v>
      </c>
      <c r="Z25" s="57" t="n">
        <v>0.0015</v>
      </c>
      <c r="AA25" s="57" t="n">
        <v>0.001</v>
      </c>
      <c r="AB25" s="57" t="n">
        <v>0</v>
      </c>
      <c r="AC25" s="63" t="s">
        <v>308</v>
      </c>
      <c r="AD25" s="57" t="n">
        <v>0.0345</v>
      </c>
      <c r="AE25" s="57" t="n">
        <v>0.045</v>
      </c>
      <c r="AF25" s="66" t="s">
        <v>137</v>
      </c>
      <c r="AG25" s="63" t="n">
        <v>6</v>
      </c>
      <c r="AH25" s="66" t="n">
        <v>44592</v>
      </c>
      <c r="AI25" s="66" t="n">
        <v>45689</v>
      </c>
      <c r="AJ25" s="66" t="n">
        <v>46419</v>
      </c>
      <c r="AK25" s="62" t="s">
        <v>119</v>
      </c>
      <c r="AL25" s="64" t="n">
        <v>8365000</v>
      </c>
      <c r="AM25" s="57" t="n">
        <v>0.0175</v>
      </c>
      <c r="AN25" s="62"/>
      <c r="AO25" s="64"/>
      <c r="AP25" s="57"/>
      <c r="AQ25" s="64" t="n">
        <v>3585000</v>
      </c>
      <c r="AR25" s="65" t="n">
        <v>0.110666666666667</v>
      </c>
      <c r="AT25" s="26" t="n">
        <f aca="false">IF($D25="",0,IF(OR(StratFilter="All Loans",$E25=StratFilter),1,0))</f>
        <v>1</v>
      </c>
      <c r="AU25" s="18" t="str">
        <f aca="false">IF($D25="","",IFERROR(VLOOKUP(TRIM($K25),PropTypeMap,2,FALSE()),"Unmapped"))</f>
        <v>Multifamily</v>
      </c>
      <c r="AV25" s="21" t="str">
        <f aca="false">IF($D25="","",IFERROR(VLOOKUP($J25,RegionMap,2,FALSE()),"Unmapped"))</f>
        <v>Pacific</v>
      </c>
      <c r="AW25" s="21" t="str">
        <f aca="false">IF($D25="","",IF($AC25="SOFR","Floating (SOFR)","Fixed / All-In"))</f>
        <v>Floating (SOFR)</v>
      </c>
      <c r="AX25" s="24" t="n">
        <f aca="false">IF($D25="","",$AD25+SOFR)</f>
        <v>0.071</v>
      </c>
      <c r="AY25" s="21" t="str">
        <f aca="false">IF($D25="","",IF($AF25="Waived","Waived",IF(ISNUMBER($AF25),IF($AF25&gt;AsOfDate,"In Place","Expired"),"None Reported")))</f>
        <v>Waived</v>
      </c>
      <c r="AZ25" s="21" t="str">
        <f aca="false">IF($D25="","",IF(ISNUMBER($AG25),IF($AG25=0,"None",$AG25&amp;" Months"),IF($AG25="","None Reported",$AG25)))</f>
        <v>6 Months</v>
      </c>
      <c r="BA25" s="18" t="str">
        <f aca="false">IF($D25="","",IF($AK25="","Unlevered",$AK25))</f>
        <v>Goldman Sachs</v>
      </c>
      <c r="BB25" s="22" t="n">
        <f aca="false">IF($D25="","",SUM($AL25,$AO25))</f>
        <v>8365000</v>
      </c>
      <c r="BC25" s="23" t="n">
        <f aca="false">IF($D25="","",IF($P25&gt;0,$BB25/$P25,0))</f>
        <v>0.7</v>
      </c>
      <c r="BD25" s="25" t="n">
        <f aca="false">IF($D25="","",(AsOfDate-$AH25)/DaysPerMonth)</f>
        <v>52.9281314168378</v>
      </c>
      <c r="BE25" s="25" t="n">
        <f aca="false">IF($D25="","",($AI25-AsOfDate)/DaysPerMonth)</f>
        <v>-16.8870636550308</v>
      </c>
      <c r="BF25" s="25" t="n">
        <f aca="false">IF($D25="","",($AJ25-AsOfDate)/DaysPerMonth)</f>
        <v>7.09650924024641</v>
      </c>
      <c r="BG25" s="25" t="n">
        <f aca="false">IF($D25="","",MAX(0,$BE25))</f>
        <v>0</v>
      </c>
      <c r="BH25" s="25" t="n">
        <f aca="false">IF($D25="","",MAX(0,$BF25))</f>
        <v>7.09650924024641</v>
      </c>
      <c r="BI25" s="67" t="n">
        <f aca="false">IF($D25="","",YEAR($AI25))</f>
        <v>2025</v>
      </c>
      <c r="BJ25" s="67" t="n">
        <f aca="false">IF($D25="","",YEAR($AJ25))</f>
        <v>2027</v>
      </c>
      <c r="BK25" s="67" t="n">
        <f aca="false">IF($D25="","",YEAR($AH25))</f>
        <v>2022</v>
      </c>
      <c r="BL25" s="68" t="n">
        <v>1959</v>
      </c>
      <c r="BM25" s="26" t="n">
        <f aca="false">IF($AT25=1,$P25+(1000-ROW())/1000000,0)</f>
        <v>11950000.000975</v>
      </c>
    </row>
    <row r="26" customFormat="false" ht="15" hidden="false" customHeight="false" outlineLevel="0" collapsed="false">
      <c r="B26" s="69" t="n">
        <v>22</v>
      </c>
      <c r="C26" s="70" t="n">
        <v>30258</v>
      </c>
      <c r="D26" s="71" t="s">
        <v>357</v>
      </c>
      <c r="E26" s="71" t="s">
        <v>72</v>
      </c>
      <c r="F26" s="71" t="s">
        <v>72</v>
      </c>
      <c r="G26" s="71" t="s">
        <v>87</v>
      </c>
      <c r="H26" s="71" t="s">
        <v>358</v>
      </c>
      <c r="I26" s="72" t="s">
        <v>95</v>
      </c>
      <c r="J26" s="72" t="s">
        <v>95</v>
      </c>
      <c r="K26" s="72" t="s">
        <v>306</v>
      </c>
      <c r="L26" s="69" t="n">
        <v>318</v>
      </c>
      <c r="M26" s="69"/>
      <c r="N26" s="72" t="n">
        <v>2021</v>
      </c>
      <c r="O26" s="72" t="s">
        <v>311</v>
      </c>
      <c r="P26" s="73" t="n">
        <v>87000000</v>
      </c>
      <c r="Q26" s="73" t="n">
        <v>0</v>
      </c>
      <c r="R26" s="73" t="n">
        <v>87000000</v>
      </c>
      <c r="S26" s="73" t="n">
        <v>0</v>
      </c>
      <c r="T26" s="73" t="n">
        <v>87000000</v>
      </c>
      <c r="U26" s="73" t="n">
        <v>128900000</v>
      </c>
      <c r="V26" s="73" t="n">
        <v>135200000</v>
      </c>
      <c r="W26" s="74" t="n">
        <v>0.674941815360745</v>
      </c>
      <c r="X26" s="74" t="n">
        <v>0.643491124260355</v>
      </c>
      <c r="Y26" s="75" t="n">
        <v>0.03</v>
      </c>
      <c r="Z26" s="75" t="n">
        <v>0.0345</v>
      </c>
      <c r="AA26" s="75" t="n">
        <v>0</v>
      </c>
      <c r="AB26" s="75" t="n">
        <v>0</v>
      </c>
      <c r="AC26" s="72" t="s">
        <v>308</v>
      </c>
      <c r="AD26" s="75" t="n">
        <v>0.03</v>
      </c>
      <c r="AE26" s="75" t="n">
        <v>0.035</v>
      </c>
      <c r="AF26" s="76" t="n">
        <v>46661</v>
      </c>
      <c r="AG26" s="72" t="n">
        <v>12</v>
      </c>
      <c r="AH26" s="76" t="n">
        <v>45565</v>
      </c>
      <c r="AI26" s="76" t="n">
        <v>46661</v>
      </c>
      <c r="AJ26" s="76" t="n">
        <v>47392</v>
      </c>
      <c r="AK26" s="71" t="s">
        <v>117</v>
      </c>
      <c r="AL26" s="73" t="n">
        <v>73841211.372</v>
      </c>
      <c r="AM26" s="75" t="n">
        <v>0.0183</v>
      </c>
      <c r="AN26" s="71"/>
      <c r="AO26" s="73"/>
      <c r="AP26" s="75"/>
      <c r="AQ26" s="73" t="n">
        <v>13158788.628</v>
      </c>
      <c r="AR26" s="74" t="n">
        <v>0.132155144821922</v>
      </c>
      <c r="AT26" s="44" t="n">
        <f aca="false">IF($D26="",0,IF(OR(StratFilter="All Loans",$E26=StratFilter),1,0))</f>
        <v>1</v>
      </c>
      <c r="AU26" s="27" t="str">
        <f aca="false">IF($D26="","",IFERROR(VLOOKUP(TRIM($K26),PropTypeMap,2,FALSE()),"Unmapped"))</f>
        <v>Multifamily</v>
      </c>
      <c r="AV26" s="30" t="str">
        <f aca="false">IF($D26="","",IFERROR(VLOOKUP($J26,RegionMap,2,FALSE()),"Unmapped"))</f>
        <v>Southeast</v>
      </c>
      <c r="AW26" s="30" t="str">
        <f aca="false">IF($D26="","",IF($AC26="SOFR","Floating (SOFR)","Fixed / All-In"))</f>
        <v>Floating (SOFR)</v>
      </c>
      <c r="AX26" s="33" t="n">
        <f aca="false">IF($D26="","",$AD26+SOFR)</f>
        <v>0.0665</v>
      </c>
      <c r="AY26" s="30" t="str">
        <f aca="false">IF($D26="","",IF($AF26="Waived","Waived",IF(ISNUMBER($AF26),IF($AF26&gt;AsOfDate,"In Place","Expired"),"None Reported")))</f>
        <v>In Place</v>
      </c>
      <c r="AZ26" s="30" t="str">
        <f aca="false">IF($D26="","",IF(ISNUMBER($AG26),IF($AG26=0,"None",$AG26&amp;" Months"),IF($AG26="","None Reported",$AG26)))</f>
        <v>12 Months</v>
      </c>
      <c r="BA26" s="27" t="str">
        <f aca="false">IF($D26="","",IF($AK26="","Unlevered",$AK26))</f>
        <v>GS CRE Notes 2025-FL4</v>
      </c>
      <c r="BB26" s="31" t="n">
        <f aca="false">IF($D26="","",SUM($AL26,$AO26))</f>
        <v>73841211.372</v>
      </c>
      <c r="BC26" s="32" t="n">
        <f aca="false">IF($D26="","",IF($P26&gt;0,$BB26/$P26,0))</f>
        <v>0.848749556</v>
      </c>
      <c r="BD26" s="34" t="n">
        <f aca="false">IF($D26="","",(AsOfDate-$AH26)/DaysPerMonth)</f>
        <v>20.9609856262834</v>
      </c>
      <c r="BE26" s="34" t="n">
        <f aca="false">IF($D26="","",($AI26-AsOfDate)/DaysPerMonth)</f>
        <v>15.047227926078</v>
      </c>
      <c r="BF26" s="34" t="n">
        <f aca="false">IF($D26="","",($AJ26-AsOfDate)/DaysPerMonth)</f>
        <v>39.0636550308008</v>
      </c>
      <c r="BG26" s="34" t="n">
        <f aca="false">IF($D26="","",MAX(0,$BE26))</f>
        <v>15.047227926078</v>
      </c>
      <c r="BH26" s="34" t="n">
        <f aca="false">IF($D26="","",MAX(0,$BF26))</f>
        <v>39.0636550308008</v>
      </c>
      <c r="BI26" s="77" t="n">
        <f aca="false">IF($D26="","",YEAR($AI26))</f>
        <v>2027</v>
      </c>
      <c r="BJ26" s="77" t="n">
        <f aca="false">IF($D26="","",YEAR($AJ26))</f>
        <v>2029</v>
      </c>
      <c r="BK26" s="77" t="n">
        <f aca="false">IF($D26="","",YEAR($AH26))</f>
        <v>2024</v>
      </c>
      <c r="BL26" s="78" t="n">
        <v>2021</v>
      </c>
      <c r="BM26" s="44" t="n">
        <f aca="false">IF($AT26=1,$P26+(1000-ROW())/1000000,0)</f>
        <v>87000000.000974</v>
      </c>
    </row>
    <row r="27" customFormat="false" ht="15" hidden="false" customHeight="false" outlineLevel="0" collapsed="false">
      <c r="B27" s="60" t="n">
        <v>23</v>
      </c>
      <c r="C27" s="61" t="n">
        <v>30211</v>
      </c>
      <c r="D27" s="62" t="s">
        <v>359</v>
      </c>
      <c r="E27" s="62" t="s">
        <v>72</v>
      </c>
      <c r="F27" s="62" t="s">
        <v>72</v>
      </c>
      <c r="G27" s="62" t="s">
        <v>88</v>
      </c>
      <c r="H27" s="62" t="s">
        <v>360</v>
      </c>
      <c r="I27" s="63" t="s">
        <v>104</v>
      </c>
      <c r="J27" s="63" t="s">
        <v>104</v>
      </c>
      <c r="K27" s="63" t="s">
        <v>306</v>
      </c>
      <c r="L27" s="60" t="n">
        <v>417</v>
      </c>
      <c r="M27" s="60"/>
      <c r="N27" s="63" t="n">
        <v>2020</v>
      </c>
      <c r="O27" s="63" t="s">
        <v>311</v>
      </c>
      <c r="P27" s="64" t="n">
        <v>70000000</v>
      </c>
      <c r="Q27" s="64" t="n">
        <v>0</v>
      </c>
      <c r="R27" s="64" t="n">
        <v>70000000</v>
      </c>
      <c r="S27" s="64" t="n">
        <v>0</v>
      </c>
      <c r="T27" s="64" t="n">
        <v>71000000</v>
      </c>
      <c r="U27" s="64" t="n">
        <v>123000000</v>
      </c>
      <c r="V27" s="64" t="n">
        <v>130000000</v>
      </c>
      <c r="W27" s="65" t="n">
        <v>0.577235772357724</v>
      </c>
      <c r="X27" s="65" t="n">
        <v>0.546153846153846</v>
      </c>
      <c r="Y27" s="57" t="n">
        <v>0.037</v>
      </c>
      <c r="Z27" s="57" t="n">
        <v>0.039</v>
      </c>
      <c r="AA27" s="57" t="n">
        <v>0</v>
      </c>
      <c r="AB27" s="57" t="n">
        <v>0</v>
      </c>
      <c r="AC27" s="63" t="s">
        <v>308</v>
      </c>
      <c r="AD27" s="57" t="n">
        <v>0.0395</v>
      </c>
      <c r="AE27" s="57"/>
      <c r="AF27" s="66"/>
      <c r="AG27" s="63" t="n">
        <v>6</v>
      </c>
      <c r="AH27" s="66" t="n">
        <v>45182</v>
      </c>
      <c r="AI27" s="66" t="n">
        <v>45931</v>
      </c>
      <c r="AJ27" s="66" t="n">
        <v>46478</v>
      </c>
      <c r="AK27" s="62" t="s">
        <v>117</v>
      </c>
      <c r="AL27" s="64" t="n">
        <v>59412468.92</v>
      </c>
      <c r="AM27" s="57" t="n">
        <v>0.0183</v>
      </c>
      <c r="AN27" s="62"/>
      <c r="AO27" s="64"/>
      <c r="AP27" s="57"/>
      <c r="AQ27" s="64" t="n">
        <v>10587531.08</v>
      </c>
      <c r="AR27" s="65" t="n">
        <v>0.194964877796987</v>
      </c>
      <c r="AT27" s="26" t="n">
        <f aca="false">IF($D27="",0,IF(OR(StratFilter="All Loans",$E27=StratFilter),1,0))</f>
        <v>1</v>
      </c>
      <c r="AU27" s="18" t="str">
        <f aca="false">IF($D27="","",IFERROR(VLOOKUP(TRIM($K27),PropTypeMap,2,FALSE()),"Unmapped"))</f>
        <v>Multifamily</v>
      </c>
      <c r="AV27" s="21" t="str">
        <f aca="false">IF($D27="","",IFERROR(VLOOKUP($J27,RegionMap,2,FALSE()),"Unmapped"))</f>
        <v>Pacific</v>
      </c>
      <c r="AW27" s="21" t="str">
        <f aca="false">IF($D27="","",IF($AC27="SOFR","Floating (SOFR)","Fixed / All-In"))</f>
        <v>Floating (SOFR)</v>
      </c>
      <c r="AX27" s="24" t="n">
        <f aca="false">IF($D27="","",$AD27+SOFR)</f>
        <v>0.076</v>
      </c>
      <c r="AY27" s="21" t="str">
        <f aca="false">IF($D27="","",IF($AF27="Waived","Waived",IF(ISNUMBER($AF27),IF($AF27&gt;AsOfDate,"In Place","Expired"),"None Reported")))</f>
        <v>None Reported</v>
      </c>
      <c r="AZ27" s="21" t="str">
        <f aca="false">IF($D27="","",IF(ISNUMBER($AG27),IF($AG27=0,"None",$AG27&amp;" Months"),IF($AG27="","None Reported",$AG27)))</f>
        <v>6 Months</v>
      </c>
      <c r="BA27" s="18" t="str">
        <f aca="false">IF($D27="","",IF($AK27="","Unlevered",$AK27))</f>
        <v>GS CRE Notes 2025-FL4</v>
      </c>
      <c r="BB27" s="22" t="n">
        <f aca="false">IF($D27="","",SUM($AL27,$AO27))</f>
        <v>59412468.92</v>
      </c>
      <c r="BC27" s="23" t="n">
        <f aca="false">IF($D27="","",IF($P27&gt;0,$BB27/$P27,0))</f>
        <v>0.848749556</v>
      </c>
      <c r="BD27" s="25" t="n">
        <f aca="false">IF($D27="","",(AsOfDate-$AH27)/DaysPerMonth)</f>
        <v>33.5441478439425</v>
      </c>
      <c r="BE27" s="25" t="n">
        <f aca="false">IF($D27="","",($AI27-AsOfDate)/DaysPerMonth)</f>
        <v>-8.93634496919918</v>
      </c>
      <c r="BF27" s="25" t="n">
        <f aca="false">IF($D27="","",($AJ27-AsOfDate)/DaysPerMonth)</f>
        <v>9.03490759753593</v>
      </c>
      <c r="BG27" s="25" t="n">
        <f aca="false">IF($D27="","",MAX(0,$BE27))</f>
        <v>0</v>
      </c>
      <c r="BH27" s="25" t="n">
        <f aca="false">IF($D27="","",MAX(0,$BF27))</f>
        <v>9.03490759753593</v>
      </c>
      <c r="BI27" s="67" t="n">
        <f aca="false">IF($D27="","",YEAR($AI27))</f>
        <v>2025</v>
      </c>
      <c r="BJ27" s="67" t="n">
        <f aca="false">IF($D27="","",YEAR($AJ27))</f>
        <v>2027</v>
      </c>
      <c r="BK27" s="67" t="n">
        <f aca="false">IF($D27="","",YEAR($AH27))</f>
        <v>2023</v>
      </c>
      <c r="BL27" s="68" t="n">
        <v>2020</v>
      </c>
      <c r="BM27" s="26" t="n">
        <f aca="false">IF($AT27=1,$P27+(1000-ROW())/1000000,0)</f>
        <v>70000000.000973</v>
      </c>
    </row>
    <row r="28" customFormat="false" ht="15" hidden="false" customHeight="false" outlineLevel="0" collapsed="false">
      <c r="B28" s="69" t="n">
        <v>24</v>
      </c>
      <c r="C28" s="70" t="n">
        <v>30242</v>
      </c>
      <c r="D28" s="71" t="s">
        <v>361</v>
      </c>
      <c r="E28" s="71" t="s">
        <v>72</v>
      </c>
      <c r="F28" s="71" t="s">
        <v>72</v>
      </c>
      <c r="G28" s="71" t="s">
        <v>88</v>
      </c>
      <c r="H28" s="71" t="s">
        <v>362</v>
      </c>
      <c r="I28" s="72" t="s">
        <v>101</v>
      </c>
      <c r="J28" s="72" t="s">
        <v>101</v>
      </c>
      <c r="K28" s="72" t="s">
        <v>306</v>
      </c>
      <c r="L28" s="69" t="n">
        <v>268</v>
      </c>
      <c r="M28" s="69"/>
      <c r="N28" s="72" t="n">
        <v>2022</v>
      </c>
      <c r="O28" s="72" t="s">
        <v>311</v>
      </c>
      <c r="P28" s="73" t="n">
        <v>67000000</v>
      </c>
      <c r="Q28" s="73" t="n">
        <v>0</v>
      </c>
      <c r="R28" s="73" t="n">
        <v>67000000</v>
      </c>
      <c r="S28" s="73" t="n">
        <v>500000</v>
      </c>
      <c r="T28" s="73" t="n">
        <v>67500000</v>
      </c>
      <c r="U28" s="73" t="n">
        <v>85200000</v>
      </c>
      <c r="V28" s="73" t="n">
        <v>94400000</v>
      </c>
      <c r="W28" s="74" t="n">
        <v>0.786384976525822</v>
      </c>
      <c r="X28" s="74" t="n">
        <v>0.715042372881356</v>
      </c>
      <c r="Y28" s="75" t="n">
        <v>0.0318</v>
      </c>
      <c r="Z28" s="75" t="n">
        <v>0.035</v>
      </c>
      <c r="AA28" s="75" t="n">
        <v>0</v>
      </c>
      <c r="AB28" s="75" t="n">
        <v>0</v>
      </c>
      <c r="AC28" s="72" t="s">
        <v>308</v>
      </c>
      <c r="AD28" s="75" t="n">
        <v>0.0318</v>
      </c>
      <c r="AE28" s="75" t="n">
        <v>0.03566</v>
      </c>
      <c r="AF28" s="76" t="n">
        <v>46174</v>
      </c>
      <c r="AG28" s="72" t="n">
        <v>3</v>
      </c>
      <c r="AH28" s="76" t="n">
        <v>45420</v>
      </c>
      <c r="AI28" s="76" t="n">
        <v>46143</v>
      </c>
      <c r="AJ28" s="76" t="n">
        <v>47239</v>
      </c>
      <c r="AK28" s="71" t="s">
        <v>117</v>
      </c>
      <c r="AL28" s="73" t="n">
        <v>56866220.252</v>
      </c>
      <c r="AM28" s="75" t="n">
        <v>0.0183</v>
      </c>
      <c r="AN28" s="71"/>
      <c r="AO28" s="73"/>
      <c r="AP28" s="75"/>
      <c r="AQ28" s="73" t="n">
        <v>10133779.748</v>
      </c>
      <c r="AR28" s="74" t="n">
        <v>0.144055936332987</v>
      </c>
      <c r="AT28" s="44" t="n">
        <f aca="false">IF($D28="",0,IF(OR(StratFilter="All Loans",$E28=StratFilter),1,0))</f>
        <v>1</v>
      </c>
      <c r="AU28" s="27" t="str">
        <f aca="false">IF($D28="","",IFERROR(VLOOKUP(TRIM($K28),PropTypeMap,2,FALSE()),"Unmapped"))</f>
        <v>Multifamily</v>
      </c>
      <c r="AV28" s="30" t="str">
        <f aca="false">IF($D28="","",IFERROR(VLOOKUP($J28,RegionMap,2,FALSE()),"Unmapped"))</f>
        <v>Mid-Atlantic</v>
      </c>
      <c r="AW28" s="30" t="str">
        <f aca="false">IF($D28="","",IF($AC28="SOFR","Floating (SOFR)","Fixed / All-In"))</f>
        <v>Floating (SOFR)</v>
      </c>
      <c r="AX28" s="33" t="n">
        <f aca="false">IF($D28="","",$AD28+SOFR)</f>
        <v>0.0683</v>
      </c>
      <c r="AY28" s="30" t="str">
        <f aca="false">IF($D28="","",IF($AF28="Waived","Waived",IF(ISNUMBER($AF28),IF($AF28&gt;AsOfDate,"In Place","Expired"),"None Reported")))</f>
        <v>Expired</v>
      </c>
      <c r="AZ28" s="30" t="str">
        <f aca="false">IF($D28="","",IF(ISNUMBER($AG28),IF($AG28=0,"None",$AG28&amp;" Months"),IF($AG28="","None Reported",$AG28)))</f>
        <v>3 Months</v>
      </c>
      <c r="BA28" s="27" t="str">
        <f aca="false">IF($D28="","",IF($AK28="","Unlevered",$AK28))</f>
        <v>GS CRE Notes 2025-FL4</v>
      </c>
      <c r="BB28" s="31" t="n">
        <f aca="false">IF($D28="","",SUM($AL28,$AO28))</f>
        <v>56866220.252</v>
      </c>
      <c r="BC28" s="32" t="n">
        <f aca="false">IF($D28="","",IF($P28&gt;0,$BB28/$P28,0))</f>
        <v>0.848749556</v>
      </c>
      <c r="BD28" s="34" t="n">
        <f aca="false">IF($D28="","",(AsOfDate-$AH28)/DaysPerMonth)</f>
        <v>25.7248459958932</v>
      </c>
      <c r="BE28" s="34" t="n">
        <f aca="false">IF($D28="","",($AI28-AsOfDate)/DaysPerMonth)</f>
        <v>-1.97125256673511</v>
      </c>
      <c r="BF28" s="34" t="n">
        <f aca="false">IF($D28="","",($AJ28-AsOfDate)/DaysPerMonth)</f>
        <v>34.0369609856263</v>
      </c>
      <c r="BG28" s="34" t="n">
        <f aca="false">IF($D28="","",MAX(0,$BE28))</f>
        <v>0</v>
      </c>
      <c r="BH28" s="34" t="n">
        <f aca="false">IF($D28="","",MAX(0,$BF28))</f>
        <v>34.0369609856263</v>
      </c>
      <c r="BI28" s="77" t="n">
        <f aca="false">IF($D28="","",YEAR($AI28))</f>
        <v>2026</v>
      </c>
      <c r="BJ28" s="77" t="n">
        <f aca="false">IF($D28="","",YEAR($AJ28))</f>
        <v>2029</v>
      </c>
      <c r="BK28" s="77" t="n">
        <f aca="false">IF($D28="","",YEAR($AH28))</f>
        <v>2024</v>
      </c>
      <c r="BL28" s="78" t="n">
        <v>2022</v>
      </c>
      <c r="BM28" s="44" t="n">
        <f aca="false">IF($AT28=1,$P28+(1000-ROW())/1000000,0)</f>
        <v>67000000.000972</v>
      </c>
    </row>
    <row r="29" customFormat="false" ht="15" hidden="false" customHeight="false" outlineLevel="0" collapsed="false">
      <c r="B29" s="60" t="n">
        <v>25</v>
      </c>
      <c r="C29" s="61" t="n">
        <v>30214</v>
      </c>
      <c r="D29" s="62" t="s">
        <v>363</v>
      </c>
      <c r="E29" s="62" t="s">
        <v>72</v>
      </c>
      <c r="F29" s="62" t="s">
        <v>72</v>
      </c>
      <c r="G29" s="62" t="s">
        <v>88</v>
      </c>
      <c r="H29" s="62" t="s">
        <v>364</v>
      </c>
      <c r="I29" s="63" t="s">
        <v>105</v>
      </c>
      <c r="J29" s="63" t="s">
        <v>105</v>
      </c>
      <c r="K29" s="63" t="s">
        <v>306</v>
      </c>
      <c r="L29" s="60" t="n">
        <v>234</v>
      </c>
      <c r="M29" s="60"/>
      <c r="N29" s="63" t="n">
        <v>2023</v>
      </c>
      <c r="O29" s="63" t="s">
        <v>311</v>
      </c>
      <c r="P29" s="64" t="n">
        <v>65000000</v>
      </c>
      <c r="Q29" s="64" t="n">
        <v>0</v>
      </c>
      <c r="R29" s="64" t="n">
        <v>65000000</v>
      </c>
      <c r="S29" s="64" t="n">
        <v>0</v>
      </c>
      <c r="T29" s="64" t="n">
        <v>65000000</v>
      </c>
      <c r="U29" s="64" t="n">
        <v>74530000</v>
      </c>
      <c r="V29" s="64" t="n">
        <v>98890000</v>
      </c>
      <c r="W29" s="65" t="n">
        <v>0.545232698242319</v>
      </c>
      <c r="X29" s="65" t="n">
        <v>0.657295985438366</v>
      </c>
      <c r="Y29" s="57" t="n">
        <v>0.035</v>
      </c>
      <c r="Z29" s="57" t="n">
        <v>0.0375</v>
      </c>
      <c r="AA29" s="57" t="n">
        <v>0</v>
      </c>
      <c r="AB29" s="57" t="n">
        <v>0.0025</v>
      </c>
      <c r="AC29" s="63" t="s">
        <v>308</v>
      </c>
      <c r="AD29" s="57" t="n">
        <v>0.0385</v>
      </c>
      <c r="AE29" s="57" t="n">
        <v>0.0375</v>
      </c>
      <c r="AF29" s="66" t="n">
        <v>46357</v>
      </c>
      <c r="AG29" s="63" t="n">
        <v>6</v>
      </c>
      <c r="AH29" s="66" t="n">
        <v>45198</v>
      </c>
      <c r="AI29" s="66" t="n">
        <v>45748</v>
      </c>
      <c r="AJ29" s="66" t="n">
        <v>46478</v>
      </c>
      <c r="AK29" s="62" t="s">
        <v>117</v>
      </c>
      <c r="AL29" s="64" t="n">
        <v>55168721.14</v>
      </c>
      <c r="AM29" s="57" t="n">
        <v>0.0183</v>
      </c>
      <c r="AN29" s="62"/>
      <c r="AO29" s="64"/>
      <c r="AP29" s="57"/>
      <c r="AQ29" s="64" t="n">
        <v>9831278.86</v>
      </c>
      <c r="AR29" s="65" t="n">
        <v>0.188353326957506</v>
      </c>
      <c r="AT29" s="26" t="n">
        <f aca="false">IF($D29="",0,IF(OR(StratFilter="All Loans",$E29=StratFilter),1,0))</f>
        <v>1</v>
      </c>
      <c r="AU29" s="18" t="str">
        <f aca="false">IF($D29="","",IFERROR(VLOOKUP(TRIM($K29),PropTypeMap,2,FALSE()),"Unmapped"))</f>
        <v>Multifamily</v>
      </c>
      <c r="AV29" s="21" t="str">
        <f aca="false">IF($D29="","",IFERROR(VLOOKUP($J29,RegionMap,2,FALSE()),"Unmapped"))</f>
        <v>Mountain</v>
      </c>
      <c r="AW29" s="21" t="str">
        <f aca="false">IF($D29="","",IF($AC29="SOFR","Floating (SOFR)","Fixed / All-In"))</f>
        <v>Floating (SOFR)</v>
      </c>
      <c r="AX29" s="24" t="n">
        <f aca="false">IF($D29="","",$AD29+SOFR)</f>
        <v>0.075</v>
      </c>
      <c r="AY29" s="21" t="str">
        <f aca="false">IF($D29="","",IF($AF29="Waived","Waived",IF(ISNUMBER($AF29),IF($AF29&gt;AsOfDate,"In Place","Expired"),"None Reported")))</f>
        <v>In Place</v>
      </c>
      <c r="AZ29" s="21" t="str">
        <f aca="false">IF($D29="","",IF(ISNUMBER($AG29),IF($AG29=0,"None",$AG29&amp;" Months"),IF($AG29="","None Reported",$AG29)))</f>
        <v>6 Months</v>
      </c>
      <c r="BA29" s="18" t="str">
        <f aca="false">IF($D29="","",IF($AK29="","Unlevered",$AK29))</f>
        <v>GS CRE Notes 2025-FL4</v>
      </c>
      <c r="BB29" s="22" t="n">
        <f aca="false">IF($D29="","",SUM($AL29,$AO29))</f>
        <v>55168721.14</v>
      </c>
      <c r="BC29" s="23" t="n">
        <f aca="false">IF($D29="","",IF($P29&gt;0,$BB29/$P29,0))</f>
        <v>0.848749556</v>
      </c>
      <c r="BD29" s="25" t="n">
        <f aca="false">IF($D29="","",(AsOfDate-$AH29)/DaysPerMonth)</f>
        <v>33.0184804928131</v>
      </c>
      <c r="BE29" s="25" t="n">
        <f aca="false">IF($D29="","",($AI29-AsOfDate)/DaysPerMonth)</f>
        <v>-14.9486652977413</v>
      </c>
      <c r="BF29" s="25" t="n">
        <f aca="false">IF($D29="","",($AJ29-AsOfDate)/DaysPerMonth)</f>
        <v>9.03490759753593</v>
      </c>
      <c r="BG29" s="25" t="n">
        <f aca="false">IF($D29="","",MAX(0,$BE29))</f>
        <v>0</v>
      </c>
      <c r="BH29" s="25" t="n">
        <f aca="false">IF($D29="","",MAX(0,$BF29))</f>
        <v>9.03490759753593</v>
      </c>
      <c r="BI29" s="67" t="n">
        <f aca="false">IF($D29="","",YEAR($AI29))</f>
        <v>2025</v>
      </c>
      <c r="BJ29" s="67" t="n">
        <f aca="false">IF($D29="","",YEAR($AJ29))</f>
        <v>2027</v>
      </c>
      <c r="BK29" s="67" t="n">
        <f aca="false">IF($D29="","",YEAR($AH29))</f>
        <v>2023</v>
      </c>
      <c r="BL29" s="68" t="n">
        <v>2023</v>
      </c>
      <c r="BM29" s="26" t="n">
        <f aca="false">IF($AT29=1,$P29+(1000-ROW())/1000000,0)</f>
        <v>65000000.000971</v>
      </c>
    </row>
    <row r="30" customFormat="false" ht="15" hidden="false" customHeight="false" outlineLevel="0" collapsed="false">
      <c r="B30" s="69" t="n">
        <v>26</v>
      </c>
      <c r="C30" s="70" t="n">
        <v>30261</v>
      </c>
      <c r="D30" s="71" t="s">
        <v>365</v>
      </c>
      <c r="E30" s="71" t="s">
        <v>72</v>
      </c>
      <c r="F30" s="71" t="s">
        <v>72</v>
      </c>
      <c r="G30" s="71" t="s">
        <v>87</v>
      </c>
      <c r="H30" s="71" t="s">
        <v>366</v>
      </c>
      <c r="I30" s="72" t="s">
        <v>94</v>
      </c>
      <c r="J30" s="72" t="s">
        <v>94</v>
      </c>
      <c r="K30" s="72" t="s">
        <v>306</v>
      </c>
      <c r="L30" s="69" t="n">
        <v>208</v>
      </c>
      <c r="M30" s="69"/>
      <c r="N30" s="72" t="n">
        <v>2023</v>
      </c>
      <c r="O30" s="72" t="s">
        <v>311</v>
      </c>
      <c r="P30" s="73" t="n">
        <v>62800000</v>
      </c>
      <c r="Q30" s="73" t="n">
        <v>0</v>
      </c>
      <c r="R30" s="73" t="n">
        <v>62800000</v>
      </c>
      <c r="S30" s="73" t="n">
        <v>1200000</v>
      </c>
      <c r="T30" s="73" t="n">
        <v>64000000</v>
      </c>
      <c r="U30" s="73" t="n">
        <v>93900000</v>
      </c>
      <c r="V30" s="73" t="n">
        <v>97950000</v>
      </c>
      <c r="W30" s="74" t="n">
        <v>0.668796592119276</v>
      </c>
      <c r="X30" s="74" t="n">
        <v>0.653394589076059</v>
      </c>
      <c r="Y30" s="75" t="n">
        <v>0.033</v>
      </c>
      <c r="Z30" s="75" t="n">
        <v>0.036</v>
      </c>
      <c r="AA30" s="75" t="n">
        <v>0</v>
      </c>
      <c r="AB30" s="75" t="n">
        <v>0</v>
      </c>
      <c r="AC30" s="72" t="s">
        <v>308</v>
      </c>
      <c r="AD30" s="75" t="n">
        <v>0.033</v>
      </c>
      <c r="AE30" s="75" t="n">
        <v>0.05</v>
      </c>
      <c r="AF30" s="76" t="n">
        <v>46327</v>
      </c>
      <c r="AG30" s="72" t="n">
        <v>6</v>
      </c>
      <c r="AH30" s="76" t="n">
        <v>45568</v>
      </c>
      <c r="AI30" s="76" t="n">
        <v>46327</v>
      </c>
      <c r="AJ30" s="76" t="n">
        <v>47058</v>
      </c>
      <c r="AK30" s="71" t="s">
        <v>117</v>
      </c>
      <c r="AL30" s="73" t="n">
        <v>53301472.1168</v>
      </c>
      <c r="AM30" s="75" t="n">
        <v>0.0183</v>
      </c>
      <c r="AN30" s="71"/>
      <c r="AO30" s="73"/>
      <c r="AP30" s="75"/>
      <c r="AQ30" s="73" t="n">
        <v>9498527.8832</v>
      </c>
      <c r="AR30" s="74" t="n">
        <v>0.151989797340364</v>
      </c>
      <c r="AT30" s="44" t="n">
        <f aca="false">IF($D30="",0,IF(OR(StratFilter="All Loans",$E30=StratFilter),1,0))</f>
        <v>1</v>
      </c>
      <c r="AU30" s="27" t="str">
        <f aca="false">IF($D30="","",IFERROR(VLOOKUP(TRIM($K30),PropTypeMap,2,FALSE()),"Unmapped"))</f>
        <v>Multifamily</v>
      </c>
      <c r="AV30" s="30" t="str">
        <f aca="false">IF($D30="","",IFERROR(VLOOKUP($J30,RegionMap,2,FALSE()),"Unmapped"))</f>
        <v>Pacific</v>
      </c>
      <c r="AW30" s="30" t="str">
        <f aca="false">IF($D30="","",IF($AC30="SOFR","Floating (SOFR)","Fixed / All-In"))</f>
        <v>Floating (SOFR)</v>
      </c>
      <c r="AX30" s="33" t="n">
        <f aca="false">IF($D30="","",$AD30+SOFR)</f>
        <v>0.0695</v>
      </c>
      <c r="AY30" s="30" t="str">
        <f aca="false">IF($D30="","",IF($AF30="Waived","Waived",IF(ISNUMBER($AF30),IF($AF30&gt;AsOfDate,"In Place","Expired"),"None Reported")))</f>
        <v>In Place</v>
      </c>
      <c r="AZ30" s="30" t="str">
        <f aca="false">IF($D30="","",IF(ISNUMBER($AG30),IF($AG30=0,"None",$AG30&amp;" Months"),IF($AG30="","None Reported",$AG30)))</f>
        <v>6 Months</v>
      </c>
      <c r="BA30" s="27" t="str">
        <f aca="false">IF($D30="","",IF($AK30="","Unlevered",$AK30))</f>
        <v>GS CRE Notes 2025-FL4</v>
      </c>
      <c r="BB30" s="31" t="n">
        <f aca="false">IF($D30="","",SUM($AL30,$AO30))</f>
        <v>53301472.1168</v>
      </c>
      <c r="BC30" s="32" t="n">
        <f aca="false">IF($D30="","",IF($P30&gt;0,$BB30/$P30,0))</f>
        <v>0.848749556</v>
      </c>
      <c r="BD30" s="34" t="n">
        <f aca="false">IF($D30="","",(AsOfDate-$AH30)/DaysPerMonth)</f>
        <v>20.8624229979466</v>
      </c>
      <c r="BE30" s="34" t="n">
        <f aca="false">IF($D30="","",($AI30-AsOfDate)/DaysPerMonth)</f>
        <v>4.07392197125257</v>
      </c>
      <c r="BF30" s="34" t="n">
        <f aca="false">IF($D30="","",($AJ30-AsOfDate)/DaysPerMonth)</f>
        <v>28.0903490759754</v>
      </c>
      <c r="BG30" s="34" t="n">
        <f aca="false">IF($D30="","",MAX(0,$BE30))</f>
        <v>4.07392197125257</v>
      </c>
      <c r="BH30" s="34" t="n">
        <f aca="false">IF($D30="","",MAX(0,$BF30))</f>
        <v>28.0903490759754</v>
      </c>
      <c r="BI30" s="77" t="n">
        <f aca="false">IF($D30="","",YEAR($AI30))</f>
        <v>2026</v>
      </c>
      <c r="BJ30" s="77" t="n">
        <f aca="false">IF($D30="","",YEAR($AJ30))</f>
        <v>2028</v>
      </c>
      <c r="BK30" s="77" t="n">
        <f aca="false">IF($D30="","",YEAR($AH30))</f>
        <v>2024</v>
      </c>
      <c r="BL30" s="78" t="n">
        <v>2023</v>
      </c>
      <c r="BM30" s="44" t="n">
        <f aca="false">IF($AT30=1,$P30+(1000-ROW())/1000000,0)</f>
        <v>62800000.00097</v>
      </c>
    </row>
    <row r="31" customFormat="false" ht="15" hidden="false" customHeight="false" outlineLevel="0" collapsed="false">
      <c r="B31" s="60" t="n">
        <v>27</v>
      </c>
      <c r="C31" s="61" t="n">
        <v>30245</v>
      </c>
      <c r="D31" s="62" t="s">
        <v>367</v>
      </c>
      <c r="E31" s="62" t="s">
        <v>72</v>
      </c>
      <c r="F31" s="62" t="s">
        <v>72</v>
      </c>
      <c r="G31" s="62" t="s">
        <v>88</v>
      </c>
      <c r="H31" s="62" t="s">
        <v>368</v>
      </c>
      <c r="I31" s="63" t="s">
        <v>103</v>
      </c>
      <c r="J31" s="63" t="s">
        <v>103</v>
      </c>
      <c r="K31" s="63" t="s">
        <v>306</v>
      </c>
      <c r="L31" s="60" t="n">
        <v>296</v>
      </c>
      <c r="M31" s="60"/>
      <c r="N31" s="63" t="n">
        <v>2023</v>
      </c>
      <c r="O31" s="63" t="s">
        <v>311</v>
      </c>
      <c r="P31" s="64" t="n">
        <v>44532934.37</v>
      </c>
      <c r="Q31" s="64" t="n">
        <v>0</v>
      </c>
      <c r="R31" s="64" t="n">
        <v>44532934.37</v>
      </c>
      <c r="S31" s="64" t="n">
        <v>2967065.63</v>
      </c>
      <c r="T31" s="64" t="n">
        <v>47500000</v>
      </c>
      <c r="U31" s="64" t="n">
        <v>76900000</v>
      </c>
      <c r="V31" s="64" t="n">
        <v>83600000</v>
      </c>
      <c r="W31" s="65" t="n">
        <v>0.52665799739922</v>
      </c>
      <c r="X31" s="65" t="n">
        <v>0.568181818181818</v>
      </c>
      <c r="Y31" s="57" t="n">
        <v>0.0315</v>
      </c>
      <c r="Z31" s="57" t="n">
        <v>0.037</v>
      </c>
      <c r="AA31" s="57" t="n">
        <v>0</v>
      </c>
      <c r="AB31" s="57" t="n">
        <v>0</v>
      </c>
      <c r="AC31" s="63" t="s">
        <v>308</v>
      </c>
      <c r="AD31" s="57" t="n">
        <v>0.032</v>
      </c>
      <c r="AE31" s="57" t="n">
        <v>0.045</v>
      </c>
      <c r="AF31" s="66" t="n">
        <v>46204</v>
      </c>
      <c r="AG31" s="63" t="n">
        <v>12</v>
      </c>
      <c r="AH31" s="66" t="n">
        <v>45474</v>
      </c>
      <c r="AI31" s="66" t="n">
        <v>46204</v>
      </c>
      <c r="AJ31" s="66" t="n">
        <v>47300</v>
      </c>
      <c r="AK31" s="62" t="s">
        <v>117</v>
      </c>
      <c r="AL31" s="64" t="n">
        <v>37083460.2369821</v>
      </c>
      <c r="AM31" s="57" t="n">
        <v>0.0183</v>
      </c>
      <c r="AN31" s="62"/>
      <c r="AO31" s="64"/>
      <c r="AP31" s="57"/>
      <c r="AQ31" s="64" t="n">
        <v>7449474.13301788</v>
      </c>
      <c r="AR31" s="65" t="n">
        <v>0.136698559545953</v>
      </c>
      <c r="AT31" s="26" t="n">
        <f aca="false">IF($D31="",0,IF(OR(StratFilter="All Loans",$E31=StratFilter),1,0))</f>
        <v>1</v>
      </c>
      <c r="AU31" s="18" t="str">
        <f aca="false">IF($D31="","",IFERROR(VLOOKUP(TRIM($K31),PropTypeMap,2,FALSE()),"Unmapped"))</f>
        <v>Multifamily</v>
      </c>
      <c r="AV31" s="21" t="str">
        <f aca="false">IF($D31="","",IFERROR(VLOOKUP($J31,RegionMap,2,FALSE()),"Unmapped"))</f>
        <v>Southeast</v>
      </c>
      <c r="AW31" s="21" t="str">
        <f aca="false">IF($D31="","",IF($AC31="SOFR","Floating (SOFR)","Fixed / All-In"))</f>
        <v>Floating (SOFR)</v>
      </c>
      <c r="AX31" s="24" t="n">
        <f aca="false">IF($D31="","",$AD31+SOFR)</f>
        <v>0.0685</v>
      </c>
      <c r="AY31" s="21" t="str">
        <f aca="false">IF($D31="","",IF($AF31="Waived","Waived",IF(ISNUMBER($AF31),IF($AF31&gt;AsOfDate,"In Place","Expired"),"None Reported")))</f>
        <v>In Place</v>
      </c>
      <c r="AZ31" s="21" t="str">
        <f aca="false">IF($D31="","",IF(ISNUMBER($AG31),IF($AG31=0,"None",$AG31&amp;" Months"),IF($AG31="","None Reported",$AG31)))</f>
        <v>12 Months</v>
      </c>
      <c r="BA31" s="18" t="str">
        <f aca="false">IF($D31="","",IF($AK31="","Unlevered",$AK31))</f>
        <v>GS CRE Notes 2025-FL4</v>
      </c>
      <c r="BB31" s="22" t="n">
        <f aca="false">IF($D31="","",SUM($AL31,$AO31))</f>
        <v>37083460.2369821</v>
      </c>
      <c r="BC31" s="23" t="n">
        <f aca="false">IF($D31="","",IF($P31&gt;0,$BB31/$P31,0))</f>
        <v>0.832719890606708</v>
      </c>
      <c r="BD31" s="25" t="n">
        <f aca="false">IF($D31="","",(AsOfDate-$AH31)/DaysPerMonth)</f>
        <v>23.9507186858316</v>
      </c>
      <c r="BE31" s="25" t="n">
        <f aca="false">IF($D31="","",($AI31-AsOfDate)/DaysPerMonth)</f>
        <v>0.0328542094455852</v>
      </c>
      <c r="BF31" s="25" t="n">
        <f aca="false">IF($D31="","",($AJ31-AsOfDate)/DaysPerMonth)</f>
        <v>36.041067761807</v>
      </c>
      <c r="BG31" s="25" t="n">
        <f aca="false">IF($D31="","",MAX(0,$BE31))</f>
        <v>0.0328542094455852</v>
      </c>
      <c r="BH31" s="25" t="n">
        <f aca="false">IF($D31="","",MAX(0,$BF31))</f>
        <v>36.041067761807</v>
      </c>
      <c r="BI31" s="67" t="n">
        <f aca="false">IF($D31="","",YEAR($AI31))</f>
        <v>2026</v>
      </c>
      <c r="BJ31" s="67" t="n">
        <f aca="false">IF($D31="","",YEAR($AJ31))</f>
        <v>2029</v>
      </c>
      <c r="BK31" s="67" t="n">
        <f aca="false">IF($D31="","",YEAR($AH31))</f>
        <v>2024</v>
      </c>
      <c r="BL31" s="68" t="n">
        <v>2023</v>
      </c>
      <c r="BM31" s="26" t="n">
        <f aca="false">IF($AT31=1,$P31+(1000-ROW())/1000000,0)</f>
        <v>44532934.370969</v>
      </c>
    </row>
    <row r="32" customFormat="false" ht="15" hidden="false" customHeight="false" outlineLevel="0" collapsed="false">
      <c r="B32" s="69" t="n">
        <v>28</v>
      </c>
      <c r="C32" s="70" t="n">
        <v>30226</v>
      </c>
      <c r="D32" s="71" t="s">
        <v>369</v>
      </c>
      <c r="E32" s="71" t="s">
        <v>72</v>
      </c>
      <c r="F32" s="71" t="s">
        <v>72</v>
      </c>
      <c r="G32" s="71" t="s">
        <v>87</v>
      </c>
      <c r="H32" s="71" t="s">
        <v>370</v>
      </c>
      <c r="I32" s="72" t="s">
        <v>98</v>
      </c>
      <c r="J32" s="72" t="s">
        <v>98</v>
      </c>
      <c r="K32" s="72" t="s">
        <v>306</v>
      </c>
      <c r="L32" s="69" t="n">
        <v>280</v>
      </c>
      <c r="M32" s="69"/>
      <c r="N32" s="72" t="n">
        <v>1985</v>
      </c>
      <c r="O32" s="72" t="s">
        <v>311</v>
      </c>
      <c r="P32" s="73" t="n">
        <v>33892519.01</v>
      </c>
      <c r="Q32" s="73" t="n">
        <v>0</v>
      </c>
      <c r="R32" s="73" t="n">
        <v>33892519.01</v>
      </c>
      <c r="S32" s="73" t="n">
        <v>622480.72</v>
      </c>
      <c r="T32" s="73" t="n">
        <v>34515000</v>
      </c>
      <c r="U32" s="73" t="n">
        <v>39200000</v>
      </c>
      <c r="V32" s="73" t="n">
        <v>53200000</v>
      </c>
      <c r="W32" s="74" t="n">
        <v>0.424872448979592</v>
      </c>
      <c r="X32" s="74" t="n">
        <v>0.648778195488722</v>
      </c>
      <c r="Y32" s="75" t="n">
        <v>0.0305</v>
      </c>
      <c r="Z32" s="75" t="n">
        <v>0.02</v>
      </c>
      <c r="AA32" s="75" t="n">
        <v>0</v>
      </c>
      <c r="AB32" s="75" t="n">
        <v>0.0025</v>
      </c>
      <c r="AC32" s="72" t="s">
        <v>308</v>
      </c>
      <c r="AD32" s="75" t="n">
        <v>0.033</v>
      </c>
      <c r="AE32" s="75" t="n">
        <v>0.02</v>
      </c>
      <c r="AF32" s="76" t="n">
        <v>47119</v>
      </c>
      <c r="AG32" s="72" t="n">
        <v>6</v>
      </c>
      <c r="AH32" s="76" t="n">
        <v>45271</v>
      </c>
      <c r="AI32" s="76" t="n">
        <v>46388</v>
      </c>
      <c r="AJ32" s="76" t="n">
        <v>47119</v>
      </c>
      <c r="AK32" s="71" t="s">
        <v>117</v>
      </c>
      <c r="AL32" s="73" t="n">
        <v>28347914.3430678</v>
      </c>
      <c r="AM32" s="75" t="n">
        <v>0.0183</v>
      </c>
      <c r="AN32" s="71"/>
      <c r="AO32" s="73"/>
      <c r="AP32" s="75"/>
      <c r="AQ32" s="73" t="n">
        <v>5544604.66693217</v>
      </c>
      <c r="AR32" s="74" t="n">
        <v>0.144656727282716</v>
      </c>
      <c r="AT32" s="44" t="n">
        <f aca="false">IF($D32="",0,IF(OR(StratFilter="All Loans",$E32=StratFilter),1,0))</f>
        <v>1</v>
      </c>
      <c r="AU32" s="27" t="str">
        <f aca="false">IF($D32="","",IFERROR(VLOOKUP(TRIM($K32),PropTypeMap,2,FALSE()),"Unmapped"))</f>
        <v>Multifamily</v>
      </c>
      <c r="AV32" s="30" t="str">
        <f aca="false">IF($D32="","",IFERROR(VLOOKUP($J32,RegionMap,2,FALSE()),"Unmapped"))</f>
        <v>Southeast</v>
      </c>
      <c r="AW32" s="30" t="str">
        <f aca="false">IF($D32="","",IF($AC32="SOFR","Floating (SOFR)","Fixed / All-In"))</f>
        <v>Floating (SOFR)</v>
      </c>
      <c r="AX32" s="33" t="n">
        <f aca="false">IF($D32="","",$AD32+SOFR)</f>
        <v>0.0695</v>
      </c>
      <c r="AY32" s="30" t="str">
        <f aca="false">IF($D32="","",IF($AF32="Waived","Waived",IF(ISNUMBER($AF32),IF($AF32&gt;AsOfDate,"In Place","Expired"),"None Reported")))</f>
        <v>In Place</v>
      </c>
      <c r="AZ32" s="30" t="str">
        <f aca="false">IF($D32="","",IF(ISNUMBER($AG32),IF($AG32=0,"None",$AG32&amp;" Months"),IF($AG32="","None Reported",$AG32)))</f>
        <v>6 Months</v>
      </c>
      <c r="BA32" s="27" t="str">
        <f aca="false">IF($D32="","",IF($AK32="","Unlevered",$AK32))</f>
        <v>GS CRE Notes 2025-FL4</v>
      </c>
      <c r="BB32" s="31" t="n">
        <f aca="false">IF($D32="","",SUM($AL32,$AO32))</f>
        <v>28347914.3430678</v>
      </c>
      <c r="BC32" s="32" t="n">
        <f aca="false">IF($D32="","",IF($P32&gt;0,$BB32/$P32,0))</f>
        <v>0.836406238636431</v>
      </c>
      <c r="BD32" s="34" t="n">
        <f aca="false">IF($D32="","",(AsOfDate-$AH32)/DaysPerMonth)</f>
        <v>30.6201232032854</v>
      </c>
      <c r="BE32" s="34" t="n">
        <f aca="false">IF($D32="","",($AI32-AsOfDate)/DaysPerMonth)</f>
        <v>6.07802874743327</v>
      </c>
      <c r="BF32" s="34" t="n">
        <f aca="false">IF($D32="","",($AJ32-AsOfDate)/DaysPerMonth)</f>
        <v>30.0944558521561</v>
      </c>
      <c r="BG32" s="34" t="n">
        <f aca="false">IF($D32="","",MAX(0,$BE32))</f>
        <v>6.07802874743327</v>
      </c>
      <c r="BH32" s="34" t="n">
        <f aca="false">IF($D32="","",MAX(0,$BF32))</f>
        <v>30.0944558521561</v>
      </c>
      <c r="BI32" s="77" t="n">
        <f aca="false">IF($D32="","",YEAR($AI32))</f>
        <v>2027</v>
      </c>
      <c r="BJ32" s="77" t="n">
        <f aca="false">IF($D32="","",YEAR($AJ32))</f>
        <v>2029</v>
      </c>
      <c r="BK32" s="77" t="n">
        <f aca="false">IF($D32="","",YEAR($AH32))</f>
        <v>2023</v>
      </c>
      <c r="BL32" s="78" t="n">
        <v>1985</v>
      </c>
      <c r="BM32" s="44" t="n">
        <f aca="false">IF($AT32=1,$P32+(1000-ROW())/1000000,0)</f>
        <v>33892519.010968</v>
      </c>
    </row>
    <row r="33" customFormat="false" ht="15" hidden="false" customHeight="false" outlineLevel="0" collapsed="false">
      <c r="B33" s="60" t="n">
        <v>29</v>
      </c>
      <c r="C33" s="61" t="n">
        <v>30255</v>
      </c>
      <c r="D33" s="62" t="s">
        <v>371</v>
      </c>
      <c r="E33" s="62" t="s">
        <v>72</v>
      </c>
      <c r="F33" s="62" t="s">
        <v>72</v>
      </c>
      <c r="G33" s="62" t="s">
        <v>87</v>
      </c>
      <c r="H33" s="62" t="s">
        <v>372</v>
      </c>
      <c r="I33" s="63" t="s">
        <v>373</v>
      </c>
      <c r="J33" s="63" t="s">
        <v>373</v>
      </c>
      <c r="K33" s="63" t="s">
        <v>306</v>
      </c>
      <c r="L33" s="60" t="n">
        <v>93</v>
      </c>
      <c r="M33" s="60"/>
      <c r="N33" s="63" t="n">
        <v>2024</v>
      </c>
      <c r="O33" s="63" t="s">
        <v>311</v>
      </c>
      <c r="P33" s="64" t="n">
        <v>32000000</v>
      </c>
      <c r="Q33" s="64" t="n">
        <v>0</v>
      </c>
      <c r="R33" s="64" t="n">
        <v>32000000</v>
      </c>
      <c r="S33" s="64" t="n">
        <v>0</v>
      </c>
      <c r="T33" s="64" t="n">
        <v>32000000</v>
      </c>
      <c r="U33" s="64" t="n">
        <v>53480000</v>
      </c>
      <c r="V33" s="64" t="n">
        <v>56780000</v>
      </c>
      <c r="W33" s="65" t="n">
        <v>0.598354525056096</v>
      </c>
      <c r="X33" s="65" t="n">
        <v>0.563578724903135</v>
      </c>
      <c r="Y33" s="57" t="n">
        <v>0.031</v>
      </c>
      <c r="Z33" s="57" t="n">
        <v>0.0385</v>
      </c>
      <c r="AA33" s="57" t="n">
        <v>0</v>
      </c>
      <c r="AB33" s="57" t="n">
        <v>0</v>
      </c>
      <c r="AC33" s="63" t="s">
        <v>308</v>
      </c>
      <c r="AD33" s="57" t="n">
        <v>0.033</v>
      </c>
      <c r="AE33" s="57" t="n">
        <v>0.04</v>
      </c>
      <c r="AF33" s="66" t="n">
        <v>46235</v>
      </c>
      <c r="AG33" s="63" t="n">
        <v>6</v>
      </c>
      <c r="AH33" s="66" t="n">
        <v>45511</v>
      </c>
      <c r="AI33" s="66" t="n">
        <v>46266</v>
      </c>
      <c r="AJ33" s="66" t="n">
        <v>46997</v>
      </c>
      <c r="AK33" s="62" t="s">
        <v>117</v>
      </c>
      <c r="AL33" s="64" t="n">
        <v>27159985.792</v>
      </c>
      <c r="AM33" s="57" t="n">
        <v>0.0183</v>
      </c>
      <c r="AN33" s="62"/>
      <c r="AO33" s="64"/>
      <c r="AP33" s="57"/>
      <c r="AQ33" s="64" t="n">
        <v>4840014.208</v>
      </c>
      <c r="AR33" s="65" t="n">
        <v>0.151989797340364</v>
      </c>
      <c r="AT33" s="26" t="n">
        <f aca="false">IF($D33="",0,IF(OR(StratFilter="All Loans",$E33=StratFilter),1,0))</f>
        <v>1</v>
      </c>
      <c r="AU33" s="18" t="str">
        <f aca="false">IF($D33="","",IFERROR(VLOOKUP(TRIM($K33),PropTypeMap,2,FALSE()),"Unmapped"))</f>
        <v>Multifamily</v>
      </c>
      <c r="AV33" s="21" t="str">
        <f aca="false">IF($D33="","",IFERROR(VLOOKUP($J33,RegionMap,2,FALSE()),"Unmapped"))</f>
        <v>Mountain</v>
      </c>
      <c r="AW33" s="21" t="str">
        <f aca="false">IF($D33="","",IF($AC33="SOFR","Floating (SOFR)","Fixed / All-In"))</f>
        <v>Floating (SOFR)</v>
      </c>
      <c r="AX33" s="24" t="n">
        <f aca="false">IF($D33="","",$AD33+SOFR)</f>
        <v>0.0695</v>
      </c>
      <c r="AY33" s="21" t="str">
        <f aca="false">IF($D33="","",IF($AF33="Waived","Waived",IF(ISNUMBER($AF33),IF($AF33&gt;AsOfDate,"In Place","Expired"),"None Reported")))</f>
        <v>In Place</v>
      </c>
      <c r="AZ33" s="21" t="str">
        <f aca="false">IF($D33="","",IF(ISNUMBER($AG33),IF($AG33=0,"None",$AG33&amp;" Months"),IF($AG33="","None Reported",$AG33)))</f>
        <v>6 Months</v>
      </c>
      <c r="BA33" s="18" t="str">
        <f aca="false">IF($D33="","",IF($AK33="","Unlevered",$AK33))</f>
        <v>GS CRE Notes 2025-FL4</v>
      </c>
      <c r="BB33" s="22" t="n">
        <f aca="false">IF($D33="","",SUM($AL33,$AO33))</f>
        <v>27159985.792</v>
      </c>
      <c r="BC33" s="23" t="n">
        <f aca="false">IF($D33="","",IF($P33&gt;0,$BB33/$P33,0))</f>
        <v>0.848749556</v>
      </c>
      <c r="BD33" s="25" t="n">
        <f aca="false">IF($D33="","",(AsOfDate-$AH33)/DaysPerMonth)</f>
        <v>22.735112936345</v>
      </c>
      <c r="BE33" s="25" t="n">
        <f aca="false">IF($D33="","",($AI33-AsOfDate)/DaysPerMonth)</f>
        <v>2.06981519507187</v>
      </c>
      <c r="BF33" s="25" t="n">
        <f aca="false">IF($D33="","",($AJ33-AsOfDate)/DaysPerMonth)</f>
        <v>26.0862422997947</v>
      </c>
      <c r="BG33" s="25" t="n">
        <f aca="false">IF($D33="","",MAX(0,$BE33))</f>
        <v>2.06981519507187</v>
      </c>
      <c r="BH33" s="25" t="n">
        <f aca="false">IF($D33="","",MAX(0,$BF33))</f>
        <v>26.0862422997947</v>
      </c>
      <c r="BI33" s="67" t="n">
        <f aca="false">IF($D33="","",YEAR($AI33))</f>
        <v>2026</v>
      </c>
      <c r="BJ33" s="67" t="n">
        <f aca="false">IF($D33="","",YEAR($AJ33))</f>
        <v>2028</v>
      </c>
      <c r="BK33" s="67" t="n">
        <f aca="false">IF($D33="","",YEAR($AH33))</f>
        <v>2024</v>
      </c>
      <c r="BL33" s="68" t="n">
        <v>2024</v>
      </c>
      <c r="BM33" s="26" t="n">
        <f aca="false">IF($AT33=1,$P33+(1000-ROW())/1000000,0)</f>
        <v>32000000.000967</v>
      </c>
    </row>
    <row r="34" customFormat="false" ht="15" hidden="false" customHeight="false" outlineLevel="0" collapsed="false">
      <c r="B34" s="69" t="n">
        <v>30</v>
      </c>
      <c r="C34" s="70" t="n">
        <v>30311</v>
      </c>
      <c r="D34" s="71" t="s">
        <v>374</v>
      </c>
      <c r="E34" s="71" t="s">
        <v>72</v>
      </c>
      <c r="F34" s="71" t="s">
        <v>72</v>
      </c>
      <c r="G34" s="71" t="s">
        <v>84</v>
      </c>
      <c r="H34" s="71" t="s">
        <v>375</v>
      </c>
      <c r="I34" s="72" t="s">
        <v>92</v>
      </c>
      <c r="J34" s="72" t="s">
        <v>92</v>
      </c>
      <c r="K34" s="72" t="s">
        <v>306</v>
      </c>
      <c r="L34" s="69" t="n">
        <v>277</v>
      </c>
      <c r="M34" s="69"/>
      <c r="N34" s="72" t="n">
        <v>1983</v>
      </c>
      <c r="O34" s="72" t="s">
        <v>311</v>
      </c>
      <c r="P34" s="73" t="n">
        <v>31300000</v>
      </c>
      <c r="Q34" s="73" t="n">
        <v>0</v>
      </c>
      <c r="R34" s="73" t="n">
        <v>31300000</v>
      </c>
      <c r="S34" s="73" t="n">
        <v>0</v>
      </c>
      <c r="T34" s="73" t="n">
        <v>31300000</v>
      </c>
      <c r="U34" s="73" t="n">
        <v>41100000</v>
      </c>
      <c r="V34" s="73" t="n">
        <v>41100000</v>
      </c>
      <c r="W34" s="74" t="n">
        <v>0.761557177615572</v>
      </c>
      <c r="X34" s="74" t="n">
        <v>0.761557177615572</v>
      </c>
      <c r="Y34" s="75" t="n">
        <v>0.0355</v>
      </c>
      <c r="Z34" s="75" t="n">
        <v>0.0375</v>
      </c>
      <c r="AA34" s="75" t="n">
        <v>0</v>
      </c>
      <c r="AB34" s="75" t="n">
        <v>0</v>
      </c>
      <c r="AC34" s="72" t="s">
        <v>308</v>
      </c>
      <c r="AD34" s="75" t="n">
        <v>0.0365</v>
      </c>
      <c r="AE34" s="75" t="n">
        <v>0.0435</v>
      </c>
      <c r="AF34" s="76" t="n">
        <v>46388</v>
      </c>
      <c r="AG34" s="72" t="n">
        <v>6</v>
      </c>
      <c r="AH34" s="76" t="n">
        <v>46007</v>
      </c>
      <c r="AI34" s="76" t="n">
        <v>46753</v>
      </c>
      <c r="AJ34" s="76" t="n">
        <v>47119</v>
      </c>
      <c r="AK34" s="71" t="s">
        <v>117</v>
      </c>
      <c r="AL34" s="73" t="n">
        <v>26565861.1028</v>
      </c>
      <c r="AM34" s="75" t="n">
        <v>0.0183</v>
      </c>
      <c r="AN34" s="71"/>
      <c r="AO34" s="73"/>
      <c r="AP34" s="75"/>
      <c r="AQ34" s="73" t="n">
        <v>4734138.8972</v>
      </c>
      <c r="AR34" s="74" t="n">
        <v>0.175130225278545</v>
      </c>
      <c r="AT34" s="44" t="n">
        <f aca="false">IF($D34="",0,IF(OR(StratFilter="All Loans",$E34=StratFilter),1,0))</f>
        <v>1</v>
      </c>
      <c r="AU34" s="27" t="str">
        <f aca="false">IF($D34="","",IFERROR(VLOOKUP(TRIM($K34),PropTypeMap,2,FALSE()),"Unmapped"))</f>
        <v>Multifamily</v>
      </c>
      <c r="AV34" s="30" t="str">
        <f aca="false">IF($D34="","",IFERROR(VLOOKUP($J34,RegionMap,2,FALSE()),"Unmapped"))</f>
        <v>Southwest</v>
      </c>
      <c r="AW34" s="30" t="str">
        <f aca="false">IF($D34="","",IF($AC34="SOFR","Floating (SOFR)","Fixed / All-In"))</f>
        <v>Floating (SOFR)</v>
      </c>
      <c r="AX34" s="33" t="n">
        <f aca="false">IF($D34="","",$AD34+SOFR)</f>
        <v>0.073</v>
      </c>
      <c r="AY34" s="30" t="str">
        <f aca="false">IF($D34="","",IF($AF34="Waived","Waived",IF(ISNUMBER($AF34),IF($AF34&gt;AsOfDate,"In Place","Expired"),"None Reported")))</f>
        <v>In Place</v>
      </c>
      <c r="AZ34" s="30" t="str">
        <f aca="false">IF($D34="","",IF(ISNUMBER($AG34),IF($AG34=0,"None",$AG34&amp;" Months"),IF($AG34="","None Reported",$AG34)))</f>
        <v>6 Months</v>
      </c>
      <c r="BA34" s="27" t="str">
        <f aca="false">IF($D34="","",IF($AK34="","Unlevered",$AK34))</f>
        <v>GS CRE Notes 2025-FL4</v>
      </c>
      <c r="BB34" s="31" t="n">
        <f aca="false">IF($D34="","",SUM($AL34,$AO34))</f>
        <v>26565861.1028</v>
      </c>
      <c r="BC34" s="32" t="n">
        <f aca="false">IF($D34="","",IF($P34&gt;0,$BB34/$P34,0))</f>
        <v>0.848749556</v>
      </c>
      <c r="BD34" s="34" t="n">
        <f aca="false">IF($D34="","",(AsOfDate-$AH34)/DaysPerMonth)</f>
        <v>6.4394250513347</v>
      </c>
      <c r="BE34" s="34" t="n">
        <f aca="false">IF($D34="","",($AI34-AsOfDate)/DaysPerMonth)</f>
        <v>18.0698151950719</v>
      </c>
      <c r="BF34" s="34" t="n">
        <f aca="false">IF($D34="","",($AJ34-AsOfDate)/DaysPerMonth)</f>
        <v>30.0944558521561</v>
      </c>
      <c r="BG34" s="34" t="n">
        <f aca="false">IF($D34="","",MAX(0,$BE34))</f>
        <v>18.0698151950719</v>
      </c>
      <c r="BH34" s="34" t="n">
        <f aca="false">IF($D34="","",MAX(0,$BF34))</f>
        <v>30.0944558521561</v>
      </c>
      <c r="BI34" s="77" t="n">
        <f aca="false">IF($D34="","",YEAR($AI34))</f>
        <v>2028</v>
      </c>
      <c r="BJ34" s="77" t="n">
        <f aca="false">IF($D34="","",YEAR($AJ34))</f>
        <v>2029</v>
      </c>
      <c r="BK34" s="77" t="n">
        <f aca="false">IF($D34="","",YEAR($AH34))</f>
        <v>2025</v>
      </c>
      <c r="BL34" s="78" t="n">
        <v>1983</v>
      </c>
      <c r="BM34" s="44" t="n">
        <f aca="false">IF($AT34=1,$P34+(1000-ROW())/1000000,0)</f>
        <v>31300000.000966</v>
      </c>
    </row>
    <row r="35" customFormat="false" ht="15" hidden="false" customHeight="false" outlineLevel="0" collapsed="false">
      <c r="B35" s="60" t="n">
        <v>31</v>
      </c>
      <c r="C35" s="61" t="n">
        <v>30250</v>
      </c>
      <c r="D35" s="62" t="s">
        <v>376</v>
      </c>
      <c r="E35" s="62" t="s">
        <v>72</v>
      </c>
      <c r="F35" s="62" t="s">
        <v>72</v>
      </c>
      <c r="G35" s="62" t="s">
        <v>87</v>
      </c>
      <c r="H35" s="62" t="s">
        <v>377</v>
      </c>
      <c r="I35" s="63" t="s">
        <v>378</v>
      </c>
      <c r="J35" s="63" t="s">
        <v>378</v>
      </c>
      <c r="K35" s="63" t="s">
        <v>306</v>
      </c>
      <c r="L35" s="60" t="n">
        <v>144</v>
      </c>
      <c r="M35" s="60"/>
      <c r="N35" s="63" t="n">
        <v>1990</v>
      </c>
      <c r="O35" s="63" t="n">
        <v>2021</v>
      </c>
      <c r="P35" s="64" t="n">
        <v>22730000</v>
      </c>
      <c r="Q35" s="64" t="n">
        <v>0</v>
      </c>
      <c r="R35" s="64" t="n">
        <v>22730000</v>
      </c>
      <c r="S35" s="64" t="n">
        <v>0</v>
      </c>
      <c r="T35" s="64" t="n">
        <v>22730000</v>
      </c>
      <c r="U35" s="64" t="n">
        <v>32100000</v>
      </c>
      <c r="V35" s="64" t="n">
        <v>33900000</v>
      </c>
      <c r="W35" s="65" t="n">
        <v>0.70809968847352</v>
      </c>
      <c r="X35" s="65" t="n">
        <v>0.670501474926254</v>
      </c>
      <c r="Y35" s="57" t="n">
        <v>0.035</v>
      </c>
      <c r="Z35" s="57" t="n">
        <v>0.0375</v>
      </c>
      <c r="AA35" s="57" t="n">
        <v>0</v>
      </c>
      <c r="AB35" s="57" t="n">
        <v>0</v>
      </c>
      <c r="AC35" s="63" t="s">
        <v>308</v>
      </c>
      <c r="AD35" s="57" t="n">
        <v>0.036</v>
      </c>
      <c r="AE35" s="57" t="n">
        <v>0.0375</v>
      </c>
      <c r="AF35" s="66" t="n">
        <v>46235</v>
      </c>
      <c r="AG35" s="63" t="n">
        <v>6</v>
      </c>
      <c r="AH35" s="66" t="n">
        <v>45504</v>
      </c>
      <c r="AI35" s="66" t="n">
        <v>46235</v>
      </c>
      <c r="AJ35" s="66" t="n">
        <v>46966</v>
      </c>
      <c r="AK35" s="62" t="s">
        <v>117</v>
      </c>
      <c r="AL35" s="64" t="n">
        <v>19292077.40788</v>
      </c>
      <c r="AM35" s="57" t="n">
        <v>0.0183</v>
      </c>
      <c r="AN35" s="62"/>
      <c r="AO35" s="64"/>
      <c r="AP35" s="57"/>
      <c r="AQ35" s="64" t="n">
        <v>3437922.59212</v>
      </c>
      <c r="AR35" s="65" t="n">
        <v>0.171824449858805</v>
      </c>
      <c r="AT35" s="26" t="n">
        <f aca="false">IF($D35="",0,IF(OR(StratFilter="All Loans",$E35=StratFilter),1,0))</f>
        <v>1</v>
      </c>
      <c r="AU35" s="18" t="str">
        <f aca="false">IF($D35="","",IFERROR(VLOOKUP(TRIM($K35),PropTypeMap,2,FALSE()),"Unmapped"))</f>
        <v>Multifamily</v>
      </c>
      <c r="AV35" s="21" t="str">
        <f aca="false">IF($D35="","",IFERROR(VLOOKUP($J35,RegionMap,2,FALSE()),"Unmapped"))</f>
        <v>Mountain</v>
      </c>
      <c r="AW35" s="21" t="str">
        <f aca="false">IF($D35="","",IF($AC35="SOFR","Floating (SOFR)","Fixed / All-In"))</f>
        <v>Floating (SOFR)</v>
      </c>
      <c r="AX35" s="24" t="n">
        <f aca="false">IF($D35="","",$AD35+SOFR)</f>
        <v>0.0725</v>
      </c>
      <c r="AY35" s="21" t="str">
        <f aca="false">IF($D35="","",IF($AF35="Waived","Waived",IF(ISNUMBER($AF35),IF($AF35&gt;AsOfDate,"In Place","Expired"),"None Reported")))</f>
        <v>In Place</v>
      </c>
      <c r="AZ35" s="21" t="str">
        <f aca="false">IF($D35="","",IF(ISNUMBER($AG35),IF($AG35=0,"None",$AG35&amp;" Months"),IF($AG35="","None Reported",$AG35)))</f>
        <v>6 Months</v>
      </c>
      <c r="BA35" s="18" t="str">
        <f aca="false">IF($D35="","",IF($AK35="","Unlevered",$AK35))</f>
        <v>GS CRE Notes 2025-FL4</v>
      </c>
      <c r="BB35" s="22" t="n">
        <f aca="false">IF($D35="","",SUM($AL35,$AO35))</f>
        <v>19292077.40788</v>
      </c>
      <c r="BC35" s="23" t="n">
        <f aca="false">IF($D35="","",IF($P35&gt;0,$BB35/$P35,0))</f>
        <v>0.848749556</v>
      </c>
      <c r="BD35" s="25" t="n">
        <f aca="false">IF($D35="","",(AsOfDate-$AH35)/DaysPerMonth)</f>
        <v>22.9650924024641</v>
      </c>
      <c r="BE35" s="25" t="n">
        <f aca="false">IF($D35="","",($AI35-AsOfDate)/DaysPerMonth)</f>
        <v>1.05133470225873</v>
      </c>
      <c r="BF35" s="25" t="n">
        <f aca="false">IF($D35="","",($AJ35-AsOfDate)/DaysPerMonth)</f>
        <v>25.0677618069815</v>
      </c>
      <c r="BG35" s="25" t="n">
        <f aca="false">IF($D35="","",MAX(0,$BE35))</f>
        <v>1.05133470225873</v>
      </c>
      <c r="BH35" s="25" t="n">
        <f aca="false">IF($D35="","",MAX(0,$BF35))</f>
        <v>25.0677618069815</v>
      </c>
      <c r="BI35" s="67" t="n">
        <f aca="false">IF($D35="","",YEAR($AI35))</f>
        <v>2026</v>
      </c>
      <c r="BJ35" s="67" t="n">
        <f aca="false">IF($D35="","",YEAR($AJ35))</f>
        <v>2028</v>
      </c>
      <c r="BK35" s="67" t="n">
        <f aca="false">IF($D35="","",YEAR($AH35))</f>
        <v>2024</v>
      </c>
      <c r="BL35" s="68" t="n">
        <v>1990</v>
      </c>
      <c r="BM35" s="26" t="n">
        <f aca="false">IF($AT35=1,$P35+(1000-ROW())/1000000,0)</f>
        <v>22730000.000965</v>
      </c>
    </row>
    <row r="36" customFormat="false" ht="15" hidden="false" customHeight="false" outlineLevel="0" collapsed="false">
      <c r="B36" s="69" t="n">
        <v>32</v>
      </c>
      <c r="C36" s="70" t="n">
        <v>30265</v>
      </c>
      <c r="D36" s="71" t="s">
        <v>379</v>
      </c>
      <c r="E36" s="71" t="s">
        <v>72</v>
      </c>
      <c r="F36" s="71" t="s">
        <v>72</v>
      </c>
      <c r="G36" s="71" t="s">
        <v>87</v>
      </c>
      <c r="H36" s="71" t="s">
        <v>380</v>
      </c>
      <c r="I36" s="72" t="s">
        <v>92</v>
      </c>
      <c r="J36" s="72" t="s">
        <v>92</v>
      </c>
      <c r="K36" s="72" t="s">
        <v>306</v>
      </c>
      <c r="L36" s="69" t="n">
        <v>167</v>
      </c>
      <c r="M36" s="69"/>
      <c r="N36" s="72" t="n">
        <v>1995</v>
      </c>
      <c r="O36" s="72" t="n">
        <v>2024</v>
      </c>
      <c r="P36" s="73" t="n">
        <v>23274565.84</v>
      </c>
      <c r="Q36" s="73" t="n">
        <v>0</v>
      </c>
      <c r="R36" s="73" t="n">
        <v>23274565.84</v>
      </c>
      <c r="S36" s="73" t="n">
        <v>325434.16</v>
      </c>
      <c r="T36" s="73" t="n">
        <v>23600000</v>
      </c>
      <c r="U36" s="73" t="n">
        <v>31400000</v>
      </c>
      <c r="V36" s="73" t="n">
        <v>40300000</v>
      </c>
      <c r="W36" s="74" t="n">
        <v>0.643312101910828</v>
      </c>
      <c r="X36" s="74" t="n">
        <v>0.58560794044665</v>
      </c>
      <c r="Y36" s="75" t="n">
        <v>0.031</v>
      </c>
      <c r="Z36" s="75" t="n">
        <v>0.035</v>
      </c>
      <c r="AA36" s="75" t="n">
        <v>0</v>
      </c>
      <c r="AB36" s="75" t="n">
        <v>0</v>
      </c>
      <c r="AC36" s="72" t="s">
        <v>308</v>
      </c>
      <c r="AD36" s="75" t="n">
        <v>0.031</v>
      </c>
      <c r="AE36" s="75" t="n">
        <v>0.025</v>
      </c>
      <c r="AF36" s="76" t="n">
        <v>46388</v>
      </c>
      <c r="AG36" s="72" t="n">
        <v>12</v>
      </c>
      <c r="AH36" s="76" t="n">
        <v>45639</v>
      </c>
      <c r="AI36" s="76" t="n">
        <v>46388</v>
      </c>
      <c r="AJ36" s="76" t="n">
        <v>47484</v>
      </c>
      <c r="AK36" s="71" t="s">
        <v>117</v>
      </c>
      <c r="AL36" s="73" t="n">
        <v>18915407.4474245</v>
      </c>
      <c r="AM36" s="75" t="n">
        <v>0.0183</v>
      </c>
      <c r="AN36" s="71"/>
      <c r="AO36" s="73"/>
      <c r="AP36" s="75"/>
      <c r="AQ36" s="73" t="n">
        <v>4359158.39257547</v>
      </c>
      <c r="AR36" s="74" t="n">
        <v>0.122608269291486</v>
      </c>
      <c r="AT36" s="44" t="n">
        <f aca="false">IF($D36="",0,IF(OR(StratFilter="All Loans",$E36=StratFilter),1,0))</f>
        <v>1</v>
      </c>
      <c r="AU36" s="27" t="str">
        <f aca="false">IF($D36="","",IFERROR(VLOOKUP(TRIM($K36),PropTypeMap,2,FALSE()),"Unmapped"))</f>
        <v>Multifamily</v>
      </c>
      <c r="AV36" s="30" t="str">
        <f aca="false">IF($D36="","",IFERROR(VLOOKUP($J36,RegionMap,2,FALSE()),"Unmapped"))</f>
        <v>Southwest</v>
      </c>
      <c r="AW36" s="30" t="str">
        <f aca="false">IF($D36="","",IF($AC36="SOFR","Floating (SOFR)","Fixed / All-In"))</f>
        <v>Floating (SOFR)</v>
      </c>
      <c r="AX36" s="33" t="n">
        <f aca="false">IF($D36="","",$AD36+SOFR)</f>
        <v>0.0675</v>
      </c>
      <c r="AY36" s="30" t="str">
        <f aca="false">IF($D36="","",IF($AF36="Waived","Waived",IF(ISNUMBER($AF36),IF($AF36&gt;AsOfDate,"In Place","Expired"),"None Reported")))</f>
        <v>In Place</v>
      </c>
      <c r="AZ36" s="30" t="str">
        <f aca="false">IF($D36="","",IF(ISNUMBER($AG36),IF($AG36=0,"None",$AG36&amp;" Months"),IF($AG36="","None Reported",$AG36)))</f>
        <v>12 Months</v>
      </c>
      <c r="BA36" s="27" t="str">
        <f aca="false">IF($D36="","",IF($AK36="","Unlevered",$AK36))</f>
        <v>GS CRE Notes 2025-FL4</v>
      </c>
      <c r="BB36" s="31" t="n">
        <f aca="false">IF($D36="","",SUM($AL36,$AO36))</f>
        <v>18915407.4474245</v>
      </c>
      <c r="BC36" s="32" t="n">
        <f aca="false">IF($D36="","",IF($P36&gt;0,$BB36/$P36,0))</f>
        <v>0.812707209125089</v>
      </c>
      <c r="BD36" s="34" t="n">
        <f aca="false">IF($D36="","",(AsOfDate-$AH36)/DaysPerMonth)</f>
        <v>18.5297741273101</v>
      </c>
      <c r="BE36" s="34" t="n">
        <f aca="false">IF($D36="","",($AI36-AsOfDate)/DaysPerMonth)</f>
        <v>6.07802874743327</v>
      </c>
      <c r="BF36" s="34" t="n">
        <f aca="false">IF($D36="","",($AJ36-AsOfDate)/DaysPerMonth)</f>
        <v>42.0862422997947</v>
      </c>
      <c r="BG36" s="34" t="n">
        <f aca="false">IF($D36="","",MAX(0,$BE36))</f>
        <v>6.07802874743327</v>
      </c>
      <c r="BH36" s="34" t="n">
        <f aca="false">IF($D36="","",MAX(0,$BF36))</f>
        <v>42.0862422997947</v>
      </c>
      <c r="BI36" s="77" t="n">
        <f aca="false">IF($D36="","",YEAR($AI36))</f>
        <v>2027</v>
      </c>
      <c r="BJ36" s="77" t="n">
        <f aca="false">IF($D36="","",YEAR($AJ36))</f>
        <v>2030</v>
      </c>
      <c r="BK36" s="77" t="n">
        <f aca="false">IF($D36="","",YEAR($AH36))</f>
        <v>2024</v>
      </c>
      <c r="BL36" s="78" t="n">
        <v>1995</v>
      </c>
      <c r="BM36" s="44" t="n">
        <f aca="false">IF($AT36=1,$P36+(1000-ROW())/1000000,0)</f>
        <v>23274565.840964</v>
      </c>
    </row>
    <row r="37" customFormat="false" ht="15" hidden="false" customHeight="false" outlineLevel="0" collapsed="false">
      <c r="B37" s="60" t="n">
        <v>33</v>
      </c>
      <c r="C37" s="61" t="n">
        <v>30263</v>
      </c>
      <c r="D37" s="62" t="s">
        <v>381</v>
      </c>
      <c r="E37" s="62" t="s">
        <v>72</v>
      </c>
      <c r="F37" s="62" t="s">
        <v>72</v>
      </c>
      <c r="G37" s="62" t="s">
        <v>87</v>
      </c>
      <c r="H37" s="62" t="s">
        <v>382</v>
      </c>
      <c r="I37" s="63" t="s">
        <v>373</v>
      </c>
      <c r="J37" s="63" t="s">
        <v>373</v>
      </c>
      <c r="K37" s="63" t="s">
        <v>306</v>
      </c>
      <c r="L37" s="60" t="n">
        <v>61</v>
      </c>
      <c r="M37" s="60"/>
      <c r="N37" s="63" t="n">
        <v>2024</v>
      </c>
      <c r="O37" s="63" t="s">
        <v>311</v>
      </c>
      <c r="P37" s="64" t="n">
        <v>21000000</v>
      </c>
      <c r="Q37" s="64" t="n">
        <v>0</v>
      </c>
      <c r="R37" s="64" t="n">
        <v>21000000</v>
      </c>
      <c r="S37" s="64" t="n">
        <v>0</v>
      </c>
      <c r="T37" s="64" t="n">
        <v>21000000</v>
      </c>
      <c r="U37" s="64" t="n">
        <v>29800000</v>
      </c>
      <c r="V37" s="64" t="n">
        <v>32600000</v>
      </c>
      <c r="W37" s="65" t="n">
        <v>0.613936744966443</v>
      </c>
      <c r="X37" s="65" t="n">
        <v>0.644171779141104</v>
      </c>
      <c r="Y37" s="57" t="n">
        <v>0.0395</v>
      </c>
      <c r="Z37" s="57" t="n">
        <v>0.035</v>
      </c>
      <c r="AA37" s="57" t="n">
        <v>0</v>
      </c>
      <c r="AB37" s="57" t="n">
        <v>0</v>
      </c>
      <c r="AC37" s="63" t="s">
        <v>308</v>
      </c>
      <c r="AD37" s="57" t="n">
        <v>0.0395</v>
      </c>
      <c r="AE37" s="57" t="n">
        <v>0.055</v>
      </c>
      <c r="AF37" s="66" t="n">
        <v>46357</v>
      </c>
      <c r="AG37" s="63" t="n">
        <v>6</v>
      </c>
      <c r="AH37" s="66" t="n">
        <v>45610</v>
      </c>
      <c r="AI37" s="66" t="n">
        <v>46357</v>
      </c>
      <c r="AJ37" s="66" t="n">
        <v>46722</v>
      </c>
      <c r="AK37" s="62" t="s">
        <v>117</v>
      </c>
      <c r="AL37" s="64" t="n">
        <v>17823740.676</v>
      </c>
      <c r="AM37" s="57" t="n">
        <v>0.0183</v>
      </c>
      <c r="AN37" s="62"/>
      <c r="AO37" s="64"/>
      <c r="AP37" s="57"/>
      <c r="AQ37" s="64" t="n">
        <v>3176259.324</v>
      </c>
      <c r="AR37" s="65" t="n">
        <v>0.194964877796987</v>
      </c>
      <c r="AT37" s="26" t="n">
        <f aca="false">IF($D37="",0,IF(OR(StratFilter="All Loans",$E37=StratFilter),1,0))</f>
        <v>1</v>
      </c>
      <c r="AU37" s="18" t="str">
        <f aca="false">IF($D37="","",IFERROR(VLOOKUP(TRIM($K37),PropTypeMap,2,FALSE()),"Unmapped"))</f>
        <v>Multifamily</v>
      </c>
      <c r="AV37" s="21" t="str">
        <f aca="false">IF($D37="","",IFERROR(VLOOKUP($J37,RegionMap,2,FALSE()),"Unmapped"))</f>
        <v>Mountain</v>
      </c>
      <c r="AW37" s="21" t="str">
        <f aca="false">IF($D37="","",IF($AC37="SOFR","Floating (SOFR)","Fixed / All-In"))</f>
        <v>Floating (SOFR)</v>
      </c>
      <c r="AX37" s="24" t="n">
        <f aca="false">IF($D37="","",$AD37+SOFR)</f>
        <v>0.076</v>
      </c>
      <c r="AY37" s="21" t="str">
        <f aca="false">IF($D37="","",IF($AF37="Waived","Waived",IF(ISNUMBER($AF37),IF($AF37&gt;AsOfDate,"In Place","Expired"),"None Reported")))</f>
        <v>In Place</v>
      </c>
      <c r="AZ37" s="21" t="str">
        <f aca="false">IF($D37="","",IF(ISNUMBER($AG37),IF($AG37=0,"None",$AG37&amp;" Months"),IF($AG37="","None Reported",$AG37)))</f>
        <v>6 Months</v>
      </c>
      <c r="BA37" s="18" t="str">
        <f aca="false">IF($D37="","",IF($AK37="","Unlevered",$AK37))</f>
        <v>GS CRE Notes 2025-FL4</v>
      </c>
      <c r="BB37" s="22" t="n">
        <f aca="false">IF($D37="","",SUM($AL37,$AO37))</f>
        <v>17823740.676</v>
      </c>
      <c r="BC37" s="23" t="n">
        <f aca="false">IF($D37="","",IF($P37&gt;0,$BB37/$P37,0))</f>
        <v>0.848749556</v>
      </c>
      <c r="BD37" s="25" t="n">
        <f aca="false">IF($D37="","",(AsOfDate-$AH37)/DaysPerMonth)</f>
        <v>19.482546201232</v>
      </c>
      <c r="BE37" s="25" t="n">
        <f aca="false">IF($D37="","",($AI37-AsOfDate)/DaysPerMonth)</f>
        <v>5.05954825462012</v>
      </c>
      <c r="BF37" s="25" t="n">
        <f aca="false">IF($D37="","",($AJ37-AsOfDate)/DaysPerMonth)</f>
        <v>17.0513347022587</v>
      </c>
      <c r="BG37" s="25" t="n">
        <f aca="false">IF($D37="","",MAX(0,$BE37))</f>
        <v>5.05954825462012</v>
      </c>
      <c r="BH37" s="25" t="n">
        <f aca="false">IF($D37="","",MAX(0,$BF37))</f>
        <v>17.0513347022587</v>
      </c>
      <c r="BI37" s="67" t="n">
        <f aca="false">IF($D37="","",YEAR($AI37))</f>
        <v>2026</v>
      </c>
      <c r="BJ37" s="67" t="n">
        <f aca="false">IF($D37="","",YEAR($AJ37))</f>
        <v>2027</v>
      </c>
      <c r="BK37" s="67" t="n">
        <f aca="false">IF($D37="","",YEAR($AH37))</f>
        <v>2024</v>
      </c>
      <c r="BL37" s="68" t="n">
        <v>2024</v>
      </c>
      <c r="BM37" s="26" t="n">
        <f aca="false">IF($AT37=1,$P37+(1000-ROW())/1000000,0)</f>
        <v>21000000.000963</v>
      </c>
    </row>
    <row r="38" customFormat="false" ht="15" hidden="false" customHeight="false" outlineLevel="0" collapsed="false">
      <c r="B38" s="69" t="n">
        <v>34</v>
      </c>
      <c r="C38" s="70" t="n">
        <v>30192</v>
      </c>
      <c r="D38" s="71" t="s">
        <v>383</v>
      </c>
      <c r="E38" s="71" t="s">
        <v>72</v>
      </c>
      <c r="F38" s="71" t="s">
        <v>72</v>
      </c>
      <c r="G38" s="71" t="s">
        <v>88</v>
      </c>
      <c r="H38" s="71" t="s">
        <v>384</v>
      </c>
      <c r="I38" s="72" t="s">
        <v>92</v>
      </c>
      <c r="J38" s="72" t="s">
        <v>92</v>
      </c>
      <c r="K38" s="72" t="s">
        <v>306</v>
      </c>
      <c r="L38" s="69" t="n">
        <v>176</v>
      </c>
      <c r="M38" s="69"/>
      <c r="N38" s="72" t="n">
        <v>1983</v>
      </c>
      <c r="O38" s="72" t="n">
        <v>2011</v>
      </c>
      <c r="P38" s="73" t="n">
        <v>18969508</v>
      </c>
      <c r="Q38" s="73" t="n">
        <v>0</v>
      </c>
      <c r="R38" s="73" t="n">
        <v>18969508</v>
      </c>
      <c r="S38" s="73" t="n">
        <v>5829492</v>
      </c>
      <c r="T38" s="73" t="n">
        <v>24799000</v>
      </c>
      <c r="U38" s="73" t="n">
        <v>25100000</v>
      </c>
      <c r="V38" s="73" t="n">
        <v>34700000</v>
      </c>
      <c r="W38" s="74" t="n">
        <v>0.51908422310757</v>
      </c>
      <c r="X38" s="74" t="n">
        <v>0.714668587896254</v>
      </c>
      <c r="Y38" s="75" t="n">
        <v>0.0315</v>
      </c>
      <c r="Z38" s="75" t="n">
        <v>0.035</v>
      </c>
      <c r="AA38" s="75" t="n">
        <v>0</v>
      </c>
      <c r="AB38" s="75" t="n">
        <v>0</v>
      </c>
      <c r="AC38" s="72" t="s">
        <v>308</v>
      </c>
      <c r="AD38" s="75" t="n">
        <v>0.0315</v>
      </c>
      <c r="AE38" s="75" t="n">
        <v>0.016</v>
      </c>
      <c r="AF38" s="76" t="n">
        <v>46174</v>
      </c>
      <c r="AG38" s="72" t="n">
        <v>6</v>
      </c>
      <c r="AH38" s="76" t="n">
        <v>45077</v>
      </c>
      <c r="AI38" s="76" t="n">
        <v>46174</v>
      </c>
      <c r="AJ38" s="76" t="n">
        <v>46722</v>
      </c>
      <c r="AK38" s="71" t="s">
        <v>117</v>
      </c>
      <c r="AL38" s="73" t="n">
        <v>16100361.4925385</v>
      </c>
      <c r="AM38" s="75" t="n">
        <v>0.0183</v>
      </c>
      <c r="AN38" s="71"/>
      <c r="AO38" s="73"/>
      <c r="AP38" s="75"/>
      <c r="AQ38" s="73" t="n">
        <v>2869146.50746155</v>
      </c>
      <c r="AR38" s="74" t="n">
        <v>0.142072471081143</v>
      </c>
      <c r="AT38" s="44" t="n">
        <f aca="false">IF($D38="",0,IF(OR(StratFilter="All Loans",$E38=StratFilter),1,0))</f>
        <v>1</v>
      </c>
      <c r="AU38" s="27" t="str">
        <f aca="false">IF($D38="","",IFERROR(VLOOKUP(TRIM($K38),PropTypeMap,2,FALSE()),"Unmapped"))</f>
        <v>Multifamily</v>
      </c>
      <c r="AV38" s="30" t="str">
        <f aca="false">IF($D38="","",IFERROR(VLOOKUP($J38,RegionMap,2,FALSE()),"Unmapped"))</f>
        <v>Southwest</v>
      </c>
      <c r="AW38" s="30" t="str">
        <f aca="false">IF($D38="","",IF($AC38="SOFR","Floating (SOFR)","Fixed / All-In"))</f>
        <v>Floating (SOFR)</v>
      </c>
      <c r="AX38" s="33" t="n">
        <f aca="false">IF($D38="","",$AD38+SOFR)</f>
        <v>0.068</v>
      </c>
      <c r="AY38" s="30" t="str">
        <f aca="false">IF($D38="","",IF($AF38="Waived","Waived",IF(ISNUMBER($AF38),IF($AF38&gt;AsOfDate,"In Place","Expired"),"None Reported")))</f>
        <v>Expired</v>
      </c>
      <c r="AZ38" s="30" t="str">
        <f aca="false">IF($D38="","",IF(ISNUMBER($AG38),IF($AG38=0,"None",$AG38&amp;" Months"),IF($AG38="","None Reported",$AG38)))</f>
        <v>6 Months</v>
      </c>
      <c r="BA38" s="27" t="str">
        <f aca="false">IF($D38="","",IF($AK38="","Unlevered",$AK38))</f>
        <v>GS CRE Notes 2025-FL4</v>
      </c>
      <c r="BB38" s="31" t="n">
        <f aca="false">IF($D38="","",SUM($AL38,$AO38))</f>
        <v>16100361.4925385</v>
      </c>
      <c r="BC38" s="32" t="n">
        <f aca="false">IF($D38="","",IF($P38&gt;0,$BB38/$P38,0))</f>
        <v>0.848749556</v>
      </c>
      <c r="BD38" s="34" t="n">
        <f aca="false">IF($D38="","",(AsOfDate-$AH38)/DaysPerMonth)</f>
        <v>36.993839835729</v>
      </c>
      <c r="BE38" s="34" t="n">
        <f aca="false">IF($D38="","",($AI38-AsOfDate)/DaysPerMonth)</f>
        <v>-0.952772073921971</v>
      </c>
      <c r="BF38" s="34" t="n">
        <f aca="false">IF($D38="","",($AJ38-AsOfDate)/DaysPerMonth)</f>
        <v>17.0513347022587</v>
      </c>
      <c r="BG38" s="34" t="n">
        <f aca="false">IF($D38="","",MAX(0,$BE38))</f>
        <v>0</v>
      </c>
      <c r="BH38" s="34" t="n">
        <f aca="false">IF($D38="","",MAX(0,$BF38))</f>
        <v>17.0513347022587</v>
      </c>
      <c r="BI38" s="77" t="n">
        <f aca="false">IF($D38="","",YEAR($AI38))</f>
        <v>2026</v>
      </c>
      <c r="BJ38" s="77" t="n">
        <f aca="false">IF($D38="","",YEAR($AJ38))</f>
        <v>2027</v>
      </c>
      <c r="BK38" s="77" t="n">
        <f aca="false">IF($D38="","",YEAR($AH38))</f>
        <v>2023</v>
      </c>
      <c r="BL38" s="78" t="n">
        <v>1983</v>
      </c>
      <c r="BM38" s="44" t="n">
        <f aca="false">IF($AT38=1,$P38+(1000-ROW())/1000000,0)</f>
        <v>18969508.000962</v>
      </c>
    </row>
    <row r="39" customFormat="false" ht="15" hidden="false" customHeight="false" outlineLevel="0" collapsed="false">
      <c r="B39" s="60" t="n">
        <v>35</v>
      </c>
      <c r="C39" s="61" t="n">
        <v>30262</v>
      </c>
      <c r="D39" s="62" t="s">
        <v>385</v>
      </c>
      <c r="E39" s="62" t="s">
        <v>72</v>
      </c>
      <c r="F39" s="62" t="s">
        <v>72</v>
      </c>
      <c r="G39" s="62" t="s">
        <v>88</v>
      </c>
      <c r="H39" s="62" t="s">
        <v>386</v>
      </c>
      <c r="I39" s="63" t="s">
        <v>92</v>
      </c>
      <c r="J39" s="63" t="s">
        <v>92</v>
      </c>
      <c r="K39" s="63" t="s">
        <v>306</v>
      </c>
      <c r="L39" s="60" t="n">
        <v>308</v>
      </c>
      <c r="M39" s="60"/>
      <c r="N39" s="63" t="n">
        <v>1969</v>
      </c>
      <c r="O39" s="63" t="n">
        <v>2012</v>
      </c>
      <c r="P39" s="64" t="n">
        <v>20258368</v>
      </c>
      <c r="Q39" s="64" t="n">
        <v>0</v>
      </c>
      <c r="R39" s="64" t="n">
        <v>20258368</v>
      </c>
      <c r="S39" s="64" t="n">
        <v>1241632.3</v>
      </c>
      <c r="T39" s="64" t="n">
        <v>21500000</v>
      </c>
      <c r="U39" s="64" t="n">
        <v>24590000</v>
      </c>
      <c r="V39" s="64" t="n">
        <v>33530000</v>
      </c>
      <c r="W39" s="65" t="n">
        <v>0.686457909719398</v>
      </c>
      <c r="X39" s="65" t="n">
        <v>0.641216820757531</v>
      </c>
      <c r="Y39" s="57" t="n">
        <v>0.0345</v>
      </c>
      <c r="Z39" s="57" t="n">
        <v>0.034</v>
      </c>
      <c r="AA39" s="57" t="n">
        <v>0</v>
      </c>
      <c r="AB39" s="57" t="n">
        <v>0</v>
      </c>
      <c r="AC39" s="63" t="s">
        <v>308</v>
      </c>
      <c r="AD39" s="57" t="n">
        <v>0.0345</v>
      </c>
      <c r="AE39" s="57" t="n">
        <v>0.0325</v>
      </c>
      <c r="AF39" s="66" t="n">
        <v>46327</v>
      </c>
      <c r="AG39" s="63" t="n">
        <v>6</v>
      </c>
      <c r="AH39" s="66" t="n">
        <v>45587</v>
      </c>
      <c r="AI39" s="66" t="n">
        <v>46327</v>
      </c>
      <c r="AJ39" s="66" t="n">
        <v>47423</v>
      </c>
      <c r="AK39" s="62" t="s">
        <v>117</v>
      </c>
      <c r="AL39" s="64" t="n">
        <v>15901369.8759979</v>
      </c>
      <c r="AM39" s="57" t="n">
        <v>0.0183</v>
      </c>
      <c r="AN39" s="62"/>
      <c r="AO39" s="64"/>
      <c r="AP39" s="57"/>
      <c r="AQ39" s="64" t="n">
        <v>4356998.12400206</v>
      </c>
      <c r="AR39" s="65" t="n">
        <v>0.130123778496042</v>
      </c>
      <c r="AT39" s="26" t="n">
        <f aca="false">IF($D39="",0,IF(OR(StratFilter="All Loans",$E39=StratFilter),1,0))</f>
        <v>1</v>
      </c>
      <c r="AU39" s="18" t="str">
        <f aca="false">IF($D39="","",IFERROR(VLOOKUP(TRIM($K39),PropTypeMap,2,FALSE()),"Unmapped"))</f>
        <v>Multifamily</v>
      </c>
      <c r="AV39" s="21" t="str">
        <f aca="false">IF($D39="","",IFERROR(VLOOKUP($J39,RegionMap,2,FALSE()),"Unmapped"))</f>
        <v>Southwest</v>
      </c>
      <c r="AW39" s="21" t="str">
        <f aca="false">IF($D39="","",IF($AC39="SOFR","Floating (SOFR)","Fixed / All-In"))</f>
        <v>Floating (SOFR)</v>
      </c>
      <c r="AX39" s="24" t="n">
        <f aca="false">IF($D39="","",$AD39+SOFR)</f>
        <v>0.071</v>
      </c>
      <c r="AY39" s="21" t="str">
        <f aca="false">IF($D39="","",IF($AF39="Waived","Waived",IF(ISNUMBER($AF39),IF($AF39&gt;AsOfDate,"In Place","Expired"),"None Reported")))</f>
        <v>In Place</v>
      </c>
      <c r="AZ39" s="21" t="str">
        <f aca="false">IF($D39="","",IF(ISNUMBER($AG39),IF($AG39=0,"None",$AG39&amp;" Months"),IF($AG39="","None Reported",$AG39)))</f>
        <v>6 Months</v>
      </c>
      <c r="BA39" s="18" t="str">
        <f aca="false">IF($D39="","",IF($AK39="","Unlevered",$AK39))</f>
        <v>GS CRE Notes 2025-FL4</v>
      </c>
      <c r="BB39" s="22" t="n">
        <f aca="false">IF($D39="","",SUM($AL39,$AO39))</f>
        <v>15901369.8759979</v>
      </c>
      <c r="BC39" s="23" t="n">
        <f aca="false">IF($D39="","",IF($P39&gt;0,$BB39/$P39,0))</f>
        <v>0.784928473803909</v>
      </c>
      <c r="BD39" s="25" t="n">
        <f aca="false">IF($D39="","",(AsOfDate-$AH39)/DaysPerMonth)</f>
        <v>20.2381930184805</v>
      </c>
      <c r="BE39" s="25" t="n">
        <f aca="false">IF($D39="","",($AI39-AsOfDate)/DaysPerMonth)</f>
        <v>4.07392197125257</v>
      </c>
      <c r="BF39" s="25" t="n">
        <f aca="false">IF($D39="","",($AJ39-AsOfDate)/DaysPerMonth)</f>
        <v>40.082135523614</v>
      </c>
      <c r="BG39" s="25" t="n">
        <f aca="false">IF($D39="","",MAX(0,$BE39))</f>
        <v>4.07392197125257</v>
      </c>
      <c r="BH39" s="25" t="n">
        <f aca="false">IF($D39="","",MAX(0,$BF39))</f>
        <v>40.082135523614</v>
      </c>
      <c r="BI39" s="67" t="n">
        <f aca="false">IF($D39="","",YEAR($AI39))</f>
        <v>2026</v>
      </c>
      <c r="BJ39" s="67" t="n">
        <f aca="false">IF($D39="","",YEAR($AJ39))</f>
        <v>2029</v>
      </c>
      <c r="BK39" s="67" t="n">
        <f aca="false">IF($D39="","",YEAR($AH39))</f>
        <v>2024</v>
      </c>
      <c r="BL39" s="68" t="n">
        <v>1969</v>
      </c>
      <c r="BM39" s="26" t="n">
        <f aca="false">IF($AT39=1,$P39+(1000-ROW())/1000000,0)</f>
        <v>20258368.000961</v>
      </c>
    </row>
    <row r="40" customFormat="false" ht="15" hidden="false" customHeight="false" outlineLevel="0" collapsed="false">
      <c r="B40" s="69" t="n">
        <v>36</v>
      </c>
      <c r="C40" s="70" t="n">
        <v>30277</v>
      </c>
      <c r="D40" s="71" t="s">
        <v>387</v>
      </c>
      <c r="E40" s="71" t="s">
        <v>72</v>
      </c>
      <c r="F40" s="71" t="s">
        <v>72</v>
      </c>
      <c r="G40" s="71" t="s">
        <v>88</v>
      </c>
      <c r="H40" s="71" t="s">
        <v>368</v>
      </c>
      <c r="I40" s="72" t="s">
        <v>103</v>
      </c>
      <c r="J40" s="72" t="s">
        <v>103</v>
      </c>
      <c r="K40" s="72" t="s">
        <v>306</v>
      </c>
      <c r="L40" s="69" t="n">
        <v>390</v>
      </c>
      <c r="M40" s="69"/>
      <c r="N40" s="72" t="n">
        <v>1960</v>
      </c>
      <c r="O40" s="72" t="n">
        <v>2021</v>
      </c>
      <c r="P40" s="73" t="n">
        <v>18500000</v>
      </c>
      <c r="Q40" s="73" t="n">
        <v>0</v>
      </c>
      <c r="R40" s="73" t="n">
        <v>18500000</v>
      </c>
      <c r="S40" s="73" t="n">
        <v>1500000</v>
      </c>
      <c r="T40" s="73" t="n">
        <v>20000000</v>
      </c>
      <c r="U40" s="73" t="n">
        <v>38400000</v>
      </c>
      <c r="V40" s="73" t="n">
        <v>39300000</v>
      </c>
      <c r="W40" s="74" t="n">
        <v>0.481770833333333</v>
      </c>
      <c r="X40" s="74" t="n">
        <v>0.508905852417303</v>
      </c>
      <c r="Y40" s="75" t="n">
        <v>0.0375</v>
      </c>
      <c r="Z40" s="75" t="n">
        <v>0.04</v>
      </c>
      <c r="AA40" s="75" t="n">
        <v>0</v>
      </c>
      <c r="AB40" s="75" t="n">
        <v>0</v>
      </c>
      <c r="AC40" s="72" t="s">
        <v>308</v>
      </c>
      <c r="AD40" s="75" t="n">
        <v>0.041</v>
      </c>
      <c r="AE40" s="75" t="n">
        <v>0.04</v>
      </c>
      <c r="AF40" s="76" t="n">
        <v>46478</v>
      </c>
      <c r="AG40" s="72" t="n">
        <v>6</v>
      </c>
      <c r="AH40" s="76" t="n">
        <v>45721</v>
      </c>
      <c r="AI40" s="76" t="n">
        <v>46478</v>
      </c>
      <c r="AJ40" s="76" t="n">
        <v>46844</v>
      </c>
      <c r="AK40" s="71" t="s">
        <v>117</v>
      </c>
      <c r="AL40" s="73" t="n">
        <v>15701866.786</v>
      </c>
      <c r="AM40" s="75" t="n">
        <v>0.0183</v>
      </c>
      <c r="AN40" s="71"/>
      <c r="AO40" s="73"/>
      <c r="AP40" s="75"/>
      <c r="AQ40" s="73" t="n">
        <v>2798133.214</v>
      </c>
      <c r="AR40" s="74" t="n">
        <v>0.204882204056208</v>
      </c>
      <c r="AT40" s="44" t="n">
        <f aca="false">IF($D40="",0,IF(OR(StratFilter="All Loans",$E40=StratFilter),1,0))</f>
        <v>1</v>
      </c>
      <c r="AU40" s="27" t="str">
        <f aca="false">IF($D40="","",IFERROR(VLOOKUP(TRIM($K40),PropTypeMap,2,FALSE()),"Unmapped"))</f>
        <v>Multifamily</v>
      </c>
      <c r="AV40" s="30" t="str">
        <f aca="false">IF($D40="","",IFERROR(VLOOKUP($J40,RegionMap,2,FALSE()),"Unmapped"))</f>
        <v>Southeast</v>
      </c>
      <c r="AW40" s="30" t="str">
        <f aca="false">IF($D40="","",IF($AC40="SOFR","Floating (SOFR)","Fixed / All-In"))</f>
        <v>Floating (SOFR)</v>
      </c>
      <c r="AX40" s="33" t="n">
        <f aca="false">IF($D40="","",$AD40+SOFR)</f>
        <v>0.0775</v>
      </c>
      <c r="AY40" s="30" t="str">
        <f aca="false">IF($D40="","",IF($AF40="Waived","Waived",IF(ISNUMBER($AF40),IF($AF40&gt;AsOfDate,"In Place","Expired"),"None Reported")))</f>
        <v>In Place</v>
      </c>
      <c r="AZ40" s="30" t="str">
        <f aca="false">IF($D40="","",IF(ISNUMBER($AG40),IF($AG40=0,"None",$AG40&amp;" Months"),IF($AG40="","None Reported",$AG40)))</f>
        <v>6 Months</v>
      </c>
      <c r="BA40" s="27" t="str">
        <f aca="false">IF($D40="","",IF($AK40="","Unlevered",$AK40))</f>
        <v>GS CRE Notes 2025-FL4</v>
      </c>
      <c r="BB40" s="31" t="n">
        <f aca="false">IF($D40="","",SUM($AL40,$AO40))</f>
        <v>15701866.786</v>
      </c>
      <c r="BC40" s="32" t="n">
        <f aca="false">IF($D40="","",IF($P40&gt;0,$BB40/$P40,0))</f>
        <v>0.848749556</v>
      </c>
      <c r="BD40" s="34" t="n">
        <f aca="false">IF($D40="","",(AsOfDate-$AH40)/DaysPerMonth)</f>
        <v>15.8357289527721</v>
      </c>
      <c r="BE40" s="34" t="n">
        <f aca="false">IF($D40="","",($AI40-AsOfDate)/DaysPerMonth)</f>
        <v>9.03490759753593</v>
      </c>
      <c r="BF40" s="34" t="n">
        <f aca="false">IF($D40="","",($AJ40-AsOfDate)/DaysPerMonth)</f>
        <v>21.0595482546201</v>
      </c>
      <c r="BG40" s="34" t="n">
        <f aca="false">IF($D40="","",MAX(0,$BE40))</f>
        <v>9.03490759753593</v>
      </c>
      <c r="BH40" s="34" t="n">
        <f aca="false">IF($D40="","",MAX(0,$BF40))</f>
        <v>21.0595482546201</v>
      </c>
      <c r="BI40" s="77" t="n">
        <f aca="false">IF($D40="","",YEAR($AI40))</f>
        <v>2027</v>
      </c>
      <c r="BJ40" s="77" t="n">
        <f aca="false">IF($D40="","",YEAR($AJ40))</f>
        <v>2028</v>
      </c>
      <c r="BK40" s="77" t="n">
        <f aca="false">IF($D40="","",YEAR($AH40))</f>
        <v>2025</v>
      </c>
      <c r="BL40" s="78" t="n">
        <v>1960</v>
      </c>
      <c r="BM40" s="44" t="n">
        <f aca="false">IF($AT40=1,$P40+(1000-ROW())/1000000,0)</f>
        <v>18500000.00096</v>
      </c>
    </row>
    <row r="41" customFormat="false" ht="15" hidden="false" customHeight="false" outlineLevel="0" collapsed="false">
      <c r="B41" s="60" t="n">
        <v>37</v>
      </c>
      <c r="C41" s="61" t="n">
        <v>30308</v>
      </c>
      <c r="D41" s="62" t="s">
        <v>388</v>
      </c>
      <c r="E41" s="62" t="s">
        <v>72</v>
      </c>
      <c r="F41" s="62" t="s">
        <v>72</v>
      </c>
      <c r="G41" s="62" t="s">
        <v>87</v>
      </c>
      <c r="H41" s="62" t="s">
        <v>389</v>
      </c>
      <c r="I41" s="63" t="s">
        <v>390</v>
      </c>
      <c r="J41" s="63" t="s">
        <v>390</v>
      </c>
      <c r="K41" s="63" t="s">
        <v>306</v>
      </c>
      <c r="L41" s="60" t="n">
        <v>144</v>
      </c>
      <c r="M41" s="60"/>
      <c r="N41" s="63" t="n">
        <v>1987</v>
      </c>
      <c r="O41" s="63" t="n">
        <v>2024</v>
      </c>
      <c r="P41" s="64" t="n">
        <v>18200000</v>
      </c>
      <c r="Q41" s="64" t="n">
        <v>0</v>
      </c>
      <c r="R41" s="64" t="n">
        <v>18200000</v>
      </c>
      <c r="S41" s="64" t="n">
        <v>0</v>
      </c>
      <c r="T41" s="64" t="n">
        <v>18200000</v>
      </c>
      <c r="U41" s="64" t="n">
        <v>27800000</v>
      </c>
      <c r="V41" s="64" t="n">
        <v>31100000</v>
      </c>
      <c r="W41" s="65" t="n">
        <v>0.654676258992806</v>
      </c>
      <c r="X41" s="65" t="n">
        <v>0.585209003215434</v>
      </c>
      <c r="Y41" s="57" t="n">
        <v>0.0305</v>
      </c>
      <c r="Z41" s="57" t="n">
        <v>0.0325</v>
      </c>
      <c r="AA41" s="57" t="n">
        <v>0</v>
      </c>
      <c r="AB41" s="57" t="n">
        <v>0</v>
      </c>
      <c r="AC41" s="63" t="s">
        <v>308</v>
      </c>
      <c r="AD41" s="57" t="n">
        <v>0.0305</v>
      </c>
      <c r="AE41" s="57" t="n">
        <v>0.0425</v>
      </c>
      <c r="AF41" s="66" t="n">
        <v>46722</v>
      </c>
      <c r="AG41" s="63" t="n">
        <v>6</v>
      </c>
      <c r="AH41" s="66" t="n">
        <v>45985</v>
      </c>
      <c r="AI41" s="66" t="n">
        <v>46722</v>
      </c>
      <c r="AJ41" s="66" t="n">
        <v>47088</v>
      </c>
      <c r="AK41" s="62" t="s">
        <v>117</v>
      </c>
      <c r="AL41" s="64" t="n">
        <v>15447241.9192</v>
      </c>
      <c r="AM41" s="57" t="n">
        <v>0.0183</v>
      </c>
      <c r="AN41" s="62"/>
      <c r="AO41" s="64"/>
      <c r="AP41" s="57"/>
      <c r="AQ41" s="64" t="n">
        <v>2752758.0808</v>
      </c>
      <c r="AR41" s="65" t="n">
        <v>0.135460920241662</v>
      </c>
      <c r="AT41" s="26" t="n">
        <f aca="false">IF($D41="",0,IF(OR(StratFilter="All Loans",$E41=StratFilter),1,0))</f>
        <v>1</v>
      </c>
      <c r="AU41" s="18" t="str">
        <f aca="false">IF($D41="","",IFERROR(VLOOKUP(TRIM($K41),PropTypeMap,2,FALSE()),"Unmapped"))</f>
        <v>Multifamily</v>
      </c>
      <c r="AV41" s="21" t="str">
        <f aca="false">IF($D41="","",IFERROR(VLOOKUP($J41,RegionMap,2,FALSE()),"Unmapped"))</f>
        <v>Midwest</v>
      </c>
      <c r="AW41" s="21" t="str">
        <f aca="false">IF($D41="","",IF($AC41="SOFR","Floating (SOFR)","Fixed / All-In"))</f>
        <v>Floating (SOFR)</v>
      </c>
      <c r="AX41" s="24" t="n">
        <f aca="false">IF($D41="","",$AD41+SOFR)</f>
        <v>0.067</v>
      </c>
      <c r="AY41" s="21" t="str">
        <f aca="false">IF($D41="","",IF($AF41="Waived","Waived",IF(ISNUMBER($AF41),IF($AF41&gt;AsOfDate,"In Place","Expired"),"None Reported")))</f>
        <v>In Place</v>
      </c>
      <c r="AZ41" s="21" t="str">
        <f aca="false">IF($D41="","",IF(ISNUMBER($AG41),IF($AG41=0,"None",$AG41&amp;" Months"),IF($AG41="","None Reported",$AG41)))</f>
        <v>6 Months</v>
      </c>
      <c r="BA41" s="18" t="str">
        <f aca="false">IF($D41="","",IF($AK41="","Unlevered",$AK41))</f>
        <v>GS CRE Notes 2025-FL4</v>
      </c>
      <c r="BB41" s="22" t="n">
        <f aca="false">IF($D41="","",SUM($AL41,$AO41))</f>
        <v>15447241.9192</v>
      </c>
      <c r="BC41" s="23" t="n">
        <f aca="false">IF($D41="","",IF($P41&gt;0,$BB41/$P41,0))</f>
        <v>0.848749556</v>
      </c>
      <c r="BD41" s="25" t="n">
        <f aca="false">IF($D41="","",(AsOfDate-$AH41)/DaysPerMonth)</f>
        <v>7.16221765913758</v>
      </c>
      <c r="BE41" s="25" t="n">
        <f aca="false">IF($D41="","",($AI41-AsOfDate)/DaysPerMonth)</f>
        <v>17.0513347022587</v>
      </c>
      <c r="BF41" s="25" t="n">
        <f aca="false">IF($D41="","",($AJ41-AsOfDate)/DaysPerMonth)</f>
        <v>29.0759753593429</v>
      </c>
      <c r="BG41" s="25" t="n">
        <f aca="false">IF($D41="","",MAX(0,$BE41))</f>
        <v>17.0513347022587</v>
      </c>
      <c r="BH41" s="25" t="n">
        <f aca="false">IF($D41="","",MAX(0,$BF41))</f>
        <v>29.0759753593429</v>
      </c>
      <c r="BI41" s="67" t="n">
        <f aca="false">IF($D41="","",YEAR($AI41))</f>
        <v>2027</v>
      </c>
      <c r="BJ41" s="67" t="n">
        <f aca="false">IF($D41="","",YEAR($AJ41))</f>
        <v>2028</v>
      </c>
      <c r="BK41" s="67" t="n">
        <f aca="false">IF($D41="","",YEAR($AH41))</f>
        <v>2025</v>
      </c>
      <c r="BL41" s="68" t="n">
        <v>1987</v>
      </c>
      <c r="BM41" s="26" t="n">
        <f aca="false">IF($AT41=1,$P41+(1000-ROW())/1000000,0)</f>
        <v>18200000.000959</v>
      </c>
    </row>
    <row r="42" customFormat="false" ht="15" hidden="false" customHeight="false" outlineLevel="0" collapsed="false">
      <c r="B42" s="69" t="n">
        <v>38</v>
      </c>
      <c r="C42" s="70" t="n">
        <v>30251</v>
      </c>
      <c r="D42" s="71" t="s">
        <v>391</v>
      </c>
      <c r="E42" s="71" t="s">
        <v>72</v>
      </c>
      <c r="F42" s="71" t="s">
        <v>72</v>
      </c>
      <c r="G42" s="71" t="s">
        <v>87</v>
      </c>
      <c r="H42" s="71" t="s">
        <v>377</v>
      </c>
      <c r="I42" s="72" t="s">
        <v>378</v>
      </c>
      <c r="J42" s="72" t="s">
        <v>378</v>
      </c>
      <c r="K42" s="72" t="s">
        <v>306</v>
      </c>
      <c r="L42" s="69" t="n">
        <v>118</v>
      </c>
      <c r="M42" s="69"/>
      <c r="N42" s="72" t="n">
        <v>1990</v>
      </c>
      <c r="O42" s="72" t="n">
        <v>2021</v>
      </c>
      <c r="P42" s="73" t="n">
        <v>16000000</v>
      </c>
      <c r="Q42" s="73" t="n">
        <v>0</v>
      </c>
      <c r="R42" s="73" t="n">
        <v>16000000</v>
      </c>
      <c r="S42" s="73" t="n">
        <v>0</v>
      </c>
      <c r="T42" s="73" t="n">
        <v>17600000</v>
      </c>
      <c r="U42" s="73" t="n">
        <v>25300000</v>
      </c>
      <c r="V42" s="73" t="n">
        <v>26800000</v>
      </c>
      <c r="W42" s="74" t="n">
        <v>0.695652173913044</v>
      </c>
      <c r="X42" s="74" t="n">
        <v>0.656716417910448</v>
      </c>
      <c r="Y42" s="75" t="n">
        <v>0.035</v>
      </c>
      <c r="Z42" s="75" t="n">
        <v>0.0375</v>
      </c>
      <c r="AA42" s="75" t="n">
        <v>0</v>
      </c>
      <c r="AB42" s="75" t="n">
        <v>0</v>
      </c>
      <c r="AC42" s="72" t="s">
        <v>308</v>
      </c>
      <c r="AD42" s="75" t="n">
        <v>0.036</v>
      </c>
      <c r="AE42" s="75" t="n">
        <v>0.0375</v>
      </c>
      <c r="AF42" s="76" t="n">
        <v>46235</v>
      </c>
      <c r="AG42" s="72" t="n">
        <v>6</v>
      </c>
      <c r="AH42" s="76" t="n">
        <v>45504</v>
      </c>
      <c r="AI42" s="76" t="n">
        <v>46235</v>
      </c>
      <c r="AJ42" s="76" t="n">
        <v>46966</v>
      </c>
      <c r="AK42" s="71" t="s">
        <v>117</v>
      </c>
      <c r="AL42" s="73" t="n">
        <v>13579992.8929694</v>
      </c>
      <c r="AM42" s="75" t="n">
        <v>0.0183</v>
      </c>
      <c r="AN42" s="71"/>
      <c r="AO42" s="73"/>
      <c r="AP42" s="75"/>
      <c r="AQ42" s="73" t="n">
        <v>2420007.1070306</v>
      </c>
      <c r="AR42" s="74" t="n">
        <v>0.171824449712254</v>
      </c>
      <c r="AT42" s="44" t="n">
        <f aca="false">IF($D42="",0,IF(OR(StratFilter="All Loans",$E42=StratFilter),1,0))</f>
        <v>1</v>
      </c>
      <c r="AU42" s="27" t="str">
        <f aca="false">IF($D42="","",IFERROR(VLOOKUP(TRIM($K42),PropTypeMap,2,FALSE()),"Unmapped"))</f>
        <v>Multifamily</v>
      </c>
      <c r="AV42" s="30" t="str">
        <f aca="false">IF($D42="","",IFERROR(VLOOKUP($J42,RegionMap,2,FALSE()),"Unmapped"))</f>
        <v>Mountain</v>
      </c>
      <c r="AW42" s="30" t="str">
        <f aca="false">IF($D42="","",IF($AC42="SOFR","Floating (SOFR)","Fixed / All-In"))</f>
        <v>Floating (SOFR)</v>
      </c>
      <c r="AX42" s="33" t="n">
        <f aca="false">IF($D42="","",$AD42+SOFR)</f>
        <v>0.0725</v>
      </c>
      <c r="AY42" s="30" t="str">
        <f aca="false">IF($D42="","",IF($AF42="Waived","Waived",IF(ISNUMBER($AF42),IF($AF42&gt;AsOfDate,"In Place","Expired"),"None Reported")))</f>
        <v>In Place</v>
      </c>
      <c r="AZ42" s="30" t="str">
        <f aca="false">IF($D42="","",IF(ISNUMBER($AG42),IF($AG42=0,"None",$AG42&amp;" Months"),IF($AG42="","None Reported",$AG42)))</f>
        <v>6 Months</v>
      </c>
      <c r="BA42" s="27" t="str">
        <f aca="false">IF($D42="","",IF($AK42="","Unlevered",$AK42))</f>
        <v>GS CRE Notes 2025-FL4</v>
      </c>
      <c r="BB42" s="31" t="n">
        <f aca="false">IF($D42="","",SUM($AL42,$AO42))</f>
        <v>13579992.8929694</v>
      </c>
      <c r="BC42" s="32" t="n">
        <f aca="false">IF($D42="","",IF($P42&gt;0,$BB42/$P42,0))</f>
        <v>0.848749555810588</v>
      </c>
      <c r="BD42" s="34" t="n">
        <f aca="false">IF($D42="","",(AsOfDate-$AH42)/DaysPerMonth)</f>
        <v>22.9650924024641</v>
      </c>
      <c r="BE42" s="34" t="n">
        <f aca="false">IF($D42="","",($AI42-AsOfDate)/DaysPerMonth)</f>
        <v>1.05133470225873</v>
      </c>
      <c r="BF42" s="34" t="n">
        <f aca="false">IF($D42="","",($AJ42-AsOfDate)/DaysPerMonth)</f>
        <v>25.0677618069815</v>
      </c>
      <c r="BG42" s="34" t="n">
        <f aca="false">IF($D42="","",MAX(0,$BE42))</f>
        <v>1.05133470225873</v>
      </c>
      <c r="BH42" s="34" t="n">
        <f aca="false">IF($D42="","",MAX(0,$BF42))</f>
        <v>25.0677618069815</v>
      </c>
      <c r="BI42" s="77" t="n">
        <f aca="false">IF($D42="","",YEAR($AI42))</f>
        <v>2026</v>
      </c>
      <c r="BJ42" s="77" t="n">
        <f aca="false">IF($D42="","",YEAR($AJ42))</f>
        <v>2028</v>
      </c>
      <c r="BK42" s="77" t="n">
        <f aca="false">IF($D42="","",YEAR($AH42))</f>
        <v>2024</v>
      </c>
      <c r="BL42" s="78" t="n">
        <v>1990</v>
      </c>
      <c r="BM42" s="44" t="n">
        <f aca="false">IF($AT42=1,$P42+(1000-ROW())/1000000,0)</f>
        <v>16000000.000958</v>
      </c>
    </row>
    <row r="43" customFormat="false" ht="15" hidden="false" customHeight="false" outlineLevel="0" collapsed="false">
      <c r="B43" s="60" t="n">
        <v>39</v>
      </c>
      <c r="C43" s="61" t="n">
        <v>30269</v>
      </c>
      <c r="D43" s="62" t="s">
        <v>392</v>
      </c>
      <c r="E43" s="62" t="s">
        <v>72</v>
      </c>
      <c r="F43" s="62" t="s">
        <v>72</v>
      </c>
      <c r="G43" s="62" t="s">
        <v>86</v>
      </c>
      <c r="H43" s="62" t="s">
        <v>393</v>
      </c>
      <c r="I43" s="63" t="s">
        <v>92</v>
      </c>
      <c r="J43" s="63" t="s">
        <v>92</v>
      </c>
      <c r="K43" s="63" t="s">
        <v>306</v>
      </c>
      <c r="L43" s="60" t="n">
        <v>304</v>
      </c>
      <c r="M43" s="60"/>
      <c r="N43" s="63" t="n">
        <v>1981</v>
      </c>
      <c r="O43" s="63" t="s">
        <v>311</v>
      </c>
      <c r="P43" s="64" t="n">
        <v>14614270</v>
      </c>
      <c r="Q43" s="64" t="n">
        <v>0</v>
      </c>
      <c r="R43" s="64" t="n">
        <v>14614270</v>
      </c>
      <c r="S43" s="64" t="n">
        <v>0</v>
      </c>
      <c r="T43" s="64" t="n">
        <v>15395000</v>
      </c>
      <c r="U43" s="64" t="n">
        <v>25500000</v>
      </c>
      <c r="V43" s="64" t="n">
        <v>25500000</v>
      </c>
      <c r="W43" s="65" t="n">
        <v>0.536159568627451</v>
      </c>
      <c r="X43" s="65" t="n">
        <v>0.603725490196079</v>
      </c>
      <c r="Y43" s="57" t="n">
        <v>0.03</v>
      </c>
      <c r="Z43" s="57" t="n">
        <v>0.04</v>
      </c>
      <c r="AA43" s="57" t="n">
        <v>0</v>
      </c>
      <c r="AB43" s="57" t="n">
        <v>0</v>
      </c>
      <c r="AC43" s="63" t="s">
        <v>308</v>
      </c>
      <c r="AD43" s="57" t="n">
        <v>0.0335</v>
      </c>
      <c r="AE43" s="57" t="n">
        <v>0.0325</v>
      </c>
      <c r="AF43" s="66" t="n">
        <v>46204</v>
      </c>
      <c r="AG43" s="63" t="n">
        <v>6</v>
      </c>
      <c r="AH43" s="66" t="n">
        <v>45657</v>
      </c>
      <c r="AI43" s="66" t="n">
        <v>46023</v>
      </c>
      <c r="AJ43" s="66" t="n">
        <v>46204</v>
      </c>
      <c r="AK43" s="62" t="s">
        <v>117</v>
      </c>
      <c r="AL43" s="64" t="n">
        <v>12403855.170996</v>
      </c>
      <c r="AM43" s="57" t="n">
        <v>0.0183</v>
      </c>
      <c r="AN43" s="62"/>
      <c r="AO43" s="64"/>
      <c r="AP43" s="57"/>
      <c r="AQ43" s="64" t="n">
        <v>2210414.829004</v>
      </c>
      <c r="AR43" s="65" t="n">
        <v>0.155295572634252</v>
      </c>
      <c r="AT43" s="26" t="n">
        <f aca="false">IF($D43="",0,IF(OR(StratFilter="All Loans",$E43=StratFilter),1,0))</f>
        <v>1</v>
      </c>
      <c r="AU43" s="18" t="str">
        <f aca="false">IF($D43="","",IFERROR(VLOOKUP(TRIM($K43),PropTypeMap,2,FALSE()),"Unmapped"))</f>
        <v>Multifamily</v>
      </c>
      <c r="AV43" s="21" t="str">
        <f aca="false">IF($D43="","",IFERROR(VLOOKUP($J43,RegionMap,2,FALSE()),"Unmapped"))</f>
        <v>Southwest</v>
      </c>
      <c r="AW43" s="21" t="str">
        <f aca="false">IF($D43="","",IF($AC43="SOFR","Floating (SOFR)","Fixed / All-In"))</f>
        <v>Floating (SOFR)</v>
      </c>
      <c r="AX43" s="24" t="n">
        <f aca="false">IF($D43="","",$AD43+SOFR)</f>
        <v>0.07</v>
      </c>
      <c r="AY43" s="21" t="str">
        <f aca="false">IF($D43="","",IF($AF43="Waived","Waived",IF(ISNUMBER($AF43),IF($AF43&gt;AsOfDate,"In Place","Expired"),"None Reported")))</f>
        <v>In Place</v>
      </c>
      <c r="AZ43" s="21" t="str">
        <f aca="false">IF($D43="","",IF(ISNUMBER($AG43),IF($AG43=0,"None",$AG43&amp;" Months"),IF($AG43="","None Reported",$AG43)))</f>
        <v>6 Months</v>
      </c>
      <c r="BA43" s="18" t="str">
        <f aca="false">IF($D43="","",IF($AK43="","Unlevered",$AK43))</f>
        <v>GS CRE Notes 2025-FL4</v>
      </c>
      <c r="BB43" s="22" t="n">
        <f aca="false">IF($D43="","",SUM($AL43,$AO43))</f>
        <v>12403855.170996</v>
      </c>
      <c r="BC43" s="23" t="n">
        <f aca="false">IF($D43="","",IF($P43&gt;0,$BB43/$P43,0))</f>
        <v>0.848749555810588</v>
      </c>
      <c r="BD43" s="25" t="n">
        <f aca="false">IF($D43="","",(AsOfDate-$AH43)/DaysPerMonth)</f>
        <v>17.9383983572895</v>
      </c>
      <c r="BE43" s="25" t="n">
        <f aca="false">IF($D43="","",($AI43-AsOfDate)/DaysPerMonth)</f>
        <v>-5.91375770020534</v>
      </c>
      <c r="BF43" s="25" t="n">
        <f aca="false">IF($D43="","",($AJ43-AsOfDate)/DaysPerMonth)</f>
        <v>0.0328542094455852</v>
      </c>
      <c r="BG43" s="25" t="n">
        <f aca="false">IF($D43="","",MAX(0,$BE43))</f>
        <v>0</v>
      </c>
      <c r="BH43" s="25" t="n">
        <f aca="false">IF($D43="","",MAX(0,$BF43))</f>
        <v>0.0328542094455852</v>
      </c>
      <c r="BI43" s="67" t="n">
        <f aca="false">IF($D43="","",YEAR($AI43))</f>
        <v>2026</v>
      </c>
      <c r="BJ43" s="67" t="n">
        <f aca="false">IF($D43="","",YEAR($AJ43))</f>
        <v>2026</v>
      </c>
      <c r="BK43" s="67" t="n">
        <f aca="false">IF($D43="","",YEAR($AH43))</f>
        <v>2024</v>
      </c>
      <c r="BL43" s="68" t="n">
        <v>1981</v>
      </c>
      <c r="BM43" s="26" t="n">
        <f aca="false">IF($AT43=1,$P43+(1000-ROW())/1000000,0)</f>
        <v>14614270.000957</v>
      </c>
    </row>
    <row r="44" customFormat="false" ht="15" hidden="false" customHeight="false" outlineLevel="0" collapsed="false">
      <c r="B44" s="69" t="n">
        <v>40</v>
      </c>
      <c r="C44" s="70" t="n">
        <v>30231</v>
      </c>
      <c r="D44" s="71" t="s">
        <v>394</v>
      </c>
      <c r="E44" s="71" t="s">
        <v>72</v>
      </c>
      <c r="F44" s="71" t="s">
        <v>72</v>
      </c>
      <c r="G44" s="71" t="s">
        <v>87</v>
      </c>
      <c r="H44" s="71" t="s">
        <v>305</v>
      </c>
      <c r="I44" s="72" t="s">
        <v>93</v>
      </c>
      <c r="J44" s="72" t="s">
        <v>93</v>
      </c>
      <c r="K44" s="72" t="s">
        <v>306</v>
      </c>
      <c r="L44" s="69" t="n">
        <v>24</v>
      </c>
      <c r="M44" s="69"/>
      <c r="N44" s="72" t="n">
        <v>1920</v>
      </c>
      <c r="O44" s="72" t="n">
        <v>2013</v>
      </c>
      <c r="P44" s="73" t="n">
        <v>15200000</v>
      </c>
      <c r="Q44" s="73" t="n">
        <v>0</v>
      </c>
      <c r="R44" s="73" t="n">
        <v>15200000</v>
      </c>
      <c r="S44" s="73" t="n">
        <v>0</v>
      </c>
      <c r="T44" s="73" t="n">
        <v>15200000</v>
      </c>
      <c r="U44" s="73" t="n">
        <v>22600000</v>
      </c>
      <c r="V44" s="73" t="n">
        <v>28100000</v>
      </c>
      <c r="W44" s="74" t="n">
        <v>0.672566371681416</v>
      </c>
      <c r="X44" s="74" t="n">
        <v>0.540925266903915</v>
      </c>
      <c r="Y44" s="75" t="n">
        <v>0.0365</v>
      </c>
      <c r="Z44" s="75" t="n">
        <v>0.0375</v>
      </c>
      <c r="AA44" s="75" t="n">
        <v>0</v>
      </c>
      <c r="AB44" s="75" t="n">
        <v>0</v>
      </c>
      <c r="AC44" s="72" t="s">
        <v>308</v>
      </c>
      <c r="AD44" s="75" t="n">
        <v>0.0375</v>
      </c>
      <c r="AE44" s="75" t="n">
        <v>0.0375</v>
      </c>
      <c r="AF44" s="76" t="n">
        <v>46419</v>
      </c>
      <c r="AG44" s="72" t="n">
        <v>6</v>
      </c>
      <c r="AH44" s="76" t="n">
        <v>45309</v>
      </c>
      <c r="AI44" s="76" t="n">
        <v>46082</v>
      </c>
      <c r="AJ44" s="76" t="n">
        <v>46813</v>
      </c>
      <c r="AK44" s="71" t="s">
        <v>117</v>
      </c>
      <c r="AL44" s="73" t="n">
        <v>12900993.2512</v>
      </c>
      <c r="AM44" s="75" t="n">
        <v>0.0183</v>
      </c>
      <c r="AN44" s="71"/>
      <c r="AO44" s="73"/>
      <c r="AP44" s="75"/>
      <c r="AQ44" s="73" t="n">
        <v>2299006.7488</v>
      </c>
      <c r="AR44" s="74" t="n">
        <v>0.181741776118026</v>
      </c>
      <c r="AT44" s="44" t="n">
        <f aca="false">IF($D44="",0,IF(OR(StratFilter="All Loans",$E44=StratFilter),1,0))</f>
        <v>1</v>
      </c>
      <c r="AU44" s="27" t="str">
        <f aca="false">IF($D44="","",IFERROR(VLOOKUP(TRIM($K44),PropTypeMap,2,FALSE()),"Unmapped"))</f>
        <v>Multifamily</v>
      </c>
      <c r="AV44" s="30" t="str">
        <f aca="false">IF($D44="","",IFERROR(VLOOKUP($J44,RegionMap,2,FALSE()),"Unmapped"))</f>
        <v>Northeast</v>
      </c>
      <c r="AW44" s="30" t="str">
        <f aca="false">IF($D44="","",IF($AC44="SOFR","Floating (SOFR)","Fixed / All-In"))</f>
        <v>Floating (SOFR)</v>
      </c>
      <c r="AX44" s="33" t="n">
        <f aca="false">IF($D44="","",$AD44+SOFR)</f>
        <v>0.074</v>
      </c>
      <c r="AY44" s="30" t="str">
        <f aca="false">IF($D44="","",IF($AF44="Waived","Waived",IF(ISNUMBER($AF44),IF($AF44&gt;AsOfDate,"In Place","Expired"),"None Reported")))</f>
        <v>In Place</v>
      </c>
      <c r="AZ44" s="30" t="str">
        <f aca="false">IF($D44="","",IF(ISNUMBER($AG44),IF($AG44=0,"None",$AG44&amp;" Months"),IF($AG44="","None Reported",$AG44)))</f>
        <v>6 Months</v>
      </c>
      <c r="BA44" s="27" t="str">
        <f aca="false">IF($D44="","",IF($AK44="","Unlevered",$AK44))</f>
        <v>GS CRE Notes 2025-FL4</v>
      </c>
      <c r="BB44" s="31" t="n">
        <f aca="false">IF($D44="","",SUM($AL44,$AO44))</f>
        <v>12900993.2512</v>
      </c>
      <c r="BC44" s="32" t="n">
        <f aca="false">IF($D44="","",IF($P44&gt;0,$BB44/$P44,0))</f>
        <v>0.848749556</v>
      </c>
      <c r="BD44" s="34" t="n">
        <f aca="false">IF($D44="","",(AsOfDate-$AH44)/DaysPerMonth)</f>
        <v>29.3716632443532</v>
      </c>
      <c r="BE44" s="34" t="n">
        <f aca="false">IF($D44="","",($AI44-AsOfDate)/DaysPerMonth)</f>
        <v>-3.97535934291581</v>
      </c>
      <c r="BF44" s="34" t="n">
        <f aca="false">IF($D44="","",($AJ44-AsOfDate)/DaysPerMonth)</f>
        <v>20.041067761807</v>
      </c>
      <c r="BG44" s="34" t="n">
        <f aca="false">IF($D44="","",MAX(0,$BE44))</f>
        <v>0</v>
      </c>
      <c r="BH44" s="34" t="n">
        <f aca="false">IF($D44="","",MAX(0,$BF44))</f>
        <v>20.041067761807</v>
      </c>
      <c r="BI44" s="77" t="n">
        <f aca="false">IF($D44="","",YEAR($AI44))</f>
        <v>2026</v>
      </c>
      <c r="BJ44" s="77" t="n">
        <f aca="false">IF($D44="","",YEAR($AJ44))</f>
        <v>2028</v>
      </c>
      <c r="BK44" s="77" t="n">
        <f aca="false">IF($D44="","",YEAR($AH44))</f>
        <v>2024</v>
      </c>
      <c r="BL44" s="78" t="n">
        <v>1920</v>
      </c>
      <c r="BM44" s="44" t="n">
        <f aca="false">IF($AT44=1,$P44+(1000-ROW())/1000000,0)</f>
        <v>15200000.000956</v>
      </c>
    </row>
    <row r="45" customFormat="false" ht="15" hidden="false" customHeight="false" outlineLevel="0" collapsed="false">
      <c r="B45" s="60" t="n">
        <v>41</v>
      </c>
      <c r="C45" s="61" t="n">
        <v>30335</v>
      </c>
      <c r="D45" s="62" t="s">
        <v>395</v>
      </c>
      <c r="E45" s="62" t="s">
        <v>72</v>
      </c>
      <c r="F45" s="62" t="s">
        <v>72</v>
      </c>
      <c r="G45" s="62" t="s">
        <v>84</v>
      </c>
      <c r="H45" s="62" t="s">
        <v>396</v>
      </c>
      <c r="I45" s="63" t="s">
        <v>93</v>
      </c>
      <c r="J45" s="63" t="s">
        <v>93</v>
      </c>
      <c r="K45" s="63" t="s">
        <v>306</v>
      </c>
      <c r="L45" s="60" t="n">
        <v>138</v>
      </c>
      <c r="M45" s="60"/>
      <c r="N45" s="63" t="n">
        <v>1967</v>
      </c>
      <c r="O45" s="63" t="s">
        <v>311</v>
      </c>
      <c r="P45" s="64" t="n">
        <v>13001444</v>
      </c>
      <c r="Q45" s="64" t="n">
        <v>0</v>
      </c>
      <c r="R45" s="64" t="n">
        <v>13001444</v>
      </c>
      <c r="S45" s="64" t="n">
        <v>0</v>
      </c>
      <c r="T45" s="64" t="n">
        <v>13000000</v>
      </c>
      <c r="U45" s="64" t="n">
        <v>16700000</v>
      </c>
      <c r="V45" s="64" t="n">
        <v>18300000</v>
      </c>
      <c r="W45" s="65" t="n">
        <v>0.778443113772455</v>
      </c>
      <c r="X45" s="65" t="n">
        <v>0.710382513661202</v>
      </c>
      <c r="Y45" s="57" t="n">
        <v>0.035</v>
      </c>
      <c r="Z45" s="57" t="n">
        <v>0.03</v>
      </c>
      <c r="AA45" s="57"/>
      <c r="AB45" s="57"/>
      <c r="AC45" s="63" t="s">
        <v>308</v>
      </c>
      <c r="AD45" s="57" t="n">
        <v>0.035</v>
      </c>
      <c r="AE45" s="57" t="n">
        <v>0.0425</v>
      </c>
      <c r="AF45" s="66" t="n">
        <v>46901</v>
      </c>
      <c r="AG45" s="63" t="n">
        <v>6</v>
      </c>
      <c r="AH45" s="66" t="n">
        <v>46170</v>
      </c>
      <c r="AI45" s="66" t="n">
        <v>47088</v>
      </c>
      <c r="AJ45" s="66" t="n">
        <v>47270</v>
      </c>
      <c r="AK45" s="62" t="s">
        <v>117</v>
      </c>
      <c r="AL45" s="64" t="n">
        <v>11033744</v>
      </c>
      <c r="AM45" s="57" t="n">
        <v>0.0183</v>
      </c>
      <c r="AN45" s="62"/>
      <c r="AO45" s="64"/>
      <c r="AP45" s="57"/>
      <c r="AQ45" s="64" t="n">
        <v>1967700</v>
      </c>
      <c r="AR45" s="65" t="n">
        <v>0.165144114854907</v>
      </c>
      <c r="AT45" s="26" t="n">
        <f aca="false">IF($D45="",0,IF(OR(StratFilter="All Loans",$E45=StratFilter),1,0))</f>
        <v>1</v>
      </c>
      <c r="AU45" s="18" t="str">
        <f aca="false">IF($D45="","",IFERROR(VLOOKUP(TRIM($K45),PropTypeMap,2,FALSE()),"Unmapped"))</f>
        <v>Multifamily</v>
      </c>
      <c r="AV45" s="21" t="str">
        <f aca="false">IF($D45="","",IFERROR(VLOOKUP($J45,RegionMap,2,FALSE()),"Unmapped"))</f>
        <v>Northeast</v>
      </c>
      <c r="AW45" s="21" t="str">
        <f aca="false">IF($D45="","",IF($AC45="SOFR","Floating (SOFR)","Fixed / All-In"))</f>
        <v>Floating (SOFR)</v>
      </c>
      <c r="AX45" s="24" t="n">
        <f aca="false">IF($D45="","",$AD45+SOFR)</f>
        <v>0.0715</v>
      </c>
      <c r="AY45" s="21" t="str">
        <f aca="false">IF($D45="","",IF($AF45="Waived","Waived",IF(ISNUMBER($AF45),IF($AF45&gt;AsOfDate,"In Place","Expired"),"None Reported")))</f>
        <v>In Place</v>
      </c>
      <c r="AZ45" s="21" t="str">
        <f aca="false">IF($D45="","",IF(ISNUMBER($AG45),IF($AG45=0,"None",$AG45&amp;" Months"),IF($AG45="","None Reported",$AG45)))</f>
        <v>6 Months</v>
      </c>
      <c r="BA45" s="18" t="str">
        <f aca="false">IF($D45="","",IF($AK45="","Unlevered",$AK45))</f>
        <v>GS CRE Notes 2025-FL4</v>
      </c>
      <c r="BB45" s="22" t="n">
        <f aca="false">IF($D45="","",SUM($AL45,$AO45))</f>
        <v>11033744</v>
      </c>
      <c r="BC45" s="23" t="n">
        <f aca="false">IF($D45="","",IF($P45&gt;0,$BB45/$P45,0))</f>
        <v>0.848655272445122</v>
      </c>
      <c r="BD45" s="25" t="n">
        <f aca="false">IF($D45="","",(AsOfDate-$AH45)/DaysPerMonth)</f>
        <v>1.08418891170431</v>
      </c>
      <c r="BE45" s="25" t="n">
        <f aca="false">IF($D45="","",($AI45-AsOfDate)/DaysPerMonth)</f>
        <v>29.0759753593429</v>
      </c>
      <c r="BF45" s="25" t="n">
        <f aca="false">IF($D45="","",($AJ45-AsOfDate)/DaysPerMonth)</f>
        <v>35.0554414784394</v>
      </c>
      <c r="BG45" s="25" t="n">
        <f aca="false">IF($D45="","",MAX(0,$BE45))</f>
        <v>29.0759753593429</v>
      </c>
      <c r="BH45" s="25" t="n">
        <f aca="false">IF($D45="","",MAX(0,$BF45))</f>
        <v>35.0554414784394</v>
      </c>
      <c r="BI45" s="67" t="n">
        <f aca="false">IF($D45="","",YEAR($AI45))</f>
        <v>2028</v>
      </c>
      <c r="BJ45" s="67" t="n">
        <f aca="false">IF($D45="","",YEAR($AJ45))</f>
        <v>2029</v>
      </c>
      <c r="BK45" s="67" t="n">
        <f aca="false">IF($D45="","",YEAR($AH45))</f>
        <v>2026</v>
      </c>
      <c r="BL45" s="68" t="n">
        <v>1967</v>
      </c>
      <c r="BM45" s="26" t="n">
        <f aca="false">IF($AT45=1,$P45+(1000-ROW())/1000000,0)</f>
        <v>13001444.000955</v>
      </c>
    </row>
    <row r="46" customFormat="false" ht="15" hidden="false" customHeight="false" outlineLevel="0" collapsed="false">
      <c r="B46" s="69" t="n">
        <v>42</v>
      </c>
      <c r="C46" s="70" t="n">
        <v>30266</v>
      </c>
      <c r="D46" s="71" t="s">
        <v>397</v>
      </c>
      <c r="E46" s="71" t="s">
        <v>72</v>
      </c>
      <c r="F46" s="71" t="s">
        <v>72</v>
      </c>
      <c r="G46" s="71" t="s">
        <v>87</v>
      </c>
      <c r="H46" s="71" t="s">
        <v>316</v>
      </c>
      <c r="I46" s="72" t="s">
        <v>317</v>
      </c>
      <c r="J46" s="72" t="s">
        <v>317</v>
      </c>
      <c r="K46" s="72" t="s">
        <v>306</v>
      </c>
      <c r="L46" s="69" t="n">
        <v>130</v>
      </c>
      <c r="M46" s="69"/>
      <c r="N46" s="72" t="n">
        <v>1912</v>
      </c>
      <c r="O46" s="72" t="n">
        <v>2009</v>
      </c>
      <c r="P46" s="73" t="n">
        <v>9500000</v>
      </c>
      <c r="Q46" s="73" t="n">
        <v>0</v>
      </c>
      <c r="R46" s="73" t="n">
        <v>9500000</v>
      </c>
      <c r="S46" s="73" t="n">
        <v>0</v>
      </c>
      <c r="T46" s="73" t="n">
        <v>9500000</v>
      </c>
      <c r="U46" s="73" t="n">
        <v>21100000</v>
      </c>
      <c r="V46" s="73" t="n">
        <v>32600000</v>
      </c>
      <c r="W46" s="74" t="n">
        <v>0.450236966824645</v>
      </c>
      <c r="X46" s="74" t="n">
        <v>0.291411042944785</v>
      </c>
      <c r="Y46" s="75" t="n">
        <v>0.0295</v>
      </c>
      <c r="Z46" s="75" t="n">
        <v>0.04</v>
      </c>
      <c r="AA46" s="75" t="n">
        <v>0</v>
      </c>
      <c r="AB46" s="75" t="n">
        <v>0</v>
      </c>
      <c r="AC46" s="72" t="s">
        <v>308</v>
      </c>
      <c r="AD46" s="75" t="n">
        <v>0.033</v>
      </c>
      <c r="AE46" s="75" t="n">
        <v>0.049</v>
      </c>
      <c r="AF46" s="76" t="n">
        <v>46753</v>
      </c>
      <c r="AG46" s="72" t="n">
        <v>6</v>
      </c>
      <c r="AH46" s="76" t="n">
        <v>45649</v>
      </c>
      <c r="AI46" s="76" t="n">
        <v>46753</v>
      </c>
      <c r="AJ46" s="76" t="n">
        <v>47484</v>
      </c>
      <c r="AK46" s="71" t="s">
        <v>117</v>
      </c>
      <c r="AL46" s="73" t="n">
        <v>8063120.782</v>
      </c>
      <c r="AM46" s="75" t="n">
        <v>0.01832975</v>
      </c>
      <c r="AN46" s="71"/>
      <c r="AO46" s="73"/>
      <c r="AP46" s="75"/>
      <c r="AQ46" s="73" t="n">
        <v>1436879.218</v>
      </c>
      <c r="AR46" s="74" t="n">
        <v>0.151822853702889</v>
      </c>
      <c r="AT46" s="44" t="n">
        <f aca="false">IF($D46="",0,IF(OR(StratFilter="All Loans",$E46=StratFilter),1,0))</f>
        <v>1</v>
      </c>
      <c r="AU46" s="27" t="str">
        <f aca="false">IF($D46="","",IFERROR(VLOOKUP(TRIM($K46),PropTypeMap,2,FALSE()),"Unmapped"))</f>
        <v>Multifamily</v>
      </c>
      <c r="AV46" s="30" t="str">
        <f aca="false">IF($D46="","",IFERROR(VLOOKUP($J46,RegionMap,2,FALSE()),"Unmapped"))</f>
        <v>Mid-Atlantic</v>
      </c>
      <c r="AW46" s="30" t="str">
        <f aca="false">IF($D46="","",IF($AC46="SOFR","Floating (SOFR)","Fixed / All-In"))</f>
        <v>Floating (SOFR)</v>
      </c>
      <c r="AX46" s="33" t="n">
        <f aca="false">IF($D46="","",$AD46+SOFR)</f>
        <v>0.0695</v>
      </c>
      <c r="AY46" s="30" t="str">
        <f aca="false">IF($D46="","",IF($AF46="Waived","Waived",IF(ISNUMBER($AF46),IF($AF46&gt;AsOfDate,"In Place","Expired"),"None Reported")))</f>
        <v>In Place</v>
      </c>
      <c r="AZ46" s="30" t="str">
        <f aca="false">IF($D46="","",IF(ISNUMBER($AG46),IF($AG46=0,"None",$AG46&amp;" Months"),IF($AG46="","None Reported",$AG46)))</f>
        <v>6 Months</v>
      </c>
      <c r="BA46" s="27" t="str">
        <f aca="false">IF($D46="","",IF($AK46="","Unlevered",$AK46))</f>
        <v>GS CRE Notes 2025-FL4</v>
      </c>
      <c r="BB46" s="31" t="n">
        <f aca="false">IF($D46="","",SUM($AL46,$AO46))</f>
        <v>8063120.782</v>
      </c>
      <c r="BC46" s="32" t="n">
        <f aca="false">IF($D46="","",IF($P46&gt;0,$BB46/$P46,0))</f>
        <v>0.848749556</v>
      </c>
      <c r="BD46" s="34" t="n">
        <f aca="false">IF($D46="","",(AsOfDate-$AH46)/DaysPerMonth)</f>
        <v>18.2012320328542</v>
      </c>
      <c r="BE46" s="34" t="n">
        <f aca="false">IF($D46="","",($AI46-AsOfDate)/DaysPerMonth)</f>
        <v>18.0698151950719</v>
      </c>
      <c r="BF46" s="34" t="n">
        <f aca="false">IF($D46="","",($AJ46-AsOfDate)/DaysPerMonth)</f>
        <v>42.0862422997947</v>
      </c>
      <c r="BG46" s="34" t="n">
        <f aca="false">IF($D46="","",MAX(0,$BE46))</f>
        <v>18.0698151950719</v>
      </c>
      <c r="BH46" s="34" t="n">
        <f aca="false">IF($D46="","",MAX(0,$BF46))</f>
        <v>42.0862422997947</v>
      </c>
      <c r="BI46" s="77" t="n">
        <f aca="false">IF($D46="","",YEAR($AI46))</f>
        <v>2028</v>
      </c>
      <c r="BJ46" s="77" t="n">
        <f aca="false">IF($D46="","",YEAR($AJ46))</f>
        <v>2030</v>
      </c>
      <c r="BK46" s="77" t="n">
        <f aca="false">IF($D46="","",YEAR($AH46))</f>
        <v>2024</v>
      </c>
      <c r="BL46" s="78" t="n">
        <v>1912</v>
      </c>
      <c r="BM46" s="44" t="n">
        <f aca="false">IF($AT46=1,$P46+(1000-ROW())/1000000,0)</f>
        <v>9500000.000954</v>
      </c>
    </row>
    <row r="47" customFormat="false" ht="15" hidden="false" customHeight="false" outlineLevel="0" collapsed="false">
      <c r="B47" s="60" t="n">
        <v>43</v>
      </c>
      <c r="C47" s="61" t="n">
        <v>30271</v>
      </c>
      <c r="D47" s="62" t="s">
        <v>398</v>
      </c>
      <c r="E47" s="62" t="s">
        <v>72</v>
      </c>
      <c r="F47" s="62" t="s">
        <v>72</v>
      </c>
      <c r="G47" s="62" t="s">
        <v>86</v>
      </c>
      <c r="H47" s="62" t="s">
        <v>399</v>
      </c>
      <c r="I47" s="63" t="s">
        <v>92</v>
      </c>
      <c r="J47" s="63" t="s">
        <v>92</v>
      </c>
      <c r="K47" s="63" t="s">
        <v>306</v>
      </c>
      <c r="L47" s="60" t="n">
        <v>134</v>
      </c>
      <c r="M47" s="60"/>
      <c r="N47" s="63" t="n">
        <v>1984</v>
      </c>
      <c r="O47" s="63" t="s">
        <v>311</v>
      </c>
      <c r="P47" s="64" t="n">
        <v>7146230</v>
      </c>
      <c r="Q47" s="64" t="n">
        <v>0</v>
      </c>
      <c r="R47" s="64" t="n">
        <v>7146230</v>
      </c>
      <c r="S47" s="64" t="n">
        <v>0</v>
      </c>
      <c r="T47" s="64" t="n">
        <v>7528000</v>
      </c>
      <c r="U47" s="64" t="n">
        <v>13950000</v>
      </c>
      <c r="V47" s="64" t="n">
        <v>14250000</v>
      </c>
      <c r="W47" s="65" t="n">
        <v>0.487076129032258</v>
      </c>
      <c r="X47" s="65" t="n">
        <v>0.528280701754386</v>
      </c>
      <c r="Y47" s="57" t="n">
        <v>0.03</v>
      </c>
      <c r="Z47" s="57" t="n">
        <v>0.04</v>
      </c>
      <c r="AA47" s="57" t="n">
        <v>0</v>
      </c>
      <c r="AB47" s="57" t="n">
        <v>0</v>
      </c>
      <c r="AC47" s="63" t="s">
        <v>308</v>
      </c>
      <c r="AD47" s="57" t="n">
        <v>0.0335</v>
      </c>
      <c r="AE47" s="57" t="n">
        <v>0.0325</v>
      </c>
      <c r="AF47" s="66" t="n">
        <v>46204</v>
      </c>
      <c r="AG47" s="63" t="n">
        <v>6</v>
      </c>
      <c r="AH47" s="66" t="n">
        <v>45657</v>
      </c>
      <c r="AI47" s="66" t="n">
        <v>46023</v>
      </c>
      <c r="AJ47" s="66" t="n">
        <v>46204</v>
      </c>
      <c r="AK47" s="62" t="s">
        <v>117</v>
      </c>
      <c r="AL47" s="64" t="n">
        <v>6065359.53822028</v>
      </c>
      <c r="AM47" s="57" t="n">
        <v>0.0183</v>
      </c>
      <c r="AN47" s="62"/>
      <c r="AO47" s="64"/>
      <c r="AP47" s="57"/>
      <c r="AQ47" s="64" t="n">
        <v>1080870.46177972</v>
      </c>
      <c r="AR47" s="65" t="n">
        <v>0.155295572634251</v>
      </c>
      <c r="AT47" s="26" t="n">
        <f aca="false">IF($D47="",0,IF(OR(StratFilter="All Loans",$E47=StratFilter),1,0))</f>
        <v>1</v>
      </c>
      <c r="AU47" s="18" t="str">
        <f aca="false">IF($D47="","",IFERROR(VLOOKUP(TRIM($K47),PropTypeMap,2,FALSE()),"Unmapped"))</f>
        <v>Multifamily</v>
      </c>
      <c r="AV47" s="21" t="str">
        <f aca="false">IF($D47="","",IFERROR(VLOOKUP($J47,RegionMap,2,FALSE()),"Unmapped"))</f>
        <v>Southwest</v>
      </c>
      <c r="AW47" s="21" t="str">
        <f aca="false">IF($D47="","",IF($AC47="SOFR","Floating (SOFR)","Fixed / All-In"))</f>
        <v>Floating (SOFR)</v>
      </c>
      <c r="AX47" s="24" t="n">
        <f aca="false">IF($D47="","",$AD47+SOFR)</f>
        <v>0.07</v>
      </c>
      <c r="AY47" s="21" t="str">
        <f aca="false">IF($D47="","",IF($AF47="Waived","Waived",IF(ISNUMBER($AF47),IF($AF47&gt;AsOfDate,"In Place","Expired"),"None Reported")))</f>
        <v>In Place</v>
      </c>
      <c r="AZ47" s="21" t="str">
        <f aca="false">IF($D47="","",IF(ISNUMBER($AG47),IF($AG47=0,"None",$AG47&amp;" Months"),IF($AG47="","None Reported",$AG47)))</f>
        <v>6 Months</v>
      </c>
      <c r="BA47" s="18" t="str">
        <f aca="false">IF($D47="","",IF($AK47="","Unlevered",$AK47))</f>
        <v>GS CRE Notes 2025-FL4</v>
      </c>
      <c r="BB47" s="22" t="n">
        <f aca="false">IF($D47="","",SUM($AL47,$AO47))</f>
        <v>6065359.53822028</v>
      </c>
      <c r="BC47" s="23" t="n">
        <f aca="false">IF($D47="","",IF($P47&gt;0,$BB47/$P47,0))</f>
        <v>0.848749555810585</v>
      </c>
      <c r="BD47" s="25" t="n">
        <f aca="false">IF($D47="","",(AsOfDate-$AH47)/DaysPerMonth)</f>
        <v>17.9383983572895</v>
      </c>
      <c r="BE47" s="25" t="n">
        <f aca="false">IF($D47="","",($AI47-AsOfDate)/DaysPerMonth)</f>
        <v>-5.91375770020534</v>
      </c>
      <c r="BF47" s="25" t="n">
        <f aca="false">IF($D47="","",($AJ47-AsOfDate)/DaysPerMonth)</f>
        <v>0.0328542094455852</v>
      </c>
      <c r="BG47" s="25" t="n">
        <f aca="false">IF($D47="","",MAX(0,$BE47))</f>
        <v>0</v>
      </c>
      <c r="BH47" s="25" t="n">
        <f aca="false">IF($D47="","",MAX(0,$BF47))</f>
        <v>0.0328542094455852</v>
      </c>
      <c r="BI47" s="67" t="n">
        <f aca="false">IF($D47="","",YEAR($AI47))</f>
        <v>2026</v>
      </c>
      <c r="BJ47" s="67" t="n">
        <f aca="false">IF($D47="","",YEAR($AJ47))</f>
        <v>2026</v>
      </c>
      <c r="BK47" s="67" t="n">
        <f aca="false">IF($D47="","",YEAR($AH47))</f>
        <v>2024</v>
      </c>
      <c r="BL47" s="68" t="n">
        <v>1984</v>
      </c>
      <c r="BM47" s="26" t="n">
        <f aca="false">IF($AT47=1,$P47+(1000-ROW())/1000000,0)</f>
        <v>7146230.000953</v>
      </c>
    </row>
    <row r="48" customFormat="false" ht="15" hidden="false" customHeight="false" outlineLevel="0" collapsed="false">
      <c r="B48" s="69" t="n">
        <v>44</v>
      </c>
      <c r="C48" s="70" t="n">
        <v>30136</v>
      </c>
      <c r="D48" s="71" t="s">
        <v>400</v>
      </c>
      <c r="E48" s="71" t="s">
        <v>72</v>
      </c>
      <c r="F48" s="71" t="s">
        <v>72</v>
      </c>
      <c r="G48" s="71" t="s">
        <v>88</v>
      </c>
      <c r="H48" s="71" t="s">
        <v>401</v>
      </c>
      <c r="I48" s="72" t="s">
        <v>94</v>
      </c>
      <c r="J48" s="72" t="s">
        <v>94</v>
      </c>
      <c r="K48" s="72" t="s">
        <v>306</v>
      </c>
      <c r="L48" s="69" t="n">
        <v>296</v>
      </c>
      <c r="M48" s="69"/>
      <c r="N48" s="72" t="n">
        <v>1986</v>
      </c>
      <c r="O48" s="72" t="n">
        <v>2018</v>
      </c>
      <c r="P48" s="73" t="n">
        <v>64736000</v>
      </c>
      <c r="Q48" s="73" t="n">
        <v>0</v>
      </c>
      <c r="R48" s="73" t="n">
        <v>64736000</v>
      </c>
      <c r="S48" s="73" t="n">
        <v>0</v>
      </c>
      <c r="T48" s="73" t="n">
        <v>64736000</v>
      </c>
      <c r="U48" s="73" t="n">
        <v>71000000</v>
      </c>
      <c r="V48" s="73" t="n">
        <v>88500000</v>
      </c>
      <c r="W48" s="74" t="n">
        <v>0.870084507042254</v>
      </c>
      <c r="X48" s="74" t="n">
        <v>0.731480225988701</v>
      </c>
      <c r="Y48" s="75" t="n">
        <v>0.035</v>
      </c>
      <c r="Z48" s="75" t="n">
        <v>0.0015</v>
      </c>
      <c r="AA48" s="75" t="n">
        <v>0.001</v>
      </c>
      <c r="AB48" s="75" t="n">
        <v>0</v>
      </c>
      <c r="AC48" s="72" t="s">
        <v>308</v>
      </c>
      <c r="AD48" s="75" t="n">
        <v>0.036</v>
      </c>
      <c r="AE48" s="75"/>
      <c r="AF48" s="76"/>
      <c r="AG48" s="72" t="n">
        <v>6</v>
      </c>
      <c r="AH48" s="76" t="n">
        <v>44617</v>
      </c>
      <c r="AI48" s="76" t="n">
        <v>45352</v>
      </c>
      <c r="AJ48" s="76" t="n">
        <v>46235</v>
      </c>
      <c r="AK48" s="71" t="s">
        <v>125</v>
      </c>
      <c r="AL48" s="73" t="n">
        <v>38841600</v>
      </c>
      <c r="AM48" s="75" t="n">
        <v>0.0233</v>
      </c>
      <c r="AN48" s="71"/>
      <c r="AO48" s="73"/>
      <c r="AP48" s="75"/>
      <c r="AQ48" s="73" t="n">
        <v>25894400</v>
      </c>
      <c r="AR48" s="74" t="n">
        <v>0.09155</v>
      </c>
      <c r="AT48" s="44" t="n">
        <f aca="false">IF($D48="",0,IF(OR(StratFilter="All Loans",$E48=StratFilter),1,0))</f>
        <v>1</v>
      </c>
      <c r="AU48" s="27" t="str">
        <f aca="false">IF($D48="","",IFERROR(VLOOKUP(TRIM($K48),PropTypeMap,2,FALSE()),"Unmapped"))</f>
        <v>Multifamily</v>
      </c>
      <c r="AV48" s="30" t="str">
        <f aca="false">IF($D48="","",IFERROR(VLOOKUP($J48,RegionMap,2,FALSE()),"Unmapped"))</f>
        <v>Pacific</v>
      </c>
      <c r="AW48" s="30" t="str">
        <f aca="false">IF($D48="","",IF($AC48="SOFR","Floating (SOFR)","Fixed / All-In"))</f>
        <v>Floating (SOFR)</v>
      </c>
      <c r="AX48" s="33" t="n">
        <f aca="false">IF($D48="","",$AD48+SOFR)</f>
        <v>0.0725</v>
      </c>
      <c r="AY48" s="30" t="str">
        <f aca="false">IF($D48="","",IF($AF48="Waived","Waived",IF(ISNUMBER($AF48),IF($AF48&gt;AsOfDate,"In Place","Expired"),"None Reported")))</f>
        <v>None Reported</v>
      </c>
      <c r="AZ48" s="30" t="str">
        <f aca="false">IF($D48="","",IF(ISNUMBER($AG48),IF($AG48=0,"None",$AG48&amp;" Months"),IF($AG48="","None Reported",$AG48)))</f>
        <v>6 Months</v>
      </c>
      <c r="BA48" s="27" t="str">
        <f aca="false">IF($D48="","",IF($AK48="","Unlevered",$AK48))</f>
        <v>JPMorgan Chase</v>
      </c>
      <c r="BB48" s="31" t="n">
        <f aca="false">IF($D48="","",SUM($AL48,$AO48))</f>
        <v>38841600</v>
      </c>
      <c r="BC48" s="32" t="n">
        <f aca="false">IF($D48="","",IF($P48&gt;0,$BB48/$P48,0))</f>
        <v>0.6</v>
      </c>
      <c r="BD48" s="34" t="n">
        <f aca="false">IF($D48="","",(AsOfDate-$AH48)/DaysPerMonth)</f>
        <v>52.1067761806982</v>
      </c>
      <c r="BE48" s="34" t="n">
        <f aca="false">IF($D48="","",($AI48-AsOfDate)/DaysPerMonth)</f>
        <v>-27.958932238193</v>
      </c>
      <c r="BF48" s="34" t="n">
        <f aca="false">IF($D48="","",($AJ48-AsOfDate)/DaysPerMonth)</f>
        <v>1.05133470225873</v>
      </c>
      <c r="BG48" s="34" t="n">
        <f aca="false">IF($D48="","",MAX(0,$BE48))</f>
        <v>0</v>
      </c>
      <c r="BH48" s="34" t="n">
        <f aca="false">IF($D48="","",MAX(0,$BF48))</f>
        <v>1.05133470225873</v>
      </c>
      <c r="BI48" s="77" t="n">
        <f aca="false">IF($D48="","",YEAR($AI48))</f>
        <v>2024</v>
      </c>
      <c r="BJ48" s="77" t="n">
        <f aca="false">IF($D48="","",YEAR($AJ48))</f>
        <v>2026</v>
      </c>
      <c r="BK48" s="77" t="n">
        <f aca="false">IF($D48="","",YEAR($AH48))</f>
        <v>2022</v>
      </c>
      <c r="BL48" s="78" t="n">
        <v>1986</v>
      </c>
      <c r="BM48" s="44" t="n">
        <f aca="false">IF($AT48=1,$P48+(1000-ROW())/1000000,0)</f>
        <v>64736000.000952</v>
      </c>
    </row>
    <row r="49" customFormat="false" ht="15" hidden="false" customHeight="false" outlineLevel="0" collapsed="false">
      <c r="B49" s="60" t="n">
        <v>45</v>
      </c>
      <c r="C49" s="61" t="n">
        <v>30325</v>
      </c>
      <c r="D49" s="62" t="s">
        <v>402</v>
      </c>
      <c r="E49" s="62" t="s">
        <v>72</v>
      </c>
      <c r="F49" s="62" t="s">
        <v>72</v>
      </c>
      <c r="G49" s="62" t="s">
        <v>87</v>
      </c>
      <c r="H49" s="62" t="s">
        <v>403</v>
      </c>
      <c r="I49" s="63" t="s">
        <v>98</v>
      </c>
      <c r="J49" s="63" t="s">
        <v>98</v>
      </c>
      <c r="K49" s="63" t="s">
        <v>306</v>
      </c>
      <c r="L49" s="60" t="n">
        <v>280</v>
      </c>
      <c r="M49" s="60"/>
      <c r="N49" s="63" t="n">
        <v>1985</v>
      </c>
      <c r="O49" s="63" t="n">
        <v>2023</v>
      </c>
      <c r="P49" s="64" t="n">
        <v>34250000</v>
      </c>
      <c r="Q49" s="64" t="n">
        <v>0</v>
      </c>
      <c r="R49" s="64" t="n">
        <v>34250000</v>
      </c>
      <c r="S49" s="64" t="n">
        <v>0</v>
      </c>
      <c r="T49" s="64" t="n">
        <v>35000000</v>
      </c>
      <c r="U49" s="64" t="n">
        <v>49100000</v>
      </c>
      <c r="V49" s="64" t="n">
        <v>52600000</v>
      </c>
      <c r="W49" s="65" t="n">
        <v>0.69755600814664</v>
      </c>
      <c r="X49" s="65" t="n">
        <v>0.665399239543726</v>
      </c>
      <c r="Y49" s="57" t="n">
        <v>0.0295</v>
      </c>
      <c r="Z49" s="57" t="n">
        <v>0.035</v>
      </c>
      <c r="AA49" s="57" t="n">
        <v>0</v>
      </c>
      <c r="AB49" s="57" t="n">
        <v>0</v>
      </c>
      <c r="AC49" s="63" t="s">
        <v>308</v>
      </c>
      <c r="AD49" s="57" t="n">
        <v>0.0295</v>
      </c>
      <c r="AE49" s="57" t="n">
        <v>0.04</v>
      </c>
      <c r="AF49" s="66" t="n">
        <v>46753</v>
      </c>
      <c r="AG49" s="63" t="n">
        <v>6</v>
      </c>
      <c r="AH49" s="66" t="n">
        <v>46022</v>
      </c>
      <c r="AI49" s="66" t="n">
        <v>46753</v>
      </c>
      <c r="AJ49" s="66" t="n">
        <v>47119</v>
      </c>
      <c r="AK49" s="62" t="s">
        <v>125</v>
      </c>
      <c r="AL49" s="64" t="n">
        <v>27400000</v>
      </c>
      <c r="AM49" s="57" t="n">
        <v>0.0175</v>
      </c>
      <c r="AN49" s="62"/>
      <c r="AO49" s="64"/>
      <c r="AP49" s="57"/>
      <c r="AQ49" s="64" t="n">
        <v>6850000</v>
      </c>
      <c r="AR49" s="65" t="n">
        <v>0.114</v>
      </c>
      <c r="AT49" s="26" t="n">
        <f aca="false">IF($D49="",0,IF(OR(StratFilter="All Loans",$E49=StratFilter),1,0))</f>
        <v>1</v>
      </c>
      <c r="AU49" s="18" t="str">
        <f aca="false">IF($D49="","",IFERROR(VLOOKUP(TRIM($K49),PropTypeMap,2,FALSE()),"Unmapped"))</f>
        <v>Multifamily</v>
      </c>
      <c r="AV49" s="21" t="str">
        <f aca="false">IF($D49="","",IFERROR(VLOOKUP($J49,RegionMap,2,FALSE()),"Unmapped"))</f>
        <v>Southeast</v>
      </c>
      <c r="AW49" s="21" t="str">
        <f aca="false">IF($D49="","",IF($AC49="SOFR","Floating (SOFR)","Fixed / All-In"))</f>
        <v>Floating (SOFR)</v>
      </c>
      <c r="AX49" s="24" t="n">
        <f aca="false">IF($D49="","",$AD49+SOFR)</f>
        <v>0.066</v>
      </c>
      <c r="AY49" s="21" t="str">
        <f aca="false">IF($D49="","",IF($AF49="Waived","Waived",IF(ISNUMBER($AF49),IF($AF49&gt;AsOfDate,"In Place","Expired"),"None Reported")))</f>
        <v>In Place</v>
      </c>
      <c r="AZ49" s="21" t="str">
        <f aca="false">IF($D49="","",IF(ISNUMBER($AG49),IF($AG49=0,"None",$AG49&amp;" Months"),IF($AG49="","None Reported",$AG49)))</f>
        <v>6 Months</v>
      </c>
      <c r="BA49" s="18" t="str">
        <f aca="false">IF($D49="","",IF($AK49="","Unlevered",$AK49))</f>
        <v>JPMorgan Chase</v>
      </c>
      <c r="BB49" s="22" t="n">
        <f aca="false">IF($D49="","",SUM($AL49,$AO49))</f>
        <v>27400000</v>
      </c>
      <c r="BC49" s="23" t="n">
        <f aca="false">IF($D49="","",IF($P49&gt;0,$BB49/$P49,0))</f>
        <v>0.8</v>
      </c>
      <c r="BD49" s="25" t="n">
        <f aca="false">IF($D49="","",(AsOfDate-$AH49)/DaysPerMonth)</f>
        <v>5.94661190965092</v>
      </c>
      <c r="BE49" s="25" t="n">
        <f aca="false">IF($D49="","",($AI49-AsOfDate)/DaysPerMonth)</f>
        <v>18.0698151950719</v>
      </c>
      <c r="BF49" s="25" t="n">
        <f aca="false">IF($D49="","",($AJ49-AsOfDate)/DaysPerMonth)</f>
        <v>30.0944558521561</v>
      </c>
      <c r="BG49" s="25" t="n">
        <f aca="false">IF($D49="","",MAX(0,$BE49))</f>
        <v>18.0698151950719</v>
      </c>
      <c r="BH49" s="25" t="n">
        <f aca="false">IF($D49="","",MAX(0,$BF49))</f>
        <v>30.0944558521561</v>
      </c>
      <c r="BI49" s="67" t="n">
        <f aca="false">IF($D49="","",YEAR($AI49))</f>
        <v>2028</v>
      </c>
      <c r="BJ49" s="67" t="n">
        <f aca="false">IF($D49="","",YEAR($AJ49))</f>
        <v>2029</v>
      </c>
      <c r="BK49" s="67" t="n">
        <f aca="false">IF($D49="","",YEAR($AH49))</f>
        <v>2025</v>
      </c>
      <c r="BL49" s="68" t="n">
        <v>1985</v>
      </c>
      <c r="BM49" s="26" t="n">
        <f aca="false">IF($AT49=1,$P49+(1000-ROW())/1000000,0)</f>
        <v>34250000.000951</v>
      </c>
    </row>
    <row r="50" customFormat="false" ht="15" hidden="false" customHeight="false" outlineLevel="0" collapsed="false">
      <c r="B50" s="69" t="n">
        <v>46</v>
      </c>
      <c r="C50" s="70" t="n">
        <v>30144</v>
      </c>
      <c r="D50" s="71" t="s">
        <v>404</v>
      </c>
      <c r="E50" s="71" t="s">
        <v>72</v>
      </c>
      <c r="F50" s="71" t="s">
        <v>72</v>
      </c>
      <c r="G50" s="71" t="s">
        <v>88</v>
      </c>
      <c r="H50" s="71" t="s">
        <v>399</v>
      </c>
      <c r="I50" s="72" t="s">
        <v>92</v>
      </c>
      <c r="J50" s="72" t="s">
        <v>92</v>
      </c>
      <c r="K50" s="72" t="s">
        <v>306</v>
      </c>
      <c r="L50" s="69" t="n">
        <v>229</v>
      </c>
      <c r="M50" s="69"/>
      <c r="N50" s="72" t="n">
        <v>1979</v>
      </c>
      <c r="O50" s="72" t="n">
        <v>2007</v>
      </c>
      <c r="P50" s="73" t="n">
        <v>25790000</v>
      </c>
      <c r="Q50" s="73" t="n">
        <v>0</v>
      </c>
      <c r="R50" s="73" t="n">
        <v>25790000</v>
      </c>
      <c r="S50" s="73" t="n">
        <v>900000</v>
      </c>
      <c r="T50" s="73" t="n">
        <v>26690000</v>
      </c>
      <c r="U50" s="73" t="n">
        <v>31900000</v>
      </c>
      <c r="V50" s="73" t="n">
        <v>35500000</v>
      </c>
      <c r="W50" s="74" t="n">
        <v>0.751974921630094</v>
      </c>
      <c r="X50" s="74" t="n">
        <v>0.751830985915493</v>
      </c>
      <c r="Y50" s="75" t="n">
        <v>0.035</v>
      </c>
      <c r="Z50" s="75" t="n">
        <v>0.0015</v>
      </c>
      <c r="AA50" s="75" t="n">
        <v>0.001</v>
      </c>
      <c r="AB50" s="75" t="n">
        <v>0</v>
      </c>
      <c r="AC50" s="72" t="s">
        <v>308</v>
      </c>
      <c r="AD50" s="75" t="n">
        <v>0.036</v>
      </c>
      <c r="AE50" s="75"/>
      <c r="AF50" s="76"/>
      <c r="AG50" s="72" t="n">
        <v>6</v>
      </c>
      <c r="AH50" s="76" t="n">
        <v>44649</v>
      </c>
      <c r="AI50" s="76" t="n">
        <v>45383</v>
      </c>
      <c r="AJ50" s="76" t="n">
        <v>46235</v>
      </c>
      <c r="AK50" s="71" t="s">
        <v>125</v>
      </c>
      <c r="AL50" s="73" t="n">
        <v>15474000</v>
      </c>
      <c r="AM50" s="75" t="n">
        <v>0.0218</v>
      </c>
      <c r="AN50" s="71"/>
      <c r="AO50" s="73"/>
      <c r="AP50" s="75"/>
      <c r="AQ50" s="73" t="n">
        <v>10316000</v>
      </c>
      <c r="AR50" s="74" t="n">
        <v>0.0938</v>
      </c>
      <c r="AT50" s="44" t="n">
        <f aca="false">IF($D50="",0,IF(OR(StratFilter="All Loans",$E50=StratFilter),1,0))</f>
        <v>1</v>
      </c>
      <c r="AU50" s="27" t="str">
        <f aca="false">IF($D50="","",IFERROR(VLOOKUP(TRIM($K50),PropTypeMap,2,FALSE()),"Unmapped"))</f>
        <v>Multifamily</v>
      </c>
      <c r="AV50" s="30" t="str">
        <f aca="false">IF($D50="","",IFERROR(VLOOKUP($J50,RegionMap,2,FALSE()),"Unmapped"))</f>
        <v>Southwest</v>
      </c>
      <c r="AW50" s="30" t="str">
        <f aca="false">IF($D50="","",IF($AC50="SOFR","Floating (SOFR)","Fixed / All-In"))</f>
        <v>Floating (SOFR)</v>
      </c>
      <c r="AX50" s="33" t="n">
        <f aca="false">IF($D50="","",$AD50+SOFR)</f>
        <v>0.0725</v>
      </c>
      <c r="AY50" s="30" t="str">
        <f aca="false">IF($D50="","",IF($AF50="Waived","Waived",IF(ISNUMBER($AF50),IF($AF50&gt;AsOfDate,"In Place","Expired"),"None Reported")))</f>
        <v>None Reported</v>
      </c>
      <c r="AZ50" s="30" t="str">
        <f aca="false">IF($D50="","",IF(ISNUMBER($AG50),IF($AG50=0,"None",$AG50&amp;" Months"),IF($AG50="","None Reported",$AG50)))</f>
        <v>6 Months</v>
      </c>
      <c r="BA50" s="27" t="str">
        <f aca="false">IF($D50="","",IF($AK50="","Unlevered",$AK50))</f>
        <v>JPMorgan Chase</v>
      </c>
      <c r="BB50" s="31" t="n">
        <f aca="false">IF($D50="","",SUM($AL50,$AO50))</f>
        <v>15474000</v>
      </c>
      <c r="BC50" s="32" t="n">
        <f aca="false">IF($D50="","",IF($P50&gt;0,$BB50/$P50,0))</f>
        <v>0.6</v>
      </c>
      <c r="BD50" s="34" t="n">
        <f aca="false">IF($D50="","",(AsOfDate-$AH50)/DaysPerMonth)</f>
        <v>51.0554414784394</v>
      </c>
      <c r="BE50" s="34" t="n">
        <f aca="false">IF($D50="","",($AI50-AsOfDate)/DaysPerMonth)</f>
        <v>-26.9404517453799</v>
      </c>
      <c r="BF50" s="34" t="n">
        <f aca="false">IF($D50="","",($AJ50-AsOfDate)/DaysPerMonth)</f>
        <v>1.05133470225873</v>
      </c>
      <c r="BG50" s="34" t="n">
        <f aca="false">IF($D50="","",MAX(0,$BE50))</f>
        <v>0</v>
      </c>
      <c r="BH50" s="34" t="n">
        <f aca="false">IF($D50="","",MAX(0,$BF50))</f>
        <v>1.05133470225873</v>
      </c>
      <c r="BI50" s="77" t="n">
        <f aca="false">IF($D50="","",YEAR($AI50))</f>
        <v>2024</v>
      </c>
      <c r="BJ50" s="77" t="n">
        <f aca="false">IF($D50="","",YEAR($AJ50))</f>
        <v>2026</v>
      </c>
      <c r="BK50" s="77" t="n">
        <f aca="false">IF($D50="","",YEAR($AH50))</f>
        <v>2022</v>
      </c>
      <c r="BL50" s="78" t="n">
        <v>1979</v>
      </c>
      <c r="BM50" s="44" t="n">
        <f aca="false">IF($AT50=1,$P50+(1000-ROW())/1000000,0)</f>
        <v>25790000.00095</v>
      </c>
    </row>
    <row r="51" customFormat="false" ht="15" hidden="false" customHeight="false" outlineLevel="0" collapsed="false">
      <c r="B51" s="60" t="n">
        <v>47</v>
      </c>
      <c r="C51" s="61" t="n">
        <v>30155</v>
      </c>
      <c r="D51" s="62" t="s">
        <v>405</v>
      </c>
      <c r="E51" s="62" t="s">
        <v>72</v>
      </c>
      <c r="F51" s="62" t="s">
        <v>72</v>
      </c>
      <c r="G51" s="62" t="s">
        <v>88</v>
      </c>
      <c r="H51" s="62" t="s">
        <v>406</v>
      </c>
      <c r="I51" s="63" t="s">
        <v>407</v>
      </c>
      <c r="J51" s="63" t="s">
        <v>407</v>
      </c>
      <c r="K51" s="63" t="s">
        <v>306</v>
      </c>
      <c r="L51" s="60" t="n">
        <v>101</v>
      </c>
      <c r="M51" s="60"/>
      <c r="N51" s="63" t="n">
        <v>1969</v>
      </c>
      <c r="O51" s="63" t="s">
        <v>311</v>
      </c>
      <c r="P51" s="64" t="n">
        <v>18000000</v>
      </c>
      <c r="Q51" s="64" t="n">
        <v>0</v>
      </c>
      <c r="R51" s="64" t="n">
        <v>18000000</v>
      </c>
      <c r="S51" s="64" t="n">
        <v>0</v>
      </c>
      <c r="T51" s="64" t="n">
        <v>23000000</v>
      </c>
      <c r="U51" s="64" t="n">
        <v>28000000</v>
      </c>
      <c r="V51" s="64" t="n">
        <v>34600000</v>
      </c>
      <c r="W51" s="65" t="n">
        <v>0.767857142857143</v>
      </c>
      <c r="X51" s="65" t="n">
        <v>0.664739884393064</v>
      </c>
      <c r="Y51" s="57" t="n">
        <v>0.0385</v>
      </c>
      <c r="Z51" s="57" t="n">
        <v>0.005</v>
      </c>
      <c r="AA51" s="57" t="n">
        <v>0.001</v>
      </c>
      <c r="AB51" s="57" t="n">
        <v>0</v>
      </c>
      <c r="AC51" s="63" t="s">
        <v>308</v>
      </c>
      <c r="AD51" s="57" t="n">
        <v>0.0395</v>
      </c>
      <c r="AE51" s="57" t="n">
        <v>0.03</v>
      </c>
      <c r="AF51" s="66" t="n">
        <v>46357</v>
      </c>
      <c r="AG51" s="63" t="n">
        <v>6</v>
      </c>
      <c r="AH51" s="66" t="n">
        <v>44683</v>
      </c>
      <c r="AI51" s="66" t="n">
        <v>45444</v>
      </c>
      <c r="AJ51" s="66" t="n">
        <v>46357</v>
      </c>
      <c r="AK51" s="62" t="s">
        <v>125</v>
      </c>
      <c r="AL51" s="64" t="n">
        <v>10800000</v>
      </c>
      <c r="AM51" s="57" t="n">
        <v>0.0218</v>
      </c>
      <c r="AN51" s="62"/>
      <c r="AO51" s="64"/>
      <c r="AP51" s="57"/>
      <c r="AQ51" s="64" t="n">
        <v>7200000</v>
      </c>
      <c r="AR51" s="65" t="n">
        <v>0.10255</v>
      </c>
      <c r="AT51" s="26" t="n">
        <f aca="false">IF($D51="",0,IF(OR(StratFilter="All Loans",$E51=StratFilter),1,0))</f>
        <v>1</v>
      </c>
      <c r="AU51" s="18" t="str">
        <f aca="false">IF($D51="","",IFERROR(VLOOKUP(TRIM($K51),PropTypeMap,2,FALSE()),"Unmapped"))</f>
        <v>Multifamily</v>
      </c>
      <c r="AV51" s="21" t="str">
        <f aca="false">IF($D51="","",IFERROR(VLOOKUP($J51,RegionMap,2,FALSE()),"Unmapped"))</f>
        <v>Mountain</v>
      </c>
      <c r="AW51" s="21" t="str">
        <f aca="false">IF($D51="","",IF($AC51="SOFR","Floating (SOFR)","Fixed / All-In"))</f>
        <v>Floating (SOFR)</v>
      </c>
      <c r="AX51" s="24" t="n">
        <f aca="false">IF($D51="","",$AD51+SOFR)</f>
        <v>0.076</v>
      </c>
      <c r="AY51" s="21" t="str">
        <f aca="false">IF($D51="","",IF($AF51="Waived","Waived",IF(ISNUMBER($AF51),IF($AF51&gt;AsOfDate,"In Place","Expired"),"None Reported")))</f>
        <v>In Place</v>
      </c>
      <c r="AZ51" s="21" t="str">
        <f aca="false">IF($D51="","",IF(ISNUMBER($AG51),IF($AG51=0,"None",$AG51&amp;" Months"),IF($AG51="","None Reported",$AG51)))</f>
        <v>6 Months</v>
      </c>
      <c r="BA51" s="18" t="str">
        <f aca="false">IF($D51="","",IF($AK51="","Unlevered",$AK51))</f>
        <v>JPMorgan Chase</v>
      </c>
      <c r="BB51" s="22" t="n">
        <f aca="false">IF($D51="","",SUM($AL51,$AO51))</f>
        <v>10800000</v>
      </c>
      <c r="BC51" s="23" t="n">
        <f aca="false">IF($D51="","",IF($P51&gt;0,$BB51/$P51,0))</f>
        <v>0.6</v>
      </c>
      <c r="BD51" s="25" t="n">
        <f aca="false">IF($D51="","",(AsOfDate-$AH51)/DaysPerMonth)</f>
        <v>49.9383983572895</v>
      </c>
      <c r="BE51" s="25" t="n">
        <f aca="false">IF($D51="","",($AI51-AsOfDate)/DaysPerMonth)</f>
        <v>-24.9363449691992</v>
      </c>
      <c r="BF51" s="25" t="n">
        <f aca="false">IF($D51="","",($AJ51-AsOfDate)/DaysPerMonth)</f>
        <v>5.05954825462012</v>
      </c>
      <c r="BG51" s="25" t="n">
        <f aca="false">IF($D51="","",MAX(0,$BE51))</f>
        <v>0</v>
      </c>
      <c r="BH51" s="25" t="n">
        <f aca="false">IF($D51="","",MAX(0,$BF51))</f>
        <v>5.05954825462012</v>
      </c>
      <c r="BI51" s="67" t="n">
        <f aca="false">IF($D51="","",YEAR($AI51))</f>
        <v>2024</v>
      </c>
      <c r="BJ51" s="67" t="n">
        <f aca="false">IF($D51="","",YEAR($AJ51))</f>
        <v>2026</v>
      </c>
      <c r="BK51" s="67" t="n">
        <f aca="false">IF($D51="","",YEAR($AH51))</f>
        <v>2022</v>
      </c>
      <c r="BL51" s="68" t="n">
        <v>1969</v>
      </c>
      <c r="BM51" s="26" t="n">
        <f aca="false">IF($AT51=1,$P51+(1000-ROW())/1000000,0)</f>
        <v>18000000.000949</v>
      </c>
    </row>
    <row r="52" customFormat="false" ht="15" hidden="false" customHeight="false" outlineLevel="0" collapsed="false">
      <c r="B52" s="69" t="n">
        <v>48</v>
      </c>
      <c r="C52" s="70" t="n">
        <v>30281</v>
      </c>
      <c r="D52" s="71" t="s">
        <v>408</v>
      </c>
      <c r="E52" s="71" t="s">
        <v>72</v>
      </c>
      <c r="F52" s="71" t="s">
        <v>72</v>
      </c>
      <c r="G52" s="71" t="s">
        <v>87</v>
      </c>
      <c r="H52" s="71" t="s">
        <v>409</v>
      </c>
      <c r="I52" s="72" t="s">
        <v>99</v>
      </c>
      <c r="J52" s="72" t="s">
        <v>99</v>
      </c>
      <c r="K52" s="72" t="s">
        <v>306</v>
      </c>
      <c r="L52" s="69" t="n">
        <v>327</v>
      </c>
      <c r="M52" s="69"/>
      <c r="N52" s="72" t="n">
        <v>2025</v>
      </c>
      <c r="O52" s="72" t="s">
        <v>311</v>
      </c>
      <c r="P52" s="73" t="n">
        <v>80000000</v>
      </c>
      <c r="Q52" s="73" t="n">
        <v>0</v>
      </c>
      <c r="R52" s="73" t="n">
        <v>80000000</v>
      </c>
      <c r="S52" s="73" t="n">
        <v>0</v>
      </c>
      <c r="T52" s="73" t="n">
        <v>80000000</v>
      </c>
      <c r="U52" s="73" t="n">
        <v>117700000</v>
      </c>
      <c r="V52" s="73" t="n">
        <v>126700000</v>
      </c>
      <c r="W52" s="74" t="n">
        <v>0.679694137638063</v>
      </c>
      <c r="X52" s="74" t="n">
        <v>0.631412786108919</v>
      </c>
      <c r="Y52" s="75" t="n">
        <v>0.0395</v>
      </c>
      <c r="Z52" s="75" t="n">
        <v>0.04</v>
      </c>
      <c r="AA52" s="75" t="n">
        <v>0</v>
      </c>
      <c r="AB52" s="75" t="n">
        <v>0</v>
      </c>
      <c r="AC52" s="72" t="s">
        <v>308</v>
      </c>
      <c r="AD52" s="75" t="n">
        <v>0.043</v>
      </c>
      <c r="AE52" s="75" t="n">
        <v>0.0535</v>
      </c>
      <c r="AF52" s="76" t="n">
        <v>46508</v>
      </c>
      <c r="AG52" s="72" t="n">
        <v>6</v>
      </c>
      <c r="AH52" s="76" t="n">
        <v>45757</v>
      </c>
      <c r="AI52" s="76" t="n">
        <v>46508</v>
      </c>
      <c r="AJ52" s="76" t="n">
        <v>46874</v>
      </c>
      <c r="AK52" s="71" t="s">
        <v>122</v>
      </c>
      <c r="AL52" s="73" t="n">
        <v>64000000</v>
      </c>
      <c r="AM52" s="75" t="n">
        <v>0.0165</v>
      </c>
      <c r="AN52" s="71"/>
      <c r="AO52" s="73"/>
      <c r="AP52" s="75"/>
      <c r="AQ52" s="73" t="n">
        <v>16000000</v>
      </c>
      <c r="AR52" s="74" t="n">
        <v>0.1855</v>
      </c>
      <c r="AT52" s="44" t="n">
        <f aca="false">IF($D52="",0,IF(OR(StratFilter="All Loans",$E52=StratFilter),1,0))</f>
        <v>1</v>
      </c>
      <c r="AU52" s="27" t="str">
        <f aca="false">IF($D52="","",IFERROR(VLOOKUP(TRIM($K52),PropTypeMap,2,FALSE()),"Unmapped"))</f>
        <v>Multifamily</v>
      </c>
      <c r="AV52" s="30" t="str">
        <f aca="false">IF($D52="","",IFERROR(VLOOKUP($J52,RegionMap,2,FALSE()),"Unmapped"))</f>
        <v>Northeast</v>
      </c>
      <c r="AW52" s="30" t="str">
        <f aca="false">IF($D52="","",IF($AC52="SOFR","Floating (SOFR)","Fixed / All-In"))</f>
        <v>Floating (SOFR)</v>
      </c>
      <c r="AX52" s="33" t="n">
        <f aca="false">IF($D52="","",$AD52+SOFR)</f>
        <v>0.0795</v>
      </c>
      <c r="AY52" s="30" t="str">
        <f aca="false">IF($D52="","",IF($AF52="Waived","Waived",IF(ISNUMBER($AF52),IF($AF52&gt;AsOfDate,"In Place","Expired"),"None Reported")))</f>
        <v>In Place</v>
      </c>
      <c r="AZ52" s="30" t="str">
        <f aca="false">IF($D52="","",IF(ISNUMBER($AG52),IF($AG52=0,"None",$AG52&amp;" Months"),IF($AG52="","None Reported",$AG52)))</f>
        <v>6 Months</v>
      </c>
      <c r="BA52" s="27" t="str">
        <f aca="false">IF($D52="","",IF($AK52="","Unlevered",$AK52))</f>
        <v>Natixis</v>
      </c>
      <c r="BB52" s="31" t="n">
        <f aca="false">IF($D52="","",SUM($AL52,$AO52))</f>
        <v>64000000</v>
      </c>
      <c r="BC52" s="32" t="n">
        <f aca="false">IF($D52="","",IF($P52&gt;0,$BB52/$P52,0))</f>
        <v>0.8</v>
      </c>
      <c r="BD52" s="34" t="n">
        <f aca="false">IF($D52="","",(AsOfDate-$AH52)/DaysPerMonth)</f>
        <v>14.652977412731</v>
      </c>
      <c r="BE52" s="34" t="n">
        <f aca="false">IF($D52="","",($AI52-AsOfDate)/DaysPerMonth)</f>
        <v>10.0205338809035</v>
      </c>
      <c r="BF52" s="34" t="n">
        <f aca="false">IF($D52="","",($AJ52-AsOfDate)/DaysPerMonth)</f>
        <v>22.0451745379877</v>
      </c>
      <c r="BG52" s="34" t="n">
        <f aca="false">IF($D52="","",MAX(0,$BE52))</f>
        <v>10.0205338809035</v>
      </c>
      <c r="BH52" s="34" t="n">
        <f aca="false">IF($D52="","",MAX(0,$BF52))</f>
        <v>22.0451745379877</v>
      </c>
      <c r="BI52" s="77" t="n">
        <f aca="false">IF($D52="","",YEAR($AI52))</f>
        <v>2027</v>
      </c>
      <c r="BJ52" s="77" t="n">
        <f aca="false">IF($D52="","",YEAR($AJ52))</f>
        <v>2028</v>
      </c>
      <c r="BK52" s="77" t="n">
        <f aca="false">IF($D52="","",YEAR($AH52))</f>
        <v>2025</v>
      </c>
      <c r="BL52" s="78" t="n">
        <v>2025</v>
      </c>
      <c r="BM52" s="44" t="n">
        <f aca="false">IF($AT52=1,$P52+(1000-ROW())/1000000,0)</f>
        <v>80000000.000948</v>
      </c>
    </row>
    <row r="53" customFormat="false" ht="15" hidden="false" customHeight="false" outlineLevel="0" collapsed="false">
      <c r="B53" s="60" t="n">
        <v>49</v>
      </c>
      <c r="C53" s="61" t="n">
        <v>30342</v>
      </c>
      <c r="D53" s="62" t="s">
        <v>410</v>
      </c>
      <c r="E53" s="62" t="s">
        <v>72</v>
      </c>
      <c r="F53" s="62" t="s">
        <v>72</v>
      </c>
      <c r="G53" s="62" t="s">
        <v>84</v>
      </c>
      <c r="H53" s="62" t="s">
        <v>411</v>
      </c>
      <c r="I53" s="63" t="s">
        <v>94</v>
      </c>
      <c r="J53" s="63" t="s">
        <v>94</v>
      </c>
      <c r="K53" s="63" t="s">
        <v>306</v>
      </c>
      <c r="L53" s="60" t="n">
        <v>216</v>
      </c>
      <c r="M53" s="60"/>
      <c r="N53" s="63" t="n">
        <v>1972</v>
      </c>
      <c r="O53" s="63" t="s">
        <v>412</v>
      </c>
      <c r="P53" s="64" t="n">
        <v>49500000</v>
      </c>
      <c r="Q53" s="64" t="n">
        <v>0</v>
      </c>
      <c r="R53" s="64" t="n">
        <v>49500000</v>
      </c>
      <c r="S53" s="64" t="n">
        <v>3100000</v>
      </c>
      <c r="T53" s="64" t="n">
        <v>52600000</v>
      </c>
      <c r="U53" s="64" t="n">
        <v>62000000</v>
      </c>
      <c r="V53" s="64" t="n">
        <v>73200000</v>
      </c>
      <c r="W53" s="65" t="n">
        <v>0.848387096774194</v>
      </c>
      <c r="X53" s="65" t="n">
        <v>0.718579234972678</v>
      </c>
      <c r="Y53" s="57" t="n">
        <v>0.025</v>
      </c>
      <c r="Z53" s="57" t="n">
        <v>0.03</v>
      </c>
      <c r="AA53" s="57"/>
      <c r="AB53" s="57"/>
      <c r="AC53" s="63" t="s">
        <v>308</v>
      </c>
      <c r="AD53" s="57" t="n">
        <v>0.025</v>
      </c>
      <c r="AE53" s="57" t="n">
        <v>0.04</v>
      </c>
      <c r="AF53" s="66" t="n">
        <v>46894</v>
      </c>
      <c r="AG53" s="63" t="n">
        <v>6</v>
      </c>
      <c r="AH53" s="66" t="n">
        <v>46163</v>
      </c>
      <c r="AI53" s="66" t="n">
        <v>47270</v>
      </c>
      <c r="AJ53" s="66" t="n">
        <v>47969</v>
      </c>
      <c r="AK53" s="62" t="s">
        <v>122</v>
      </c>
      <c r="AL53" s="64" t="n">
        <v>40160000</v>
      </c>
      <c r="AM53" s="57" t="n">
        <v>0.013</v>
      </c>
      <c r="AN53" s="62"/>
      <c r="AO53" s="64"/>
      <c r="AP53" s="57"/>
      <c r="AQ53" s="64" t="n">
        <v>9340000</v>
      </c>
      <c r="AR53" s="65" t="n">
        <v>0.113097430406852</v>
      </c>
      <c r="AT53" s="26" t="n">
        <f aca="false">IF($D53="",0,IF(OR(StratFilter="All Loans",$E53=StratFilter),1,0))</f>
        <v>1</v>
      </c>
      <c r="AU53" s="18" t="str">
        <f aca="false">IF($D53="","",IFERROR(VLOOKUP(TRIM($K53),PropTypeMap,2,FALSE()),"Unmapped"))</f>
        <v>Multifamily</v>
      </c>
      <c r="AV53" s="21" t="str">
        <f aca="false">IF($D53="","",IFERROR(VLOOKUP($J53,RegionMap,2,FALSE()),"Unmapped"))</f>
        <v>Pacific</v>
      </c>
      <c r="AW53" s="21" t="str">
        <f aca="false">IF($D53="","",IF($AC53="SOFR","Floating (SOFR)","Fixed / All-In"))</f>
        <v>Floating (SOFR)</v>
      </c>
      <c r="AX53" s="24" t="n">
        <f aca="false">IF($D53="","",$AD53+SOFR)</f>
        <v>0.0615</v>
      </c>
      <c r="AY53" s="21" t="str">
        <f aca="false">IF($D53="","",IF($AF53="Waived","Waived",IF(ISNUMBER($AF53),IF($AF53&gt;AsOfDate,"In Place","Expired"),"None Reported")))</f>
        <v>In Place</v>
      </c>
      <c r="AZ53" s="21" t="str">
        <f aca="false">IF($D53="","",IF(ISNUMBER($AG53),IF($AG53=0,"None",$AG53&amp;" Months"),IF($AG53="","None Reported",$AG53)))</f>
        <v>6 Months</v>
      </c>
      <c r="BA53" s="18" t="str">
        <f aca="false">IF($D53="","",IF($AK53="","Unlevered",$AK53))</f>
        <v>Natixis</v>
      </c>
      <c r="BB53" s="22" t="n">
        <f aca="false">IF($D53="","",SUM($AL53,$AO53))</f>
        <v>40160000</v>
      </c>
      <c r="BC53" s="23" t="n">
        <f aca="false">IF($D53="","",IF($P53&gt;0,$BB53/$P53,0))</f>
        <v>0.811313131313131</v>
      </c>
      <c r="BD53" s="25" t="n">
        <f aca="false">IF($D53="","",(AsOfDate-$AH53)/DaysPerMonth)</f>
        <v>1.31416837782341</v>
      </c>
      <c r="BE53" s="25" t="n">
        <f aca="false">IF($D53="","",($AI53-AsOfDate)/DaysPerMonth)</f>
        <v>35.0554414784394</v>
      </c>
      <c r="BF53" s="25" t="n">
        <f aca="false">IF($D53="","",($AJ53-AsOfDate)/DaysPerMonth)</f>
        <v>58.0205338809035</v>
      </c>
      <c r="BG53" s="25" t="n">
        <f aca="false">IF($D53="","",MAX(0,$BE53))</f>
        <v>35.0554414784394</v>
      </c>
      <c r="BH53" s="25" t="n">
        <f aca="false">IF($D53="","",MAX(0,$BF53))</f>
        <v>58.0205338809035</v>
      </c>
      <c r="BI53" s="67" t="n">
        <f aca="false">IF($D53="","",YEAR($AI53))</f>
        <v>2029</v>
      </c>
      <c r="BJ53" s="67" t="n">
        <f aca="false">IF($D53="","",YEAR($AJ53))</f>
        <v>2031</v>
      </c>
      <c r="BK53" s="67" t="n">
        <f aca="false">IF($D53="","",YEAR($AH53))</f>
        <v>2026</v>
      </c>
      <c r="BL53" s="68" t="n">
        <v>1972</v>
      </c>
      <c r="BM53" s="26" t="n">
        <f aca="false">IF($AT53=1,$P53+(1000-ROW())/1000000,0)</f>
        <v>49500000.000947</v>
      </c>
    </row>
    <row r="54" customFormat="false" ht="15" hidden="false" customHeight="false" outlineLevel="0" collapsed="false">
      <c r="B54" s="69" t="n">
        <v>50</v>
      </c>
      <c r="C54" s="70" t="n">
        <v>30303</v>
      </c>
      <c r="D54" s="71" t="s">
        <v>413</v>
      </c>
      <c r="E54" s="71" t="s">
        <v>72</v>
      </c>
      <c r="F54" s="71" t="s">
        <v>72</v>
      </c>
      <c r="G54" s="71" t="s">
        <v>87</v>
      </c>
      <c r="H54" s="71" t="s">
        <v>414</v>
      </c>
      <c r="I54" s="72" t="s">
        <v>415</v>
      </c>
      <c r="J54" s="72" t="s">
        <v>415</v>
      </c>
      <c r="K54" s="72" t="s">
        <v>306</v>
      </c>
      <c r="L54" s="69" t="n">
        <v>430</v>
      </c>
      <c r="M54" s="69"/>
      <c r="N54" s="72" t="n">
        <v>1966</v>
      </c>
      <c r="O54" s="72" t="n">
        <v>2022</v>
      </c>
      <c r="P54" s="73" t="n">
        <v>50306134.44</v>
      </c>
      <c r="Q54" s="73" t="n">
        <v>0</v>
      </c>
      <c r="R54" s="73" t="n">
        <v>50306134.44</v>
      </c>
      <c r="S54" s="73" t="n">
        <v>2993865.56</v>
      </c>
      <c r="T54" s="73" t="n">
        <v>53300000</v>
      </c>
      <c r="U54" s="73" t="n">
        <v>66700000</v>
      </c>
      <c r="V54" s="73" t="n">
        <v>80300000</v>
      </c>
      <c r="W54" s="74" t="n">
        <v>0.715142428785607</v>
      </c>
      <c r="X54" s="74" t="n">
        <v>0.663760896637609</v>
      </c>
      <c r="Y54" s="75" t="n">
        <v>0.0265</v>
      </c>
      <c r="Z54" s="75" t="n">
        <v>0.03</v>
      </c>
      <c r="AA54" s="75" t="n">
        <v>0</v>
      </c>
      <c r="AB54" s="75" t="n">
        <v>0</v>
      </c>
      <c r="AC54" s="72" t="s">
        <v>308</v>
      </c>
      <c r="AD54" s="75" t="n">
        <v>0.0265</v>
      </c>
      <c r="AE54" s="75" t="n">
        <v>0.045</v>
      </c>
      <c r="AF54" s="76" t="n">
        <v>47058</v>
      </c>
      <c r="AG54" s="72" t="n">
        <v>6</v>
      </c>
      <c r="AH54" s="76" t="n">
        <v>45961</v>
      </c>
      <c r="AI54" s="76" t="n">
        <v>47088</v>
      </c>
      <c r="AJ54" s="76" t="n">
        <v>47818</v>
      </c>
      <c r="AK54" s="71" t="s">
        <v>122</v>
      </c>
      <c r="AL54" s="73" t="n">
        <v>39600000</v>
      </c>
      <c r="AM54" s="75" t="n">
        <v>0.014</v>
      </c>
      <c r="AN54" s="71"/>
      <c r="AO54" s="73"/>
      <c r="AP54" s="75"/>
      <c r="AQ54" s="73" t="n">
        <v>10706134.44</v>
      </c>
      <c r="AR54" s="74" t="n">
        <v>0.109235175055396</v>
      </c>
      <c r="AT54" s="44" t="n">
        <f aca="false">IF($D54="",0,IF(OR(StratFilter="All Loans",$E54=StratFilter),1,0))</f>
        <v>1</v>
      </c>
      <c r="AU54" s="27" t="str">
        <f aca="false">IF($D54="","",IFERROR(VLOOKUP(TRIM($K54),PropTypeMap,2,FALSE()),"Unmapped"))</f>
        <v>Multifamily</v>
      </c>
      <c r="AV54" s="30" t="str">
        <f aca="false">IF($D54="","",IFERROR(VLOOKUP($J54,RegionMap,2,FALSE()),"Unmapped"))</f>
        <v>Mid-Atlantic</v>
      </c>
      <c r="AW54" s="30" t="str">
        <f aca="false">IF($D54="","",IF($AC54="SOFR","Floating (SOFR)","Fixed / All-In"))</f>
        <v>Floating (SOFR)</v>
      </c>
      <c r="AX54" s="33" t="n">
        <f aca="false">IF($D54="","",$AD54+SOFR)</f>
        <v>0.063</v>
      </c>
      <c r="AY54" s="30" t="str">
        <f aca="false">IF($D54="","",IF($AF54="Waived","Waived",IF(ISNUMBER($AF54),IF($AF54&gt;AsOfDate,"In Place","Expired"),"None Reported")))</f>
        <v>In Place</v>
      </c>
      <c r="AZ54" s="30" t="str">
        <f aca="false">IF($D54="","",IF(ISNUMBER($AG54),IF($AG54=0,"None",$AG54&amp;" Months"),IF($AG54="","None Reported",$AG54)))</f>
        <v>6 Months</v>
      </c>
      <c r="BA54" s="27" t="str">
        <f aca="false">IF($D54="","",IF($AK54="","Unlevered",$AK54))</f>
        <v>Natixis</v>
      </c>
      <c r="BB54" s="31" t="n">
        <f aca="false">IF($D54="","",SUM($AL54,$AO54))</f>
        <v>39600000</v>
      </c>
      <c r="BC54" s="32" t="n">
        <f aca="false">IF($D54="","",IF($P54&gt;0,$BB54/$P54,0))</f>
        <v>0.787180339750231</v>
      </c>
      <c r="BD54" s="34" t="n">
        <f aca="false">IF($D54="","",(AsOfDate-$AH54)/DaysPerMonth)</f>
        <v>7.95071868583162</v>
      </c>
      <c r="BE54" s="34" t="n">
        <f aca="false">IF($D54="","",($AI54-AsOfDate)/DaysPerMonth)</f>
        <v>29.0759753593429</v>
      </c>
      <c r="BF54" s="34" t="n">
        <f aca="false">IF($D54="","",($AJ54-AsOfDate)/DaysPerMonth)</f>
        <v>53.0595482546201</v>
      </c>
      <c r="BG54" s="34" t="n">
        <f aca="false">IF($D54="","",MAX(0,$BE54))</f>
        <v>29.0759753593429</v>
      </c>
      <c r="BH54" s="34" t="n">
        <f aca="false">IF($D54="","",MAX(0,$BF54))</f>
        <v>53.0595482546201</v>
      </c>
      <c r="BI54" s="77" t="n">
        <f aca="false">IF($D54="","",YEAR($AI54))</f>
        <v>2028</v>
      </c>
      <c r="BJ54" s="77" t="n">
        <f aca="false">IF($D54="","",YEAR($AJ54))</f>
        <v>2030</v>
      </c>
      <c r="BK54" s="77" t="n">
        <f aca="false">IF($D54="","",YEAR($AH54))</f>
        <v>2025</v>
      </c>
      <c r="BL54" s="78" t="n">
        <v>1966</v>
      </c>
      <c r="BM54" s="44" t="n">
        <f aca="false">IF($AT54=1,$P54+(1000-ROW())/1000000,0)</f>
        <v>50306134.440946</v>
      </c>
    </row>
    <row r="55" customFormat="false" ht="15" hidden="false" customHeight="false" outlineLevel="0" collapsed="false">
      <c r="B55" s="60" t="n">
        <v>51</v>
      </c>
      <c r="C55" s="61" t="n">
        <v>30302</v>
      </c>
      <c r="D55" s="62" t="s">
        <v>416</v>
      </c>
      <c r="E55" s="62" t="s">
        <v>72</v>
      </c>
      <c r="F55" s="62" t="s">
        <v>72</v>
      </c>
      <c r="G55" s="62" t="s">
        <v>87</v>
      </c>
      <c r="H55" s="62" t="s">
        <v>417</v>
      </c>
      <c r="I55" s="63" t="s">
        <v>407</v>
      </c>
      <c r="J55" s="63" t="s">
        <v>407</v>
      </c>
      <c r="K55" s="63" t="s">
        <v>306</v>
      </c>
      <c r="L55" s="60" t="n">
        <v>421</v>
      </c>
      <c r="M55" s="60"/>
      <c r="N55" s="63" t="s">
        <v>418</v>
      </c>
      <c r="O55" s="63" t="s">
        <v>419</v>
      </c>
      <c r="P55" s="64" t="n">
        <v>46500000</v>
      </c>
      <c r="Q55" s="64" t="n">
        <v>0</v>
      </c>
      <c r="R55" s="64" t="n">
        <v>46500000</v>
      </c>
      <c r="S55" s="64" t="n">
        <v>0</v>
      </c>
      <c r="T55" s="64" t="n">
        <v>46500000</v>
      </c>
      <c r="U55" s="64" t="n">
        <v>68500000</v>
      </c>
      <c r="V55" s="64" t="n">
        <v>69900000</v>
      </c>
      <c r="W55" s="65" t="n">
        <v>0.66970802919708</v>
      </c>
      <c r="X55" s="65" t="n">
        <v>0.665236051502146</v>
      </c>
      <c r="Y55" s="57" t="n">
        <v>0.0325</v>
      </c>
      <c r="Z55" s="57" t="n">
        <v>0.035</v>
      </c>
      <c r="AA55" s="57" t="n">
        <v>0</v>
      </c>
      <c r="AB55" s="57" t="n">
        <v>0</v>
      </c>
      <c r="AC55" s="63" t="s">
        <v>308</v>
      </c>
      <c r="AD55" s="57" t="n">
        <v>0.0325</v>
      </c>
      <c r="AE55" s="57" t="n">
        <v>0.0425</v>
      </c>
      <c r="AF55" s="66" t="n">
        <v>46661</v>
      </c>
      <c r="AG55" s="63" t="n">
        <v>6</v>
      </c>
      <c r="AH55" s="66" t="n">
        <v>45930</v>
      </c>
      <c r="AI55" s="66" t="n">
        <v>46692</v>
      </c>
      <c r="AJ55" s="66" t="n">
        <v>47058</v>
      </c>
      <c r="AK55" s="62" t="s">
        <v>122</v>
      </c>
      <c r="AL55" s="64" t="n">
        <v>37200000</v>
      </c>
      <c r="AM55" s="57" t="n">
        <v>0.0145</v>
      </c>
      <c r="AN55" s="62"/>
      <c r="AO55" s="64"/>
      <c r="AP55" s="57"/>
      <c r="AQ55" s="64" t="n">
        <v>9300000</v>
      </c>
      <c r="AR55" s="65" t="n">
        <v>0.141</v>
      </c>
      <c r="AT55" s="26" t="n">
        <f aca="false">IF($D55="",0,IF(OR(StratFilter="All Loans",$E55=StratFilter),1,0))</f>
        <v>1</v>
      </c>
      <c r="AU55" s="18" t="str">
        <f aca="false">IF($D55="","",IFERROR(VLOOKUP(TRIM($K55),PropTypeMap,2,FALSE()),"Unmapped"))</f>
        <v>Multifamily</v>
      </c>
      <c r="AV55" s="21" t="str">
        <f aca="false">IF($D55="","",IFERROR(VLOOKUP($J55,RegionMap,2,FALSE()),"Unmapped"))</f>
        <v>Mountain</v>
      </c>
      <c r="AW55" s="21" t="str">
        <f aca="false">IF($D55="","",IF($AC55="SOFR","Floating (SOFR)","Fixed / All-In"))</f>
        <v>Floating (SOFR)</v>
      </c>
      <c r="AX55" s="24" t="n">
        <f aca="false">IF($D55="","",$AD55+SOFR)</f>
        <v>0.069</v>
      </c>
      <c r="AY55" s="21" t="str">
        <f aca="false">IF($D55="","",IF($AF55="Waived","Waived",IF(ISNUMBER($AF55),IF($AF55&gt;AsOfDate,"In Place","Expired"),"None Reported")))</f>
        <v>In Place</v>
      </c>
      <c r="AZ55" s="21" t="str">
        <f aca="false">IF($D55="","",IF(ISNUMBER($AG55),IF($AG55=0,"None",$AG55&amp;" Months"),IF($AG55="","None Reported",$AG55)))</f>
        <v>6 Months</v>
      </c>
      <c r="BA55" s="18" t="str">
        <f aca="false">IF($D55="","",IF($AK55="","Unlevered",$AK55))</f>
        <v>Natixis</v>
      </c>
      <c r="BB55" s="22" t="n">
        <f aca="false">IF($D55="","",SUM($AL55,$AO55))</f>
        <v>37200000</v>
      </c>
      <c r="BC55" s="23" t="n">
        <f aca="false">IF($D55="","",IF($P55&gt;0,$BB55/$P55,0))</f>
        <v>0.8</v>
      </c>
      <c r="BD55" s="25" t="n">
        <f aca="false">IF($D55="","",(AsOfDate-$AH55)/DaysPerMonth)</f>
        <v>8.96919917864476</v>
      </c>
      <c r="BE55" s="25" t="n">
        <f aca="false">IF($D55="","",($AI55-AsOfDate)/DaysPerMonth)</f>
        <v>16.0657084188912</v>
      </c>
      <c r="BF55" s="25" t="n">
        <f aca="false">IF($D55="","",($AJ55-AsOfDate)/DaysPerMonth)</f>
        <v>28.0903490759754</v>
      </c>
      <c r="BG55" s="25" t="n">
        <f aca="false">IF($D55="","",MAX(0,$BE55))</f>
        <v>16.0657084188912</v>
      </c>
      <c r="BH55" s="25" t="n">
        <f aca="false">IF($D55="","",MAX(0,$BF55))</f>
        <v>28.0903490759754</v>
      </c>
      <c r="BI55" s="67" t="n">
        <f aca="false">IF($D55="","",YEAR($AI55))</f>
        <v>2027</v>
      </c>
      <c r="BJ55" s="67" t="n">
        <f aca="false">IF($D55="","",YEAR($AJ55))</f>
        <v>2028</v>
      </c>
      <c r="BK55" s="67" t="n">
        <f aca="false">IF($D55="","",YEAR($AH55))</f>
        <v>2025</v>
      </c>
      <c r="BL55" s="68" t="n">
        <v>1964</v>
      </c>
      <c r="BM55" s="26" t="n">
        <f aca="false">IF($AT55=1,$P55+(1000-ROW())/1000000,0)</f>
        <v>46500000.000945</v>
      </c>
    </row>
    <row r="56" customFormat="false" ht="15" hidden="false" customHeight="false" outlineLevel="0" collapsed="false">
      <c r="B56" s="69" t="n">
        <v>52</v>
      </c>
      <c r="C56" s="70" t="n">
        <v>30313</v>
      </c>
      <c r="D56" s="71" t="s">
        <v>420</v>
      </c>
      <c r="E56" s="71" t="s">
        <v>72</v>
      </c>
      <c r="F56" s="71" t="s">
        <v>72</v>
      </c>
      <c r="G56" s="71" t="s">
        <v>87</v>
      </c>
      <c r="H56" s="71" t="s">
        <v>358</v>
      </c>
      <c r="I56" s="72" t="s">
        <v>95</v>
      </c>
      <c r="J56" s="72" t="s">
        <v>95</v>
      </c>
      <c r="K56" s="72" t="s">
        <v>306</v>
      </c>
      <c r="L56" s="69" t="n">
        <v>244</v>
      </c>
      <c r="M56" s="69"/>
      <c r="N56" s="72" t="n">
        <v>2016</v>
      </c>
      <c r="O56" s="72" t="s">
        <v>311</v>
      </c>
      <c r="P56" s="73" t="n">
        <v>37000000</v>
      </c>
      <c r="Q56" s="73" t="n">
        <v>0</v>
      </c>
      <c r="R56" s="73" t="n">
        <v>37000000</v>
      </c>
      <c r="S56" s="73" t="n">
        <v>0</v>
      </c>
      <c r="T56" s="73" t="n">
        <v>37000000</v>
      </c>
      <c r="U56" s="73" t="n">
        <v>53300000</v>
      </c>
      <c r="V56" s="73" t="n">
        <v>62900000</v>
      </c>
      <c r="W56" s="74" t="n">
        <v>0.656660412757974</v>
      </c>
      <c r="X56" s="74" t="n">
        <v>0.588235294117647</v>
      </c>
      <c r="Y56" s="75" t="n">
        <v>0.0295</v>
      </c>
      <c r="Z56" s="75" t="n">
        <v>0.0325</v>
      </c>
      <c r="AA56" s="75" t="n">
        <v>0</v>
      </c>
      <c r="AB56" s="75" t="n">
        <v>0</v>
      </c>
      <c r="AC56" s="72" t="s">
        <v>308</v>
      </c>
      <c r="AD56" s="75" t="n">
        <v>0.0295</v>
      </c>
      <c r="AE56" s="75" t="n">
        <v>0.0325</v>
      </c>
      <c r="AF56" s="76" t="n">
        <v>47058</v>
      </c>
      <c r="AG56" s="72" t="n">
        <v>6</v>
      </c>
      <c r="AH56" s="76" t="n">
        <v>45961</v>
      </c>
      <c r="AI56" s="76" t="n">
        <v>47088</v>
      </c>
      <c r="AJ56" s="76" t="n">
        <v>47453</v>
      </c>
      <c r="AK56" s="71" t="s">
        <v>124</v>
      </c>
      <c r="AL56" s="73" t="n">
        <v>27750000</v>
      </c>
      <c r="AM56" s="75" t="n">
        <v>0.0155</v>
      </c>
      <c r="AN56" s="71"/>
      <c r="AO56" s="73"/>
      <c r="AP56" s="75"/>
      <c r="AQ56" s="73" t="n">
        <v>9250000</v>
      </c>
      <c r="AR56" s="74" t="n">
        <v>0.108</v>
      </c>
      <c r="AT56" s="44" t="n">
        <f aca="false">IF($D56="",0,IF(OR(StratFilter="All Loans",$E56=StratFilter),1,0))</f>
        <v>1</v>
      </c>
      <c r="AU56" s="27" t="str">
        <f aca="false">IF($D56="","",IFERROR(VLOOKUP(TRIM($K56),PropTypeMap,2,FALSE()),"Unmapped"))</f>
        <v>Multifamily</v>
      </c>
      <c r="AV56" s="30" t="str">
        <f aca="false">IF($D56="","",IFERROR(VLOOKUP($J56,RegionMap,2,FALSE()),"Unmapped"))</f>
        <v>Southeast</v>
      </c>
      <c r="AW56" s="30" t="str">
        <f aca="false">IF($D56="","",IF($AC56="SOFR","Floating (SOFR)","Fixed / All-In"))</f>
        <v>Floating (SOFR)</v>
      </c>
      <c r="AX56" s="33" t="n">
        <f aca="false">IF($D56="","",$AD56+SOFR)</f>
        <v>0.066</v>
      </c>
      <c r="AY56" s="30" t="str">
        <f aca="false">IF($D56="","",IF($AF56="Waived","Waived",IF(ISNUMBER($AF56),IF($AF56&gt;AsOfDate,"In Place","Expired"),"None Reported")))</f>
        <v>In Place</v>
      </c>
      <c r="AZ56" s="30" t="str">
        <f aca="false">IF($D56="","",IF(ISNUMBER($AG56),IF($AG56=0,"None",$AG56&amp;" Months"),IF($AG56="","None Reported",$AG56)))</f>
        <v>6 Months</v>
      </c>
      <c r="BA56" s="27" t="str">
        <f aca="false">IF($D56="","",IF($AK56="","Unlevered",$AK56))</f>
        <v>UBS</v>
      </c>
      <c r="BB56" s="31" t="n">
        <f aca="false">IF($D56="","",SUM($AL56,$AO56))</f>
        <v>27750000</v>
      </c>
      <c r="BC56" s="32" t="n">
        <f aca="false">IF($D56="","",IF($P56&gt;0,$BB56/$P56,0))</f>
        <v>0.75</v>
      </c>
      <c r="BD56" s="34" t="n">
        <f aca="false">IF($D56="","",(AsOfDate-$AH56)/DaysPerMonth)</f>
        <v>7.95071868583162</v>
      </c>
      <c r="BE56" s="34" t="n">
        <f aca="false">IF($D56="","",($AI56-AsOfDate)/DaysPerMonth)</f>
        <v>29.0759753593429</v>
      </c>
      <c r="BF56" s="34" t="n">
        <f aca="false">IF($D56="","",($AJ56-AsOfDate)/DaysPerMonth)</f>
        <v>41.0677618069815</v>
      </c>
      <c r="BG56" s="34" t="n">
        <f aca="false">IF($D56="","",MAX(0,$BE56))</f>
        <v>29.0759753593429</v>
      </c>
      <c r="BH56" s="34" t="n">
        <f aca="false">IF($D56="","",MAX(0,$BF56))</f>
        <v>41.0677618069815</v>
      </c>
      <c r="BI56" s="77" t="n">
        <f aca="false">IF($D56="","",YEAR($AI56))</f>
        <v>2028</v>
      </c>
      <c r="BJ56" s="77" t="n">
        <f aca="false">IF($D56="","",YEAR($AJ56))</f>
        <v>2029</v>
      </c>
      <c r="BK56" s="77" t="n">
        <f aca="false">IF($D56="","",YEAR($AH56))</f>
        <v>2025</v>
      </c>
      <c r="BL56" s="78" t="n">
        <v>2016</v>
      </c>
      <c r="BM56" s="44" t="n">
        <f aca="false">IF($AT56=1,$P56+(1000-ROW())/1000000,0)</f>
        <v>37000000.000944</v>
      </c>
    </row>
    <row r="57" customFormat="false" ht="15" hidden="false" customHeight="false" outlineLevel="0" collapsed="false">
      <c r="B57" s="60" t="n">
        <v>53</v>
      </c>
      <c r="C57" s="61" t="n">
        <v>30310</v>
      </c>
      <c r="D57" s="62" t="s">
        <v>421</v>
      </c>
      <c r="E57" s="62" t="s">
        <v>72</v>
      </c>
      <c r="F57" s="62" t="s">
        <v>72</v>
      </c>
      <c r="G57" s="62" t="s">
        <v>87</v>
      </c>
      <c r="H57" s="62" t="s">
        <v>422</v>
      </c>
      <c r="I57" s="63" t="s">
        <v>423</v>
      </c>
      <c r="J57" s="63" t="s">
        <v>423</v>
      </c>
      <c r="K57" s="63" t="s">
        <v>306</v>
      </c>
      <c r="L57" s="60" t="n">
        <v>267</v>
      </c>
      <c r="M57" s="60"/>
      <c r="N57" s="63" t="s">
        <v>424</v>
      </c>
      <c r="O57" s="63" t="n">
        <v>2017</v>
      </c>
      <c r="P57" s="64" t="n">
        <v>35000000</v>
      </c>
      <c r="Q57" s="64" t="n">
        <v>0</v>
      </c>
      <c r="R57" s="64" t="n">
        <v>35000000</v>
      </c>
      <c r="S57" s="64" t="n">
        <v>3000000</v>
      </c>
      <c r="T57" s="64" t="n">
        <v>38000000</v>
      </c>
      <c r="U57" s="64" t="n">
        <v>46000000</v>
      </c>
      <c r="V57" s="64" t="n">
        <v>47300000</v>
      </c>
      <c r="W57" s="65" t="n">
        <v>0.736802282608696</v>
      </c>
      <c r="X57" s="65" t="n">
        <v>0.80338266384778</v>
      </c>
      <c r="Y57" s="57" t="n">
        <v>0.0295</v>
      </c>
      <c r="Z57" s="57" t="n">
        <v>0.0325</v>
      </c>
      <c r="AA57" s="57" t="n">
        <v>0</v>
      </c>
      <c r="AB57" s="57" t="n">
        <v>0</v>
      </c>
      <c r="AC57" s="63" t="s">
        <v>308</v>
      </c>
      <c r="AD57" s="57" t="n">
        <v>0.0295</v>
      </c>
      <c r="AE57" s="57" t="n">
        <v>0.045</v>
      </c>
      <c r="AF57" s="66" t="n">
        <v>46692</v>
      </c>
      <c r="AG57" s="63" t="n">
        <v>6</v>
      </c>
      <c r="AH57" s="66" t="n">
        <v>45939</v>
      </c>
      <c r="AI57" s="66" t="n">
        <v>46692</v>
      </c>
      <c r="AJ57" s="66" t="n">
        <v>46692</v>
      </c>
      <c r="AK57" s="62" t="s">
        <v>124</v>
      </c>
      <c r="AL57" s="64" t="n">
        <v>24500000</v>
      </c>
      <c r="AM57" s="57" t="n">
        <v>0.0145</v>
      </c>
      <c r="AN57" s="62"/>
      <c r="AO57" s="64"/>
      <c r="AP57" s="57"/>
      <c r="AQ57" s="64" t="n">
        <v>10500000</v>
      </c>
      <c r="AR57" s="65" t="n">
        <v>0.101</v>
      </c>
      <c r="AT57" s="26" t="n">
        <f aca="false">IF($D57="",0,IF(OR(StratFilter="All Loans",$E57=StratFilter),1,0))</f>
        <v>1</v>
      </c>
      <c r="AU57" s="18" t="str">
        <f aca="false">IF($D57="","",IFERROR(VLOOKUP(TRIM($K57),PropTypeMap,2,FALSE()),"Unmapped"))</f>
        <v>Multifamily</v>
      </c>
      <c r="AV57" s="21" t="str">
        <f aca="false">IF($D57="","",IFERROR(VLOOKUP($J57,RegionMap,2,FALSE()),"Unmapped"))</f>
        <v>Midwest</v>
      </c>
      <c r="AW57" s="21" t="str">
        <f aca="false">IF($D57="","",IF($AC57="SOFR","Floating (SOFR)","Fixed / All-In"))</f>
        <v>Floating (SOFR)</v>
      </c>
      <c r="AX57" s="24" t="n">
        <f aca="false">IF($D57="","",$AD57+SOFR)</f>
        <v>0.066</v>
      </c>
      <c r="AY57" s="21" t="str">
        <f aca="false">IF($D57="","",IF($AF57="Waived","Waived",IF(ISNUMBER($AF57),IF($AF57&gt;AsOfDate,"In Place","Expired"),"None Reported")))</f>
        <v>In Place</v>
      </c>
      <c r="AZ57" s="21" t="str">
        <f aca="false">IF($D57="","",IF(ISNUMBER($AG57),IF($AG57=0,"None",$AG57&amp;" Months"),IF($AG57="","None Reported",$AG57)))</f>
        <v>6 Months</v>
      </c>
      <c r="BA57" s="18" t="str">
        <f aca="false">IF($D57="","",IF($AK57="","Unlevered",$AK57))</f>
        <v>UBS</v>
      </c>
      <c r="BB57" s="22" t="n">
        <f aca="false">IF($D57="","",SUM($AL57,$AO57))</f>
        <v>24500000</v>
      </c>
      <c r="BC57" s="23" t="n">
        <f aca="false">IF($D57="","",IF($P57&gt;0,$BB57/$P57,0))</f>
        <v>0.7</v>
      </c>
      <c r="BD57" s="25" t="n">
        <f aca="false">IF($D57="","",(AsOfDate-$AH57)/DaysPerMonth)</f>
        <v>8.6735112936345</v>
      </c>
      <c r="BE57" s="25" t="n">
        <f aca="false">IF($D57="","",($AI57-AsOfDate)/DaysPerMonth)</f>
        <v>16.0657084188912</v>
      </c>
      <c r="BF57" s="25" t="n">
        <f aca="false">IF($D57="","",($AJ57-AsOfDate)/DaysPerMonth)</f>
        <v>16.0657084188912</v>
      </c>
      <c r="BG57" s="25" t="n">
        <f aca="false">IF($D57="","",MAX(0,$BE57))</f>
        <v>16.0657084188912</v>
      </c>
      <c r="BH57" s="25" t="n">
        <f aca="false">IF($D57="","",MAX(0,$BF57))</f>
        <v>16.0657084188912</v>
      </c>
      <c r="BI57" s="67" t="n">
        <f aca="false">IF($D57="","",YEAR($AI57))</f>
        <v>2027</v>
      </c>
      <c r="BJ57" s="67" t="n">
        <f aca="false">IF($D57="","",YEAR($AJ57))</f>
        <v>2027</v>
      </c>
      <c r="BK57" s="67" t="n">
        <f aca="false">IF($D57="","",YEAR($AH57))</f>
        <v>2025</v>
      </c>
      <c r="BL57" s="68" t="n">
        <v>1929</v>
      </c>
      <c r="BM57" s="26" t="n">
        <f aca="false">IF($AT57=1,$P57+(1000-ROW())/1000000,0)</f>
        <v>35000000.000943</v>
      </c>
    </row>
    <row r="58" customFormat="false" ht="15" hidden="false" customHeight="false" outlineLevel="0" collapsed="false">
      <c r="B58" s="69" t="n">
        <v>54</v>
      </c>
      <c r="C58" s="70" t="n">
        <v>30068</v>
      </c>
      <c r="D58" s="71" t="s">
        <v>425</v>
      </c>
      <c r="E58" s="71" t="s">
        <v>72</v>
      </c>
      <c r="F58" s="71" t="s">
        <v>72</v>
      </c>
      <c r="G58" s="71" t="s">
        <v>87</v>
      </c>
      <c r="H58" s="71" t="s">
        <v>426</v>
      </c>
      <c r="I58" s="72" t="s">
        <v>94</v>
      </c>
      <c r="J58" s="72" t="s">
        <v>94</v>
      </c>
      <c r="K58" s="72" t="s">
        <v>306</v>
      </c>
      <c r="L58" s="69" t="n">
        <v>192</v>
      </c>
      <c r="M58" s="69"/>
      <c r="N58" s="72" t="n">
        <v>1988</v>
      </c>
      <c r="O58" s="72" t="s">
        <v>311</v>
      </c>
      <c r="P58" s="73" t="n">
        <v>39336000</v>
      </c>
      <c r="Q58" s="73" t="n">
        <v>0</v>
      </c>
      <c r="R58" s="73" t="n">
        <v>39336000</v>
      </c>
      <c r="S58" s="73" t="n">
        <v>0</v>
      </c>
      <c r="T58" s="73" t="n">
        <v>39336000</v>
      </c>
      <c r="U58" s="73" t="n">
        <v>46000000</v>
      </c>
      <c r="V58" s="73" t="n">
        <v>52500000</v>
      </c>
      <c r="W58" s="74" t="n">
        <v>0.796434782608696</v>
      </c>
      <c r="X58" s="74" t="n">
        <v>0.749257142857143</v>
      </c>
      <c r="Y58" s="75" t="n">
        <v>0.0335</v>
      </c>
      <c r="Z58" s="75" t="n">
        <v>0.0015</v>
      </c>
      <c r="AA58" s="75" t="n">
        <v>0.001</v>
      </c>
      <c r="AB58" s="75" t="n">
        <v>0</v>
      </c>
      <c r="AC58" s="72" t="s">
        <v>308</v>
      </c>
      <c r="AD58" s="75" t="n">
        <v>0.0345</v>
      </c>
      <c r="AE58" s="75"/>
      <c r="AF58" s="76"/>
      <c r="AG58" s="72" t="n">
        <v>6</v>
      </c>
      <c r="AH58" s="76" t="n">
        <v>44418</v>
      </c>
      <c r="AI58" s="76" t="n">
        <v>45170</v>
      </c>
      <c r="AJ58" s="76" t="n">
        <v>46235</v>
      </c>
      <c r="AK58" s="71" t="s">
        <v>124</v>
      </c>
      <c r="AL58" s="73" t="n">
        <v>23916288</v>
      </c>
      <c r="AM58" s="75" t="n">
        <v>0.01765</v>
      </c>
      <c r="AN58" s="71"/>
      <c r="AO58" s="73"/>
      <c r="AP58" s="75"/>
      <c r="AQ58" s="73" t="n">
        <v>15419712</v>
      </c>
      <c r="AR58" s="74" t="n">
        <v>0.0971346938775511</v>
      </c>
      <c r="AT58" s="44" t="n">
        <f aca="false">IF($D58="",0,IF(OR(StratFilter="All Loans",$E58=StratFilter),1,0))</f>
        <v>1</v>
      </c>
      <c r="AU58" s="27" t="str">
        <f aca="false">IF($D58="","",IFERROR(VLOOKUP(TRIM($K58),PropTypeMap,2,FALSE()),"Unmapped"))</f>
        <v>Multifamily</v>
      </c>
      <c r="AV58" s="30" t="str">
        <f aca="false">IF($D58="","",IFERROR(VLOOKUP($J58,RegionMap,2,FALSE()),"Unmapped"))</f>
        <v>Pacific</v>
      </c>
      <c r="AW58" s="30" t="str">
        <f aca="false">IF($D58="","",IF($AC58="SOFR","Floating (SOFR)","Fixed / All-In"))</f>
        <v>Floating (SOFR)</v>
      </c>
      <c r="AX58" s="33" t="n">
        <f aca="false">IF($D58="","",$AD58+SOFR)</f>
        <v>0.071</v>
      </c>
      <c r="AY58" s="30" t="str">
        <f aca="false">IF($D58="","",IF($AF58="Waived","Waived",IF(ISNUMBER($AF58),IF($AF58&gt;AsOfDate,"In Place","Expired"),"None Reported")))</f>
        <v>None Reported</v>
      </c>
      <c r="AZ58" s="30" t="str">
        <f aca="false">IF($D58="","",IF(ISNUMBER($AG58),IF($AG58=0,"None",$AG58&amp;" Months"),IF($AG58="","None Reported",$AG58)))</f>
        <v>6 Months</v>
      </c>
      <c r="BA58" s="27" t="str">
        <f aca="false">IF($D58="","",IF($AK58="","Unlevered",$AK58))</f>
        <v>UBS</v>
      </c>
      <c r="BB58" s="31" t="n">
        <f aca="false">IF($D58="","",SUM($AL58,$AO58))</f>
        <v>23916288</v>
      </c>
      <c r="BC58" s="32" t="n">
        <f aca="false">IF($D58="","",IF($P58&gt;0,$BB58/$P58,0))</f>
        <v>0.608</v>
      </c>
      <c r="BD58" s="34" t="n">
        <f aca="false">IF($D58="","",(AsOfDate-$AH58)/DaysPerMonth)</f>
        <v>58.6447638603696</v>
      </c>
      <c r="BE58" s="34" t="n">
        <f aca="false">IF($D58="","",($AI58-AsOfDate)/DaysPerMonth)</f>
        <v>-33.9383983572895</v>
      </c>
      <c r="BF58" s="34" t="n">
        <f aca="false">IF($D58="","",($AJ58-AsOfDate)/DaysPerMonth)</f>
        <v>1.05133470225873</v>
      </c>
      <c r="BG58" s="34" t="n">
        <f aca="false">IF($D58="","",MAX(0,$BE58))</f>
        <v>0</v>
      </c>
      <c r="BH58" s="34" t="n">
        <f aca="false">IF($D58="","",MAX(0,$BF58))</f>
        <v>1.05133470225873</v>
      </c>
      <c r="BI58" s="77" t="n">
        <f aca="false">IF($D58="","",YEAR($AI58))</f>
        <v>2023</v>
      </c>
      <c r="BJ58" s="77" t="n">
        <f aca="false">IF($D58="","",YEAR($AJ58))</f>
        <v>2026</v>
      </c>
      <c r="BK58" s="77" t="n">
        <f aca="false">IF($D58="","",YEAR($AH58))</f>
        <v>2021</v>
      </c>
      <c r="BL58" s="78" t="n">
        <v>1988</v>
      </c>
      <c r="BM58" s="44" t="n">
        <f aca="false">IF($AT58=1,$P58+(1000-ROW())/1000000,0)</f>
        <v>39336000.000942</v>
      </c>
    </row>
    <row r="59" customFormat="false" ht="15" hidden="false" customHeight="false" outlineLevel="0" collapsed="false">
      <c r="B59" s="60" t="n">
        <v>55</v>
      </c>
      <c r="C59" s="61" t="n">
        <v>30276</v>
      </c>
      <c r="D59" s="62" t="s">
        <v>427</v>
      </c>
      <c r="E59" s="62" t="s">
        <v>72</v>
      </c>
      <c r="F59" s="62" t="s">
        <v>72</v>
      </c>
      <c r="G59" s="62" t="s">
        <v>87</v>
      </c>
      <c r="H59" s="62" t="s">
        <v>428</v>
      </c>
      <c r="I59" s="63" t="s">
        <v>92</v>
      </c>
      <c r="J59" s="63" t="s">
        <v>92</v>
      </c>
      <c r="K59" s="63" t="s">
        <v>306</v>
      </c>
      <c r="L59" s="60" t="n">
        <v>248</v>
      </c>
      <c r="M59" s="60"/>
      <c r="N59" s="63" t="n">
        <v>2022</v>
      </c>
      <c r="O59" s="63" t="s">
        <v>311</v>
      </c>
      <c r="P59" s="64" t="n">
        <v>25750000</v>
      </c>
      <c r="Q59" s="64" t="n">
        <v>0</v>
      </c>
      <c r="R59" s="64" t="n">
        <v>25750000</v>
      </c>
      <c r="S59" s="64" t="n">
        <v>0</v>
      </c>
      <c r="T59" s="64" t="n">
        <v>25750000</v>
      </c>
      <c r="U59" s="64" t="n">
        <v>34700000</v>
      </c>
      <c r="V59" s="64" t="n">
        <v>38700000</v>
      </c>
      <c r="W59" s="65" t="n">
        <v>0.742074927953891</v>
      </c>
      <c r="X59" s="65" t="n">
        <v>0.665374677002584</v>
      </c>
      <c r="Y59" s="57" t="n">
        <v>0.0375</v>
      </c>
      <c r="Z59" s="57" t="n">
        <v>0.0375</v>
      </c>
      <c r="AA59" s="57" t="n">
        <v>0</v>
      </c>
      <c r="AB59" s="57" t="n">
        <v>0</v>
      </c>
      <c r="AC59" s="63" t="s">
        <v>308</v>
      </c>
      <c r="AD59" s="57" t="n">
        <v>0.0385</v>
      </c>
      <c r="AE59" s="57" t="n">
        <v>0.0425</v>
      </c>
      <c r="AF59" s="66" t="n">
        <v>46631</v>
      </c>
      <c r="AG59" s="63" t="n">
        <v>6</v>
      </c>
      <c r="AH59" s="66" t="n">
        <v>45707</v>
      </c>
      <c r="AI59" s="66" t="n">
        <v>46447</v>
      </c>
      <c r="AJ59" s="66" t="n">
        <v>46813</v>
      </c>
      <c r="AK59" s="62" t="s">
        <v>124</v>
      </c>
      <c r="AL59" s="64" t="n">
        <v>20600000</v>
      </c>
      <c r="AM59" s="57" t="n">
        <v>0.018</v>
      </c>
      <c r="AN59" s="62"/>
      <c r="AO59" s="64"/>
      <c r="AP59" s="57"/>
      <c r="AQ59" s="64" t="n">
        <v>5150000</v>
      </c>
      <c r="AR59" s="65" t="n">
        <v>0.157</v>
      </c>
      <c r="AT59" s="26" t="n">
        <f aca="false">IF($D59="",0,IF(OR(StratFilter="All Loans",$E59=StratFilter),1,0))</f>
        <v>1</v>
      </c>
      <c r="AU59" s="18" t="str">
        <f aca="false">IF($D59="","",IFERROR(VLOOKUP(TRIM($K59),PropTypeMap,2,FALSE()),"Unmapped"))</f>
        <v>Multifamily</v>
      </c>
      <c r="AV59" s="21" t="str">
        <f aca="false">IF($D59="","",IFERROR(VLOOKUP($J59,RegionMap,2,FALSE()),"Unmapped"))</f>
        <v>Southwest</v>
      </c>
      <c r="AW59" s="21" t="str">
        <f aca="false">IF($D59="","",IF($AC59="SOFR","Floating (SOFR)","Fixed / All-In"))</f>
        <v>Floating (SOFR)</v>
      </c>
      <c r="AX59" s="24" t="n">
        <f aca="false">IF($D59="","",$AD59+SOFR)</f>
        <v>0.075</v>
      </c>
      <c r="AY59" s="21" t="str">
        <f aca="false">IF($D59="","",IF($AF59="Waived","Waived",IF(ISNUMBER($AF59),IF($AF59&gt;AsOfDate,"In Place","Expired"),"None Reported")))</f>
        <v>In Place</v>
      </c>
      <c r="AZ59" s="21" t="str">
        <f aca="false">IF($D59="","",IF(ISNUMBER($AG59),IF($AG59=0,"None",$AG59&amp;" Months"),IF($AG59="","None Reported",$AG59)))</f>
        <v>6 Months</v>
      </c>
      <c r="BA59" s="18" t="str">
        <f aca="false">IF($D59="","",IF($AK59="","Unlevered",$AK59))</f>
        <v>UBS</v>
      </c>
      <c r="BB59" s="22" t="n">
        <f aca="false">IF($D59="","",SUM($AL59,$AO59))</f>
        <v>20600000</v>
      </c>
      <c r="BC59" s="23" t="n">
        <f aca="false">IF($D59="","",IF($P59&gt;0,$BB59/$P59,0))</f>
        <v>0.8</v>
      </c>
      <c r="BD59" s="25" t="n">
        <f aca="false">IF($D59="","",(AsOfDate-$AH59)/DaysPerMonth)</f>
        <v>16.2956878850103</v>
      </c>
      <c r="BE59" s="25" t="n">
        <f aca="false">IF($D59="","",($AI59-AsOfDate)/DaysPerMonth)</f>
        <v>8.01642710472279</v>
      </c>
      <c r="BF59" s="25" t="n">
        <f aca="false">IF($D59="","",($AJ59-AsOfDate)/DaysPerMonth)</f>
        <v>20.041067761807</v>
      </c>
      <c r="BG59" s="25" t="n">
        <f aca="false">IF($D59="","",MAX(0,$BE59))</f>
        <v>8.01642710472279</v>
      </c>
      <c r="BH59" s="25" t="n">
        <f aca="false">IF($D59="","",MAX(0,$BF59))</f>
        <v>20.041067761807</v>
      </c>
      <c r="BI59" s="67" t="n">
        <f aca="false">IF($D59="","",YEAR($AI59))</f>
        <v>2027</v>
      </c>
      <c r="BJ59" s="67" t="n">
        <f aca="false">IF($D59="","",YEAR($AJ59))</f>
        <v>2028</v>
      </c>
      <c r="BK59" s="67" t="n">
        <f aca="false">IF($D59="","",YEAR($AH59))</f>
        <v>2025</v>
      </c>
      <c r="BL59" s="68" t="n">
        <v>2022</v>
      </c>
      <c r="BM59" s="26" t="n">
        <f aca="false">IF($AT59=1,$P59+(1000-ROW())/1000000,0)</f>
        <v>25750000.000941</v>
      </c>
    </row>
    <row r="60" customFormat="false" ht="15" hidden="false" customHeight="false" outlineLevel="0" collapsed="false">
      <c r="B60" s="69" t="n">
        <v>56</v>
      </c>
      <c r="C60" s="70" t="n">
        <v>30316</v>
      </c>
      <c r="D60" s="71" t="s">
        <v>429</v>
      </c>
      <c r="E60" s="71" t="s">
        <v>72</v>
      </c>
      <c r="F60" s="71" t="s">
        <v>72</v>
      </c>
      <c r="G60" s="71" t="s">
        <v>87</v>
      </c>
      <c r="H60" s="71" t="s">
        <v>430</v>
      </c>
      <c r="I60" s="72" t="s">
        <v>93</v>
      </c>
      <c r="J60" s="72" t="s">
        <v>93</v>
      </c>
      <c r="K60" s="72" t="s">
        <v>306</v>
      </c>
      <c r="L60" s="69" t="n">
        <v>84</v>
      </c>
      <c r="M60" s="69"/>
      <c r="N60" s="72" t="n">
        <v>1818</v>
      </c>
      <c r="O60" s="72" t="s">
        <v>311</v>
      </c>
      <c r="P60" s="73" t="n">
        <v>24000000</v>
      </c>
      <c r="Q60" s="73" t="n">
        <v>0</v>
      </c>
      <c r="R60" s="73" t="n">
        <v>24000000</v>
      </c>
      <c r="S60" s="73" t="n">
        <v>0</v>
      </c>
      <c r="T60" s="73" t="n">
        <v>24000000</v>
      </c>
      <c r="U60" s="73" t="n">
        <v>33500000</v>
      </c>
      <c r="V60" s="73" t="n">
        <v>35950000</v>
      </c>
      <c r="W60" s="74" t="n">
        <v>0.716417910447761</v>
      </c>
      <c r="X60" s="74" t="n">
        <v>0.66759388038943</v>
      </c>
      <c r="Y60" s="75" t="n">
        <v>0.0325</v>
      </c>
      <c r="Z60" s="75" t="n">
        <v>0.0325</v>
      </c>
      <c r="AA60" s="75" t="n">
        <v>0</v>
      </c>
      <c r="AB60" s="75" t="n">
        <v>0</v>
      </c>
      <c r="AC60" s="72" t="s">
        <v>308</v>
      </c>
      <c r="AD60" s="75" t="n">
        <v>0.0325</v>
      </c>
      <c r="AE60" s="75" t="n">
        <v>0.0425</v>
      </c>
      <c r="AF60" s="76" t="n">
        <v>46813</v>
      </c>
      <c r="AG60" s="72" t="n">
        <v>0</v>
      </c>
      <c r="AH60" s="76" t="n">
        <v>46070</v>
      </c>
      <c r="AI60" s="76" t="n">
        <v>46813</v>
      </c>
      <c r="AJ60" s="76" t="n">
        <v>47178</v>
      </c>
      <c r="AK60" s="71" t="s">
        <v>124</v>
      </c>
      <c r="AL60" s="73" t="n">
        <v>19200000</v>
      </c>
      <c r="AM60" s="75" t="n">
        <v>0.0155</v>
      </c>
      <c r="AN60" s="71"/>
      <c r="AO60" s="73"/>
      <c r="AP60" s="75"/>
      <c r="AQ60" s="73" t="n">
        <v>4800000</v>
      </c>
      <c r="AR60" s="74" t="n">
        <v>0.137</v>
      </c>
      <c r="AT60" s="44" t="n">
        <f aca="false">IF($D60="",0,IF(OR(StratFilter="All Loans",$E60=StratFilter),1,0))</f>
        <v>1</v>
      </c>
      <c r="AU60" s="27" t="str">
        <f aca="false">IF($D60="","",IFERROR(VLOOKUP(TRIM($K60),PropTypeMap,2,FALSE()),"Unmapped"))</f>
        <v>Multifamily</v>
      </c>
      <c r="AV60" s="30" t="str">
        <f aca="false">IF($D60="","",IFERROR(VLOOKUP($J60,RegionMap,2,FALSE()),"Unmapped"))</f>
        <v>Northeast</v>
      </c>
      <c r="AW60" s="30" t="str">
        <f aca="false">IF($D60="","",IF($AC60="SOFR","Floating (SOFR)","Fixed / All-In"))</f>
        <v>Floating (SOFR)</v>
      </c>
      <c r="AX60" s="33" t="n">
        <f aca="false">IF($D60="","",$AD60+SOFR)</f>
        <v>0.069</v>
      </c>
      <c r="AY60" s="30" t="str">
        <f aca="false">IF($D60="","",IF($AF60="Waived","Waived",IF(ISNUMBER($AF60),IF($AF60&gt;AsOfDate,"In Place","Expired"),"None Reported")))</f>
        <v>In Place</v>
      </c>
      <c r="AZ60" s="30" t="str">
        <f aca="false">IF($D60="","",IF(ISNUMBER($AG60),IF($AG60=0,"None",$AG60&amp;" Months"),IF($AG60="","None Reported",$AG60)))</f>
        <v>None</v>
      </c>
      <c r="BA60" s="27" t="str">
        <f aca="false">IF($D60="","",IF($AK60="","Unlevered",$AK60))</f>
        <v>UBS</v>
      </c>
      <c r="BB60" s="31" t="n">
        <f aca="false">IF($D60="","",SUM($AL60,$AO60))</f>
        <v>19200000</v>
      </c>
      <c r="BC60" s="32" t="n">
        <f aca="false">IF($D60="","",IF($P60&gt;0,$BB60/$P60,0))</f>
        <v>0.8</v>
      </c>
      <c r="BD60" s="34" t="n">
        <f aca="false">IF($D60="","",(AsOfDate-$AH60)/DaysPerMonth)</f>
        <v>4.36960985626283</v>
      </c>
      <c r="BE60" s="34" t="n">
        <f aca="false">IF($D60="","",($AI60-AsOfDate)/DaysPerMonth)</f>
        <v>20.041067761807</v>
      </c>
      <c r="BF60" s="34" t="n">
        <f aca="false">IF($D60="","",($AJ60-AsOfDate)/DaysPerMonth)</f>
        <v>32.0328542094456</v>
      </c>
      <c r="BG60" s="34" t="n">
        <f aca="false">IF($D60="","",MAX(0,$BE60))</f>
        <v>20.041067761807</v>
      </c>
      <c r="BH60" s="34" t="n">
        <f aca="false">IF($D60="","",MAX(0,$BF60))</f>
        <v>32.0328542094456</v>
      </c>
      <c r="BI60" s="77" t="n">
        <f aca="false">IF($D60="","",YEAR($AI60))</f>
        <v>2028</v>
      </c>
      <c r="BJ60" s="77" t="n">
        <f aca="false">IF($D60="","",YEAR($AJ60))</f>
        <v>2029</v>
      </c>
      <c r="BK60" s="77" t="n">
        <f aca="false">IF($D60="","",YEAR($AH60))</f>
        <v>2026</v>
      </c>
      <c r="BL60" s="78" t="n">
        <v>1818</v>
      </c>
      <c r="BM60" s="44" t="n">
        <f aca="false">IF($AT60=1,$P60+(1000-ROW())/1000000,0)</f>
        <v>24000000.00094</v>
      </c>
    </row>
    <row r="61" customFormat="false" ht="15" hidden="false" customHeight="false" outlineLevel="0" collapsed="false">
      <c r="B61" s="60" t="n">
        <v>57</v>
      </c>
      <c r="C61" s="61" t="n">
        <v>30152</v>
      </c>
      <c r="D61" s="62" t="s">
        <v>431</v>
      </c>
      <c r="E61" s="62" t="s">
        <v>72</v>
      </c>
      <c r="F61" s="62" t="s">
        <v>72</v>
      </c>
      <c r="G61" s="62" t="s">
        <v>88</v>
      </c>
      <c r="H61" s="62" t="s">
        <v>432</v>
      </c>
      <c r="I61" s="63" t="s">
        <v>92</v>
      </c>
      <c r="J61" s="63" t="s">
        <v>92</v>
      </c>
      <c r="K61" s="63" t="s">
        <v>306</v>
      </c>
      <c r="L61" s="60" t="n">
        <v>232</v>
      </c>
      <c r="M61" s="60"/>
      <c r="N61" s="63" t="n">
        <v>1983</v>
      </c>
      <c r="O61" s="63" t="s">
        <v>433</v>
      </c>
      <c r="P61" s="64" t="n">
        <v>21040000</v>
      </c>
      <c r="Q61" s="64" t="n">
        <v>0</v>
      </c>
      <c r="R61" s="64" t="n">
        <v>21040000</v>
      </c>
      <c r="S61" s="64" t="n">
        <v>1160000</v>
      </c>
      <c r="T61" s="64" t="n">
        <v>22200000</v>
      </c>
      <c r="U61" s="64" t="n">
        <v>24800000</v>
      </c>
      <c r="V61" s="64" t="n">
        <v>29400000</v>
      </c>
      <c r="W61" s="65" t="n">
        <v>0.811693548387097</v>
      </c>
      <c r="X61" s="65" t="n">
        <v>0.755102040816327</v>
      </c>
      <c r="Y61" s="57" t="n">
        <v>0.0385</v>
      </c>
      <c r="Z61" s="57" t="n">
        <v>0.0015</v>
      </c>
      <c r="AA61" s="57" t="n">
        <v>0.001</v>
      </c>
      <c r="AB61" s="57" t="n">
        <v>0</v>
      </c>
      <c r="AC61" s="63" t="s">
        <v>308</v>
      </c>
      <c r="AD61" s="57" t="n">
        <v>0.0395</v>
      </c>
      <c r="AE61" s="57"/>
      <c r="AF61" s="66"/>
      <c r="AG61" s="63" t="n">
        <v>6</v>
      </c>
      <c r="AH61" s="66" t="n">
        <v>44677</v>
      </c>
      <c r="AI61" s="66" t="n">
        <v>45413</v>
      </c>
      <c r="AJ61" s="66" t="n">
        <v>46235</v>
      </c>
      <c r="AK61" s="62" t="s">
        <v>124</v>
      </c>
      <c r="AL61" s="64" t="n">
        <v>12624000</v>
      </c>
      <c r="AM61" s="57" t="n">
        <v>0.01865</v>
      </c>
      <c r="AN61" s="62"/>
      <c r="AO61" s="64"/>
      <c r="AP61" s="57"/>
      <c r="AQ61" s="64" t="n">
        <v>8416000</v>
      </c>
      <c r="AR61" s="65" t="n">
        <v>0.107275</v>
      </c>
      <c r="AT61" s="26" t="n">
        <f aca="false">IF($D61="",0,IF(OR(StratFilter="All Loans",$E61=StratFilter),1,0))</f>
        <v>1</v>
      </c>
      <c r="AU61" s="18" t="str">
        <f aca="false">IF($D61="","",IFERROR(VLOOKUP(TRIM($K61),PropTypeMap,2,FALSE()),"Unmapped"))</f>
        <v>Multifamily</v>
      </c>
      <c r="AV61" s="21" t="str">
        <f aca="false">IF($D61="","",IFERROR(VLOOKUP($J61,RegionMap,2,FALSE()),"Unmapped"))</f>
        <v>Southwest</v>
      </c>
      <c r="AW61" s="21" t="str">
        <f aca="false">IF($D61="","",IF($AC61="SOFR","Floating (SOFR)","Fixed / All-In"))</f>
        <v>Floating (SOFR)</v>
      </c>
      <c r="AX61" s="24" t="n">
        <f aca="false">IF($D61="","",$AD61+SOFR)</f>
        <v>0.076</v>
      </c>
      <c r="AY61" s="21" t="str">
        <f aca="false">IF($D61="","",IF($AF61="Waived","Waived",IF(ISNUMBER($AF61),IF($AF61&gt;AsOfDate,"In Place","Expired"),"None Reported")))</f>
        <v>None Reported</v>
      </c>
      <c r="AZ61" s="21" t="str">
        <f aca="false">IF($D61="","",IF(ISNUMBER($AG61),IF($AG61=0,"None",$AG61&amp;" Months"),IF($AG61="","None Reported",$AG61)))</f>
        <v>6 Months</v>
      </c>
      <c r="BA61" s="18" t="str">
        <f aca="false">IF($D61="","",IF($AK61="","Unlevered",$AK61))</f>
        <v>UBS</v>
      </c>
      <c r="BB61" s="22" t="n">
        <f aca="false">IF($D61="","",SUM($AL61,$AO61))</f>
        <v>12624000</v>
      </c>
      <c r="BC61" s="23" t="n">
        <f aca="false">IF($D61="","",IF($P61&gt;0,$BB61/$P61,0))</f>
        <v>0.6</v>
      </c>
      <c r="BD61" s="25" t="n">
        <f aca="false">IF($D61="","",(AsOfDate-$AH61)/DaysPerMonth)</f>
        <v>50.135523613963</v>
      </c>
      <c r="BE61" s="25" t="n">
        <f aca="false">IF($D61="","",($AI61-AsOfDate)/DaysPerMonth)</f>
        <v>-25.9548254620123</v>
      </c>
      <c r="BF61" s="25" t="n">
        <f aca="false">IF($D61="","",($AJ61-AsOfDate)/DaysPerMonth)</f>
        <v>1.05133470225873</v>
      </c>
      <c r="BG61" s="25" t="n">
        <f aca="false">IF($D61="","",MAX(0,$BE61))</f>
        <v>0</v>
      </c>
      <c r="BH61" s="25" t="n">
        <f aca="false">IF($D61="","",MAX(0,$BF61))</f>
        <v>1.05133470225873</v>
      </c>
      <c r="BI61" s="67" t="n">
        <f aca="false">IF($D61="","",YEAR($AI61))</f>
        <v>2024</v>
      </c>
      <c r="BJ61" s="67" t="n">
        <f aca="false">IF($D61="","",YEAR($AJ61))</f>
        <v>2026</v>
      </c>
      <c r="BK61" s="67" t="n">
        <f aca="false">IF($D61="","",YEAR($AH61))</f>
        <v>2022</v>
      </c>
      <c r="BL61" s="68" t="n">
        <v>1983</v>
      </c>
      <c r="BM61" s="26" t="n">
        <f aca="false">IF($AT61=1,$P61+(1000-ROW())/1000000,0)</f>
        <v>21040000.000939</v>
      </c>
    </row>
    <row r="62" customFormat="false" ht="15" hidden="false" customHeight="false" outlineLevel="0" collapsed="false">
      <c r="B62" s="69" t="n">
        <v>58</v>
      </c>
      <c r="C62" s="70" t="n">
        <v>30305</v>
      </c>
      <c r="D62" s="71" t="s">
        <v>434</v>
      </c>
      <c r="E62" s="71" t="s">
        <v>72</v>
      </c>
      <c r="F62" s="71" t="s">
        <v>72</v>
      </c>
      <c r="G62" s="71" t="s">
        <v>87</v>
      </c>
      <c r="H62" s="71" t="s">
        <v>435</v>
      </c>
      <c r="I62" s="72" t="s">
        <v>93</v>
      </c>
      <c r="J62" s="72" t="s">
        <v>93</v>
      </c>
      <c r="K62" s="72" t="s">
        <v>306</v>
      </c>
      <c r="L62" s="69" t="n">
        <v>752</v>
      </c>
      <c r="M62" s="69"/>
      <c r="N62" s="72" t="s">
        <v>436</v>
      </c>
      <c r="O62" s="72" t="n">
        <v>2021</v>
      </c>
      <c r="P62" s="73" t="n">
        <v>114500000</v>
      </c>
      <c r="Q62" s="73" t="n">
        <v>0</v>
      </c>
      <c r="R62" s="73" t="n">
        <v>114500000</v>
      </c>
      <c r="S62" s="73" t="n">
        <v>0</v>
      </c>
      <c r="T62" s="73" t="n">
        <v>114500000</v>
      </c>
      <c r="U62" s="73" t="n">
        <v>179500000</v>
      </c>
      <c r="V62" s="73" t="n">
        <v>202200000</v>
      </c>
      <c r="W62" s="74" t="n">
        <v>0.607242339832869</v>
      </c>
      <c r="X62" s="74" t="n">
        <v>0.566271018793274</v>
      </c>
      <c r="Y62" s="75" t="n">
        <v>0.031</v>
      </c>
      <c r="Z62" s="75" t="n">
        <v>0.03</v>
      </c>
      <c r="AA62" s="75" t="n">
        <v>0</v>
      </c>
      <c r="AB62" s="75" t="n">
        <v>0</v>
      </c>
      <c r="AC62" s="72" t="s">
        <v>308</v>
      </c>
      <c r="AD62" s="75" t="n">
        <v>0.031</v>
      </c>
      <c r="AE62" s="75" t="n">
        <v>0.043</v>
      </c>
      <c r="AF62" s="76" t="n">
        <v>46388</v>
      </c>
      <c r="AG62" s="72" t="n">
        <v>6</v>
      </c>
      <c r="AH62" s="76" t="n">
        <v>45961</v>
      </c>
      <c r="AI62" s="76" t="n">
        <v>46692</v>
      </c>
      <c r="AJ62" s="76" t="n">
        <v>47818</v>
      </c>
      <c r="AK62" s="71" t="s">
        <v>121</v>
      </c>
      <c r="AL62" s="73" t="n">
        <v>91600000</v>
      </c>
      <c r="AM62" s="75" t="n">
        <v>0.016</v>
      </c>
      <c r="AN62" s="71"/>
      <c r="AO62" s="73"/>
      <c r="AP62" s="75"/>
      <c r="AQ62" s="73" t="n">
        <v>22900000</v>
      </c>
      <c r="AR62" s="74" t="n">
        <v>0.1275</v>
      </c>
      <c r="AT62" s="44" t="n">
        <f aca="false">IF($D62="",0,IF(OR(StratFilter="All Loans",$E62=StratFilter),1,0))</f>
        <v>1</v>
      </c>
      <c r="AU62" s="27" t="str">
        <f aca="false">IF($D62="","",IFERROR(VLOOKUP(TRIM($K62),PropTypeMap,2,FALSE()),"Unmapped"))</f>
        <v>Multifamily</v>
      </c>
      <c r="AV62" s="30" t="str">
        <f aca="false">IF($D62="","",IFERROR(VLOOKUP($J62,RegionMap,2,FALSE()),"Unmapped"))</f>
        <v>Northeast</v>
      </c>
      <c r="AW62" s="30" t="str">
        <f aca="false">IF($D62="","",IF($AC62="SOFR","Floating (SOFR)","Fixed / All-In"))</f>
        <v>Floating (SOFR)</v>
      </c>
      <c r="AX62" s="33" t="n">
        <f aca="false">IF($D62="","",$AD62+SOFR)</f>
        <v>0.0675</v>
      </c>
      <c r="AY62" s="30" t="str">
        <f aca="false">IF($D62="","",IF($AF62="Waived","Waived",IF(ISNUMBER($AF62),IF($AF62&gt;AsOfDate,"In Place","Expired"),"None Reported")))</f>
        <v>In Place</v>
      </c>
      <c r="AZ62" s="30" t="str">
        <f aca="false">IF($D62="","",IF(ISNUMBER($AG62),IF($AG62=0,"None",$AG62&amp;" Months"),IF($AG62="","None Reported",$AG62)))</f>
        <v>6 Months</v>
      </c>
      <c r="BA62" s="27" t="str">
        <f aca="false">IF($D62="","",IF($AK62="","Unlevered",$AK62))</f>
        <v>Wells Fargo</v>
      </c>
      <c r="BB62" s="31" t="n">
        <f aca="false">IF($D62="","",SUM($AL62,$AO62))</f>
        <v>91600000</v>
      </c>
      <c r="BC62" s="32" t="n">
        <f aca="false">IF($D62="","",IF($P62&gt;0,$BB62/$P62,0))</f>
        <v>0.8</v>
      </c>
      <c r="BD62" s="34" t="n">
        <f aca="false">IF($D62="","",(AsOfDate-$AH62)/DaysPerMonth)</f>
        <v>7.95071868583162</v>
      </c>
      <c r="BE62" s="34" t="n">
        <f aca="false">IF($D62="","",($AI62-AsOfDate)/DaysPerMonth)</f>
        <v>16.0657084188912</v>
      </c>
      <c r="BF62" s="34" t="n">
        <f aca="false">IF($D62="","",($AJ62-AsOfDate)/DaysPerMonth)</f>
        <v>53.0595482546201</v>
      </c>
      <c r="BG62" s="34" t="n">
        <f aca="false">IF($D62="","",MAX(0,$BE62))</f>
        <v>16.0657084188912</v>
      </c>
      <c r="BH62" s="34" t="n">
        <f aca="false">IF($D62="","",MAX(0,$BF62))</f>
        <v>53.0595482546201</v>
      </c>
      <c r="BI62" s="77" t="n">
        <f aca="false">IF($D62="","",YEAR($AI62))</f>
        <v>2027</v>
      </c>
      <c r="BJ62" s="77" t="n">
        <f aca="false">IF($D62="","",YEAR($AJ62))</f>
        <v>2030</v>
      </c>
      <c r="BK62" s="77" t="n">
        <f aca="false">IF($D62="","",YEAR($AH62))</f>
        <v>2025</v>
      </c>
      <c r="BL62" s="78" t="n">
        <v>1941</v>
      </c>
      <c r="BM62" s="44" t="n">
        <f aca="false">IF($AT62=1,$P62+(1000-ROW())/1000000,0)</f>
        <v>114500000.000938</v>
      </c>
    </row>
    <row r="63" customFormat="false" ht="15" hidden="false" customHeight="false" outlineLevel="0" collapsed="false">
      <c r="B63" s="60" t="n">
        <v>59</v>
      </c>
      <c r="C63" s="61" t="n">
        <v>30314</v>
      </c>
      <c r="D63" s="62" t="s">
        <v>437</v>
      </c>
      <c r="E63" s="62" t="s">
        <v>72</v>
      </c>
      <c r="F63" s="62" t="s">
        <v>72</v>
      </c>
      <c r="G63" s="62" t="s">
        <v>88</v>
      </c>
      <c r="H63" s="62" t="s">
        <v>438</v>
      </c>
      <c r="I63" s="63" t="s">
        <v>92</v>
      </c>
      <c r="J63" s="63" t="s">
        <v>92</v>
      </c>
      <c r="K63" s="63" t="s">
        <v>306</v>
      </c>
      <c r="L63" s="60" t="n">
        <v>573</v>
      </c>
      <c r="M63" s="60"/>
      <c r="N63" s="63" t="n">
        <v>2024</v>
      </c>
      <c r="O63" s="63" t="s">
        <v>311</v>
      </c>
      <c r="P63" s="64" t="n">
        <v>72500000</v>
      </c>
      <c r="Q63" s="64" t="n">
        <v>0</v>
      </c>
      <c r="R63" s="64" t="n">
        <v>72500000</v>
      </c>
      <c r="S63" s="64" t="n">
        <v>0</v>
      </c>
      <c r="T63" s="64" t="n">
        <v>72500000</v>
      </c>
      <c r="U63" s="64" t="n">
        <v>101100000</v>
      </c>
      <c r="V63" s="64" t="n">
        <v>110700000</v>
      </c>
      <c r="W63" s="65" t="n">
        <v>0.717111770524234</v>
      </c>
      <c r="X63" s="65" t="n">
        <v>0.654923215898826</v>
      </c>
      <c r="Y63" s="57" t="n">
        <v>0.025</v>
      </c>
      <c r="Z63" s="57" t="n">
        <v>0.0325</v>
      </c>
      <c r="AA63" s="57" t="n">
        <v>0</v>
      </c>
      <c r="AB63" s="57" t="n">
        <v>0</v>
      </c>
      <c r="AC63" s="63" t="s">
        <v>308</v>
      </c>
      <c r="AD63" s="57" t="n">
        <v>0.025</v>
      </c>
      <c r="AE63" s="57" t="n">
        <v>0.04</v>
      </c>
      <c r="AF63" s="66" t="n">
        <v>46784</v>
      </c>
      <c r="AG63" s="63" t="n">
        <v>0</v>
      </c>
      <c r="AH63" s="66" t="n">
        <v>46042</v>
      </c>
      <c r="AI63" s="66" t="n">
        <v>46784</v>
      </c>
      <c r="AJ63" s="66" t="n">
        <v>47150</v>
      </c>
      <c r="AK63" s="62" t="s">
        <v>121</v>
      </c>
      <c r="AL63" s="64" t="n">
        <v>58000000</v>
      </c>
      <c r="AM63" s="57" t="n">
        <v>0.015</v>
      </c>
      <c r="AN63" s="62"/>
      <c r="AO63" s="64"/>
      <c r="AP63" s="57"/>
      <c r="AQ63" s="64" t="n">
        <v>14500000</v>
      </c>
      <c r="AR63" s="65" t="n">
        <v>0.1015</v>
      </c>
      <c r="AT63" s="26" t="n">
        <f aca="false">IF($D63="",0,IF(OR(StratFilter="All Loans",$E63=StratFilter),1,0))</f>
        <v>1</v>
      </c>
      <c r="AU63" s="18" t="str">
        <f aca="false">IF($D63="","",IFERROR(VLOOKUP(TRIM($K63),PropTypeMap,2,FALSE()),"Unmapped"))</f>
        <v>Multifamily</v>
      </c>
      <c r="AV63" s="21" t="str">
        <f aca="false">IF($D63="","",IFERROR(VLOOKUP($J63,RegionMap,2,FALSE()),"Unmapped"))</f>
        <v>Southwest</v>
      </c>
      <c r="AW63" s="21" t="str">
        <f aca="false">IF($D63="","",IF($AC63="SOFR","Floating (SOFR)","Fixed / All-In"))</f>
        <v>Floating (SOFR)</v>
      </c>
      <c r="AX63" s="24" t="n">
        <f aca="false">IF($D63="","",$AD63+SOFR)</f>
        <v>0.0615</v>
      </c>
      <c r="AY63" s="21" t="str">
        <f aca="false">IF($D63="","",IF($AF63="Waived","Waived",IF(ISNUMBER($AF63),IF($AF63&gt;AsOfDate,"In Place","Expired"),"None Reported")))</f>
        <v>In Place</v>
      </c>
      <c r="AZ63" s="21" t="str">
        <f aca="false">IF($D63="","",IF(ISNUMBER($AG63),IF($AG63=0,"None",$AG63&amp;" Months"),IF($AG63="","None Reported",$AG63)))</f>
        <v>None</v>
      </c>
      <c r="BA63" s="18" t="str">
        <f aca="false">IF($D63="","",IF($AK63="","Unlevered",$AK63))</f>
        <v>Wells Fargo</v>
      </c>
      <c r="BB63" s="22" t="n">
        <f aca="false">IF($D63="","",SUM($AL63,$AO63))</f>
        <v>58000000</v>
      </c>
      <c r="BC63" s="23" t="n">
        <f aca="false">IF($D63="","",IF($P63&gt;0,$BB63/$P63,0))</f>
        <v>0.8</v>
      </c>
      <c r="BD63" s="25" t="n">
        <f aca="false">IF($D63="","",(AsOfDate-$AH63)/DaysPerMonth)</f>
        <v>5.28952772073922</v>
      </c>
      <c r="BE63" s="25" t="n">
        <f aca="false">IF($D63="","",($AI63-AsOfDate)/DaysPerMonth)</f>
        <v>19.088295687885</v>
      </c>
      <c r="BF63" s="25" t="n">
        <f aca="false">IF($D63="","",($AJ63-AsOfDate)/DaysPerMonth)</f>
        <v>31.1129363449692</v>
      </c>
      <c r="BG63" s="25" t="n">
        <f aca="false">IF($D63="","",MAX(0,$BE63))</f>
        <v>19.088295687885</v>
      </c>
      <c r="BH63" s="25" t="n">
        <f aca="false">IF($D63="","",MAX(0,$BF63))</f>
        <v>31.1129363449692</v>
      </c>
      <c r="BI63" s="67" t="n">
        <f aca="false">IF($D63="","",YEAR($AI63))</f>
        <v>2028</v>
      </c>
      <c r="BJ63" s="67" t="n">
        <f aca="false">IF($D63="","",YEAR($AJ63))</f>
        <v>2029</v>
      </c>
      <c r="BK63" s="67" t="n">
        <f aca="false">IF($D63="","",YEAR($AH63))</f>
        <v>2026</v>
      </c>
      <c r="BL63" s="68" t="n">
        <v>2024</v>
      </c>
      <c r="BM63" s="26" t="n">
        <f aca="false">IF($AT63=1,$P63+(1000-ROW())/1000000,0)</f>
        <v>72500000.000937</v>
      </c>
    </row>
    <row r="64" customFormat="false" ht="15" hidden="false" customHeight="false" outlineLevel="0" collapsed="false">
      <c r="B64" s="69" t="n">
        <v>60</v>
      </c>
      <c r="C64" s="70" t="n">
        <v>30280</v>
      </c>
      <c r="D64" s="71" t="s">
        <v>439</v>
      </c>
      <c r="E64" s="71" t="s">
        <v>72</v>
      </c>
      <c r="F64" s="71" t="s">
        <v>72</v>
      </c>
      <c r="G64" s="71" t="s">
        <v>88</v>
      </c>
      <c r="H64" s="71" t="s">
        <v>440</v>
      </c>
      <c r="I64" s="72" t="s">
        <v>95</v>
      </c>
      <c r="J64" s="72" t="s">
        <v>95</v>
      </c>
      <c r="K64" s="72" t="s">
        <v>306</v>
      </c>
      <c r="L64" s="69" t="n">
        <v>476</v>
      </c>
      <c r="M64" s="69"/>
      <c r="N64" s="72" t="n">
        <v>2024</v>
      </c>
      <c r="O64" s="72" t="s">
        <v>311</v>
      </c>
      <c r="P64" s="73" t="n">
        <v>68500000</v>
      </c>
      <c r="Q64" s="73" t="n">
        <v>0</v>
      </c>
      <c r="R64" s="73" t="n">
        <v>68500000</v>
      </c>
      <c r="S64" s="73" t="n">
        <v>0</v>
      </c>
      <c r="T64" s="73" t="n">
        <v>68500000</v>
      </c>
      <c r="U64" s="73" t="n">
        <v>105800000</v>
      </c>
      <c r="V64" s="73" t="n">
        <v>116000000</v>
      </c>
      <c r="W64" s="74" t="n">
        <v>0.647448015122873</v>
      </c>
      <c r="X64" s="74" t="n">
        <v>0.59051724137931</v>
      </c>
      <c r="Y64" s="75" t="n">
        <v>0.0285</v>
      </c>
      <c r="Z64" s="75" t="n">
        <v>0.035</v>
      </c>
      <c r="AA64" s="75" t="n">
        <v>0</v>
      </c>
      <c r="AB64" s="75" t="n">
        <v>0</v>
      </c>
      <c r="AC64" s="72" t="s">
        <v>308</v>
      </c>
      <c r="AD64" s="75" t="n">
        <v>0.0285</v>
      </c>
      <c r="AE64" s="75" t="n">
        <v>0.04</v>
      </c>
      <c r="AF64" s="76" t="n">
        <v>46478</v>
      </c>
      <c r="AG64" s="72" t="n">
        <v>6</v>
      </c>
      <c r="AH64" s="76" t="n">
        <v>45744</v>
      </c>
      <c r="AI64" s="76" t="n">
        <v>46478</v>
      </c>
      <c r="AJ64" s="76" t="n">
        <v>47209</v>
      </c>
      <c r="AK64" s="71" t="s">
        <v>121</v>
      </c>
      <c r="AL64" s="73" t="n">
        <v>54800000</v>
      </c>
      <c r="AM64" s="75" t="n">
        <v>0.0165</v>
      </c>
      <c r="AN64" s="71"/>
      <c r="AO64" s="73"/>
      <c r="AP64" s="75"/>
      <c r="AQ64" s="73" t="n">
        <v>13700000</v>
      </c>
      <c r="AR64" s="74" t="n">
        <v>0.113</v>
      </c>
      <c r="AT64" s="44" t="n">
        <f aca="false">IF($D64="",0,IF(OR(StratFilter="All Loans",$E64=StratFilter),1,0))</f>
        <v>1</v>
      </c>
      <c r="AU64" s="27" t="str">
        <f aca="false">IF($D64="","",IFERROR(VLOOKUP(TRIM($K64),PropTypeMap,2,FALSE()),"Unmapped"))</f>
        <v>Multifamily</v>
      </c>
      <c r="AV64" s="30" t="str">
        <f aca="false">IF($D64="","",IFERROR(VLOOKUP($J64,RegionMap,2,FALSE()),"Unmapped"))</f>
        <v>Southeast</v>
      </c>
      <c r="AW64" s="30" t="str">
        <f aca="false">IF($D64="","",IF($AC64="SOFR","Floating (SOFR)","Fixed / All-In"))</f>
        <v>Floating (SOFR)</v>
      </c>
      <c r="AX64" s="33" t="n">
        <f aca="false">IF($D64="","",$AD64+SOFR)</f>
        <v>0.065</v>
      </c>
      <c r="AY64" s="30" t="str">
        <f aca="false">IF($D64="","",IF($AF64="Waived","Waived",IF(ISNUMBER($AF64),IF($AF64&gt;AsOfDate,"In Place","Expired"),"None Reported")))</f>
        <v>In Place</v>
      </c>
      <c r="AZ64" s="30" t="str">
        <f aca="false">IF($D64="","",IF(ISNUMBER($AG64),IF($AG64=0,"None",$AG64&amp;" Months"),IF($AG64="","None Reported",$AG64)))</f>
        <v>6 Months</v>
      </c>
      <c r="BA64" s="27" t="str">
        <f aca="false">IF($D64="","",IF($AK64="","Unlevered",$AK64))</f>
        <v>Wells Fargo</v>
      </c>
      <c r="BB64" s="31" t="n">
        <f aca="false">IF($D64="","",SUM($AL64,$AO64))</f>
        <v>54800000</v>
      </c>
      <c r="BC64" s="32" t="n">
        <f aca="false">IF($D64="","",IF($P64&gt;0,$BB64/$P64,0))</f>
        <v>0.8</v>
      </c>
      <c r="BD64" s="34" t="n">
        <f aca="false">IF($D64="","",(AsOfDate-$AH64)/DaysPerMonth)</f>
        <v>15.0800821355236</v>
      </c>
      <c r="BE64" s="34" t="n">
        <f aca="false">IF($D64="","",($AI64-AsOfDate)/DaysPerMonth)</f>
        <v>9.03490759753593</v>
      </c>
      <c r="BF64" s="34" t="n">
        <f aca="false">IF($D64="","",($AJ64-AsOfDate)/DaysPerMonth)</f>
        <v>33.0513347022587</v>
      </c>
      <c r="BG64" s="34" t="n">
        <f aca="false">IF($D64="","",MAX(0,$BE64))</f>
        <v>9.03490759753593</v>
      </c>
      <c r="BH64" s="34" t="n">
        <f aca="false">IF($D64="","",MAX(0,$BF64))</f>
        <v>33.0513347022587</v>
      </c>
      <c r="BI64" s="77" t="n">
        <f aca="false">IF($D64="","",YEAR($AI64))</f>
        <v>2027</v>
      </c>
      <c r="BJ64" s="77" t="n">
        <f aca="false">IF($D64="","",YEAR($AJ64))</f>
        <v>2029</v>
      </c>
      <c r="BK64" s="77" t="n">
        <f aca="false">IF($D64="","",YEAR($AH64))</f>
        <v>2025</v>
      </c>
      <c r="BL64" s="78" t="n">
        <v>2024</v>
      </c>
      <c r="BM64" s="44" t="n">
        <f aca="false">IF($AT64=1,$P64+(1000-ROW())/1000000,0)</f>
        <v>68500000.000936</v>
      </c>
    </row>
    <row r="65" customFormat="false" ht="15" hidden="false" customHeight="false" outlineLevel="0" collapsed="false">
      <c r="B65" s="60" t="n">
        <v>61</v>
      </c>
      <c r="C65" s="61" t="n">
        <v>30285</v>
      </c>
      <c r="D65" s="62" t="s">
        <v>441</v>
      </c>
      <c r="E65" s="62" t="s">
        <v>72</v>
      </c>
      <c r="F65" s="62" t="s">
        <v>72</v>
      </c>
      <c r="G65" s="62" t="s">
        <v>88</v>
      </c>
      <c r="H65" s="62" t="s">
        <v>396</v>
      </c>
      <c r="I65" s="63" t="s">
        <v>93</v>
      </c>
      <c r="J65" s="63" t="s">
        <v>93</v>
      </c>
      <c r="K65" s="63" t="s">
        <v>306</v>
      </c>
      <c r="L65" s="60" t="n">
        <v>155</v>
      </c>
      <c r="M65" s="60"/>
      <c r="N65" s="63" t="n">
        <v>2024</v>
      </c>
      <c r="O65" s="63" t="s">
        <v>311</v>
      </c>
      <c r="P65" s="64" t="n">
        <v>52500000</v>
      </c>
      <c r="Q65" s="64" t="n">
        <v>0</v>
      </c>
      <c r="R65" s="64" t="n">
        <v>52500000</v>
      </c>
      <c r="S65" s="64" t="n">
        <v>2500000</v>
      </c>
      <c r="T65" s="64" t="n">
        <v>55000000</v>
      </c>
      <c r="U65" s="64" t="n">
        <v>78300000</v>
      </c>
      <c r="V65" s="64" t="n">
        <v>83400000</v>
      </c>
      <c r="W65" s="65" t="n">
        <v>0.670498084291188</v>
      </c>
      <c r="X65" s="65" t="n">
        <v>0.65947242206235</v>
      </c>
      <c r="Y65" s="57" t="n">
        <v>0.029</v>
      </c>
      <c r="Z65" s="57" t="n">
        <v>0.035</v>
      </c>
      <c r="AA65" s="57" t="n">
        <v>0</v>
      </c>
      <c r="AB65" s="57" t="n">
        <v>0</v>
      </c>
      <c r="AC65" s="63" t="s">
        <v>308</v>
      </c>
      <c r="AD65" s="57" t="n">
        <v>0.029</v>
      </c>
      <c r="AE65" s="57" t="n">
        <v>0.0475</v>
      </c>
      <c r="AF65" s="66" t="n">
        <v>46539</v>
      </c>
      <c r="AG65" s="63" t="n">
        <v>6</v>
      </c>
      <c r="AH65" s="66" t="n">
        <v>45791</v>
      </c>
      <c r="AI65" s="66" t="n">
        <v>46539</v>
      </c>
      <c r="AJ65" s="66" t="n">
        <v>46905</v>
      </c>
      <c r="AK65" s="62" t="s">
        <v>121</v>
      </c>
      <c r="AL65" s="64" t="n">
        <v>42000000</v>
      </c>
      <c r="AM65" s="57" t="n">
        <v>0.0165</v>
      </c>
      <c r="AN65" s="62"/>
      <c r="AO65" s="64"/>
      <c r="AP65" s="57"/>
      <c r="AQ65" s="64" t="n">
        <v>10500000</v>
      </c>
      <c r="AR65" s="65" t="n">
        <v>0.1155</v>
      </c>
      <c r="AT65" s="26" t="n">
        <f aca="false">IF($D65="",0,IF(OR(StratFilter="All Loans",$E65=StratFilter),1,0))</f>
        <v>1</v>
      </c>
      <c r="AU65" s="18" t="str">
        <f aca="false">IF($D65="","",IFERROR(VLOOKUP(TRIM($K65),PropTypeMap,2,FALSE()),"Unmapped"))</f>
        <v>Multifamily</v>
      </c>
      <c r="AV65" s="21" t="str">
        <f aca="false">IF($D65="","",IFERROR(VLOOKUP($J65,RegionMap,2,FALSE()),"Unmapped"))</f>
        <v>Northeast</v>
      </c>
      <c r="AW65" s="21" t="str">
        <f aca="false">IF($D65="","",IF($AC65="SOFR","Floating (SOFR)","Fixed / All-In"))</f>
        <v>Floating (SOFR)</v>
      </c>
      <c r="AX65" s="24" t="n">
        <f aca="false">IF($D65="","",$AD65+SOFR)</f>
        <v>0.0655</v>
      </c>
      <c r="AY65" s="21" t="str">
        <f aca="false">IF($D65="","",IF($AF65="Waived","Waived",IF(ISNUMBER($AF65),IF($AF65&gt;AsOfDate,"In Place","Expired"),"None Reported")))</f>
        <v>In Place</v>
      </c>
      <c r="AZ65" s="21" t="str">
        <f aca="false">IF($D65="","",IF(ISNUMBER($AG65),IF($AG65=0,"None",$AG65&amp;" Months"),IF($AG65="","None Reported",$AG65)))</f>
        <v>6 Months</v>
      </c>
      <c r="BA65" s="18" t="str">
        <f aca="false">IF($D65="","",IF($AK65="","Unlevered",$AK65))</f>
        <v>Wells Fargo</v>
      </c>
      <c r="BB65" s="22" t="n">
        <f aca="false">IF($D65="","",SUM($AL65,$AO65))</f>
        <v>42000000</v>
      </c>
      <c r="BC65" s="23" t="n">
        <f aca="false">IF($D65="","",IF($P65&gt;0,$BB65/$P65,0))</f>
        <v>0.8</v>
      </c>
      <c r="BD65" s="25" t="n">
        <f aca="false">IF($D65="","",(AsOfDate-$AH65)/DaysPerMonth)</f>
        <v>13.5359342915811</v>
      </c>
      <c r="BE65" s="25" t="n">
        <f aca="false">IF($D65="","",($AI65-AsOfDate)/DaysPerMonth)</f>
        <v>11.0390143737166</v>
      </c>
      <c r="BF65" s="25" t="n">
        <f aca="false">IF($D65="","",($AJ65-AsOfDate)/DaysPerMonth)</f>
        <v>23.0636550308008</v>
      </c>
      <c r="BG65" s="25" t="n">
        <f aca="false">IF($D65="","",MAX(0,$BE65))</f>
        <v>11.0390143737166</v>
      </c>
      <c r="BH65" s="25" t="n">
        <f aca="false">IF($D65="","",MAX(0,$BF65))</f>
        <v>23.0636550308008</v>
      </c>
      <c r="BI65" s="67" t="n">
        <f aca="false">IF($D65="","",YEAR($AI65))</f>
        <v>2027</v>
      </c>
      <c r="BJ65" s="67" t="n">
        <f aca="false">IF($D65="","",YEAR($AJ65))</f>
        <v>2028</v>
      </c>
      <c r="BK65" s="67" t="n">
        <f aca="false">IF($D65="","",YEAR($AH65))</f>
        <v>2025</v>
      </c>
      <c r="BL65" s="68" t="n">
        <v>2024</v>
      </c>
      <c r="BM65" s="26" t="n">
        <f aca="false">IF($AT65=1,$P65+(1000-ROW())/1000000,0)</f>
        <v>52500000.000935</v>
      </c>
    </row>
    <row r="66" customFormat="false" ht="15" hidden="false" customHeight="false" outlineLevel="0" collapsed="false">
      <c r="B66" s="69" t="n">
        <v>62</v>
      </c>
      <c r="C66" s="70" t="n">
        <v>30071</v>
      </c>
      <c r="D66" s="71" t="s">
        <v>442</v>
      </c>
      <c r="E66" s="71" t="s">
        <v>72</v>
      </c>
      <c r="F66" s="71" t="s">
        <v>72</v>
      </c>
      <c r="G66" s="71" t="s">
        <v>87</v>
      </c>
      <c r="H66" s="71" t="s">
        <v>443</v>
      </c>
      <c r="I66" s="72" t="s">
        <v>444</v>
      </c>
      <c r="J66" s="72" t="s">
        <v>444</v>
      </c>
      <c r="K66" s="72" t="s">
        <v>306</v>
      </c>
      <c r="L66" s="69" t="n">
        <v>362</v>
      </c>
      <c r="M66" s="69"/>
      <c r="N66" s="72" t="n">
        <v>1974</v>
      </c>
      <c r="O66" s="72" t="n">
        <v>2018</v>
      </c>
      <c r="P66" s="73" t="n">
        <v>49095000</v>
      </c>
      <c r="Q66" s="73" t="n">
        <v>0</v>
      </c>
      <c r="R66" s="73" t="n">
        <v>49095000</v>
      </c>
      <c r="S66" s="73" t="n">
        <v>0</v>
      </c>
      <c r="T66" s="73" t="n">
        <v>49345000</v>
      </c>
      <c r="U66" s="73" t="n">
        <v>56000000</v>
      </c>
      <c r="V66" s="73" t="n">
        <v>68300000</v>
      </c>
      <c r="W66" s="74" t="n">
        <v>0.862664732142857</v>
      </c>
      <c r="X66" s="74" t="n">
        <v>0.722474377745242</v>
      </c>
      <c r="Y66" s="75" t="n">
        <v>0.0305</v>
      </c>
      <c r="Z66" s="75" t="n">
        <v>0.001</v>
      </c>
      <c r="AA66" s="75" t="n">
        <v>0.001</v>
      </c>
      <c r="AB66" s="75" t="n">
        <v>0</v>
      </c>
      <c r="AC66" s="72" t="s">
        <v>308</v>
      </c>
      <c r="AD66" s="75" t="n">
        <v>0.0315</v>
      </c>
      <c r="AE66" s="75" t="n">
        <v>0.04</v>
      </c>
      <c r="AF66" s="76" t="n">
        <v>46266</v>
      </c>
      <c r="AG66" s="72" t="n">
        <v>6</v>
      </c>
      <c r="AH66" s="76" t="n">
        <v>44439</v>
      </c>
      <c r="AI66" s="76" t="n">
        <v>45536</v>
      </c>
      <c r="AJ66" s="76" t="n">
        <v>46266</v>
      </c>
      <c r="AK66" s="71" t="s">
        <v>121</v>
      </c>
      <c r="AL66" s="73" t="n">
        <v>39276000</v>
      </c>
      <c r="AM66" s="75" t="n">
        <v>0.02</v>
      </c>
      <c r="AN66" s="71"/>
      <c r="AO66" s="73"/>
      <c r="AP66" s="75"/>
      <c r="AQ66" s="73" t="n">
        <v>9819000</v>
      </c>
      <c r="AR66" s="74" t="n">
        <v>0.114</v>
      </c>
      <c r="AT66" s="44" t="n">
        <f aca="false">IF($D66="",0,IF(OR(StratFilter="All Loans",$E66=StratFilter),1,0))</f>
        <v>1</v>
      </c>
      <c r="AU66" s="27" t="str">
        <f aca="false">IF($D66="","",IFERROR(VLOOKUP(TRIM($K66),PropTypeMap,2,FALSE()),"Unmapped"))</f>
        <v>Multifamily</v>
      </c>
      <c r="AV66" s="30" t="str">
        <f aca="false">IF($D66="","",IFERROR(VLOOKUP($J66,RegionMap,2,FALSE()),"Unmapped"))</f>
        <v>Mid-Atlantic</v>
      </c>
      <c r="AW66" s="30" t="str">
        <f aca="false">IF($D66="","",IF($AC66="SOFR","Floating (SOFR)","Fixed / All-In"))</f>
        <v>Floating (SOFR)</v>
      </c>
      <c r="AX66" s="33" t="n">
        <f aca="false">IF($D66="","",$AD66+SOFR)</f>
        <v>0.068</v>
      </c>
      <c r="AY66" s="30" t="str">
        <f aca="false">IF($D66="","",IF($AF66="Waived","Waived",IF(ISNUMBER($AF66),IF($AF66&gt;AsOfDate,"In Place","Expired"),"None Reported")))</f>
        <v>In Place</v>
      </c>
      <c r="AZ66" s="30" t="str">
        <f aca="false">IF($D66="","",IF(ISNUMBER($AG66),IF($AG66=0,"None",$AG66&amp;" Months"),IF($AG66="","None Reported",$AG66)))</f>
        <v>6 Months</v>
      </c>
      <c r="BA66" s="27" t="str">
        <f aca="false">IF($D66="","",IF($AK66="","Unlevered",$AK66))</f>
        <v>Wells Fargo</v>
      </c>
      <c r="BB66" s="31" t="n">
        <f aca="false">IF($D66="","",SUM($AL66,$AO66))</f>
        <v>39276000</v>
      </c>
      <c r="BC66" s="32" t="n">
        <f aca="false">IF($D66="","",IF($P66&gt;0,$BB66/$P66,0))</f>
        <v>0.8</v>
      </c>
      <c r="BD66" s="34" t="n">
        <f aca="false">IF($D66="","",(AsOfDate-$AH66)/DaysPerMonth)</f>
        <v>57.9548254620123</v>
      </c>
      <c r="BE66" s="34" t="n">
        <f aca="false">IF($D66="","",($AI66-AsOfDate)/DaysPerMonth)</f>
        <v>-21.9137577002053</v>
      </c>
      <c r="BF66" s="34" t="n">
        <f aca="false">IF($D66="","",($AJ66-AsOfDate)/DaysPerMonth)</f>
        <v>2.06981519507187</v>
      </c>
      <c r="BG66" s="34" t="n">
        <f aca="false">IF($D66="","",MAX(0,$BE66))</f>
        <v>0</v>
      </c>
      <c r="BH66" s="34" t="n">
        <f aca="false">IF($D66="","",MAX(0,$BF66))</f>
        <v>2.06981519507187</v>
      </c>
      <c r="BI66" s="77" t="n">
        <f aca="false">IF($D66="","",YEAR($AI66))</f>
        <v>2024</v>
      </c>
      <c r="BJ66" s="77" t="n">
        <f aca="false">IF($D66="","",YEAR($AJ66))</f>
        <v>2026</v>
      </c>
      <c r="BK66" s="77" t="n">
        <f aca="false">IF($D66="","",YEAR($AH66))</f>
        <v>2021</v>
      </c>
      <c r="BL66" s="78" t="n">
        <v>1974</v>
      </c>
      <c r="BM66" s="44" t="n">
        <f aca="false">IF($AT66=1,$P66+(1000-ROW())/1000000,0)</f>
        <v>49095000.000934</v>
      </c>
    </row>
    <row r="67" customFormat="false" ht="15" hidden="false" customHeight="false" outlineLevel="0" collapsed="false">
      <c r="B67" s="60" t="n">
        <v>63</v>
      </c>
      <c r="C67" s="61" t="n">
        <v>30046</v>
      </c>
      <c r="D67" s="62" t="s">
        <v>445</v>
      </c>
      <c r="E67" s="62" t="s">
        <v>72</v>
      </c>
      <c r="F67" s="62" t="s">
        <v>72</v>
      </c>
      <c r="G67" s="62" t="s">
        <v>89</v>
      </c>
      <c r="H67" s="62" t="s">
        <v>446</v>
      </c>
      <c r="I67" s="63" t="s">
        <v>92</v>
      </c>
      <c r="J67" s="63" t="s">
        <v>92</v>
      </c>
      <c r="K67" s="63" t="s">
        <v>306</v>
      </c>
      <c r="L67" s="60" t="n">
        <v>250</v>
      </c>
      <c r="M67" s="60"/>
      <c r="N67" s="63" t="n">
        <v>2001</v>
      </c>
      <c r="O67" s="63" t="s">
        <v>311</v>
      </c>
      <c r="P67" s="64" t="n">
        <v>36301399.35</v>
      </c>
      <c r="Q67" s="64" t="n">
        <v>-32049.012303628</v>
      </c>
      <c r="R67" s="64" t="n">
        <v>36269350.3376964</v>
      </c>
      <c r="S67" s="64" t="n">
        <v>2398600.65</v>
      </c>
      <c r="T67" s="64" t="n">
        <v>41200000</v>
      </c>
      <c r="U67" s="64" t="n">
        <v>45000000</v>
      </c>
      <c r="V67" s="64" t="n">
        <v>56100000</v>
      </c>
      <c r="W67" s="65" t="n">
        <v>0.719555555555556</v>
      </c>
      <c r="X67" s="65" t="n">
        <v>0.734402852049911</v>
      </c>
      <c r="Y67" s="57" t="n">
        <v>0.0305</v>
      </c>
      <c r="Z67" s="57" t="n">
        <v>0.001</v>
      </c>
      <c r="AA67" s="57" t="n">
        <v>0.001</v>
      </c>
      <c r="AB67" s="57" t="n">
        <v>0</v>
      </c>
      <c r="AC67" s="63" t="s">
        <v>308</v>
      </c>
      <c r="AD67" s="57" t="n">
        <v>0.0315</v>
      </c>
      <c r="AE67" s="57" t="n">
        <v>0.03</v>
      </c>
      <c r="AF67" s="66" t="n">
        <v>46235</v>
      </c>
      <c r="AG67" s="63" t="n">
        <v>6</v>
      </c>
      <c r="AH67" s="66" t="n">
        <v>44391</v>
      </c>
      <c r="AI67" s="66" t="n">
        <v>45505</v>
      </c>
      <c r="AJ67" s="66" t="n">
        <v>46235</v>
      </c>
      <c r="AK67" s="62" t="s">
        <v>121</v>
      </c>
      <c r="AL67" s="64" t="n">
        <v>19895909.35</v>
      </c>
      <c r="AM67" s="57" t="n">
        <v>0.02</v>
      </c>
      <c r="AN67" s="62"/>
      <c r="AO67" s="64"/>
      <c r="AP67" s="57"/>
      <c r="AQ67" s="64" t="n">
        <v>16405490</v>
      </c>
      <c r="AR67" s="65" t="n">
        <v>0.08194673109581</v>
      </c>
      <c r="AT67" s="26" t="n">
        <f aca="false">IF($D67="",0,IF(OR(StratFilter="All Loans",$E67=StratFilter),1,0))</f>
        <v>1</v>
      </c>
      <c r="AU67" s="18" t="str">
        <f aca="false">IF($D67="","",IFERROR(VLOOKUP(TRIM($K67),PropTypeMap,2,FALSE()),"Unmapped"))</f>
        <v>Multifamily</v>
      </c>
      <c r="AV67" s="21" t="str">
        <f aca="false">IF($D67="","",IFERROR(VLOOKUP($J67,RegionMap,2,FALSE()),"Unmapped"))</f>
        <v>Southwest</v>
      </c>
      <c r="AW67" s="21" t="str">
        <f aca="false">IF($D67="","",IF($AC67="SOFR","Floating (SOFR)","Fixed / All-In"))</f>
        <v>Floating (SOFR)</v>
      </c>
      <c r="AX67" s="24" t="n">
        <f aca="false">IF($D67="","",$AD67+SOFR)</f>
        <v>0.068</v>
      </c>
      <c r="AY67" s="21" t="str">
        <f aca="false">IF($D67="","",IF($AF67="Waived","Waived",IF(ISNUMBER($AF67),IF($AF67&gt;AsOfDate,"In Place","Expired"),"None Reported")))</f>
        <v>In Place</v>
      </c>
      <c r="AZ67" s="21" t="str">
        <f aca="false">IF($D67="","",IF(ISNUMBER($AG67),IF($AG67=0,"None",$AG67&amp;" Months"),IF($AG67="","None Reported",$AG67)))</f>
        <v>6 Months</v>
      </c>
      <c r="BA67" s="18" t="str">
        <f aca="false">IF($D67="","",IF($AK67="","Unlevered",$AK67))</f>
        <v>Wells Fargo</v>
      </c>
      <c r="BB67" s="22" t="n">
        <f aca="false">IF($D67="","",SUM($AL67,$AO67))</f>
        <v>19895909.35</v>
      </c>
      <c r="BC67" s="23" t="n">
        <f aca="false">IF($D67="","",IF($P67&gt;0,$BB67/$P67,0))</f>
        <v>0.548075548222634</v>
      </c>
      <c r="BD67" s="25" t="n">
        <f aca="false">IF($D67="","",(AsOfDate-$AH67)/DaysPerMonth)</f>
        <v>59.5318275154004</v>
      </c>
      <c r="BE67" s="25" t="n">
        <f aca="false">IF($D67="","",($AI67-AsOfDate)/DaysPerMonth)</f>
        <v>-22.9322381930185</v>
      </c>
      <c r="BF67" s="25" t="n">
        <f aca="false">IF($D67="","",($AJ67-AsOfDate)/DaysPerMonth)</f>
        <v>1.05133470225873</v>
      </c>
      <c r="BG67" s="25" t="n">
        <f aca="false">IF($D67="","",MAX(0,$BE67))</f>
        <v>0</v>
      </c>
      <c r="BH67" s="25" t="n">
        <f aca="false">IF($D67="","",MAX(0,$BF67))</f>
        <v>1.05133470225873</v>
      </c>
      <c r="BI67" s="67" t="n">
        <f aca="false">IF($D67="","",YEAR($AI67))</f>
        <v>2024</v>
      </c>
      <c r="BJ67" s="67" t="n">
        <f aca="false">IF($D67="","",YEAR($AJ67))</f>
        <v>2026</v>
      </c>
      <c r="BK67" s="67" t="n">
        <f aca="false">IF($D67="","",YEAR($AH67))</f>
        <v>2021</v>
      </c>
      <c r="BL67" s="68" t="n">
        <v>2001</v>
      </c>
      <c r="BM67" s="26" t="n">
        <f aca="false">IF($AT67=1,$P67+(1000-ROW())/1000000,0)</f>
        <v>36301399.350933</v>
      </c>
    </row>
    <row r="68" customFormat="false" ht="15" hidden="false" customHeight="false" outlineLevel="0" collapsed="false">
      <c r="B68" s="69" t="n">
        <v>64</v>
      </c>
      <c r="C68" s="70" t="n">
        <v>30329</v>
      </c>
      <c r="D68" s="71" t="s">
        <v>447</v>
      </c>
      <c r="E68" s="71" t="s">
        <v>72</v>
      </c>
      <c r="F68" s="71" t="s">
        <v>72</v>
      </c>
      <c r="G68" s="71" t="s">
        <v>84</v>
      </c>
      <c r="H68" s="71" t="s">
        <v>448</v>
      </c>
      <c r="I68" s="72" t="s">
        <v>99</v>
      </c>
      <c r="J68" s="72" t="s">
        <v>99</v>
      </c>
      <c r="K68" s="72" t="s">
        <v>306</v>
      </c>
      <c r="L68" s="69" t="n">
        <v>36</v>
      </c>
      <c r="M68" s="69"/>
      <c r="N68" s="72" t="n">
        <v>2025</v>
      </c>
      <c r="O68" s="72" t="s">
        <v>311</v>
      </c>
      <c r="P68" s="73" t="n">
        <v>15500000</v>
      </c>
      <c r="Q68" s="73" t="n">
        <v>0</v>
      </c>
      <c r="R68" s="73" t="n">
        <v>15500000</v>
      </c>
      <c r="S68" s="73" t="n">
        <v>0</v>
      </c>
      <c r="T68" s="73" t="n">
        <v>15500000</v>
      </c>
      <c r="U68" s="73" t="n">
        <v>21200000</v>
      </c>
      <c r="V68" s="73" t="n">
        <v>22800000</v>
      </c>
      <c r="W68" s="74" t="n">
        <v>0.731132075471698</v>
      </c>
      <c r="X68" s="74" t="n">
        <v>0.679824561403509</v>
      </c>
      <c r="Y68" s="75" t="n">
        <v>0.03</v>
      </c>
      <c r="Z68" s="75" t="n">
        <v>0.03</v>
      </c>
      <c r="AA68" s="75"/>
      <c r="AB68" s="75"/>
      <c r="AC68" s="72" t="s">
        <v>308</v>
      </c>
      <c r="AD68" s="75" t="n">
        <v>0.03</v>
      </c>
      <c r="AE68" s="75" t="n">
        <v>0.04</v>
      </c>
      <c r="AF68" s="76" t="n">
        <v>46899</v>
      </c>
      <c r="AG68" s="72" t="n">
        <v>6</v>
      </c>
      <c r="AH68" s="76" t="n">
        <v>46168</v>
      </c>
      <c r="AI68" s="76" t="n">
        <v>47270</v>
      </c>
      <c r="AJ68" s="76" t="n">
        <v>47453</v>
      </c>
      <c r="AK68" s="71" t="s">
        <v>121</v>
      </c>
      <c r="AL68" s="73" t="n">
        <v>12400000</v>
      </c>
      <c r="AM68" s="75" t="n">
        <v>0.0165</v>
      </c>
      <c r="AN68" s="71"/>
      <c r="AO68" s="73"/>
      <c r="AP68" s="75"/>
      <c r="AQ68" s="73" t="n">
        <v>3100000</v>
      </c>
      <c r="AR68" s="74" t="n">
        <v>0.1205</v>
      </c>
      <c r="AT68" s="44" t="n">
        <f aca="false">IF($D68="",0,IF(OR(StratFilter="All Loans",$E68=StratFilter),1,0))</f>
        <v>1</v>
      </c>
      <c r="AU68" s="27" t="str">
        <f aca="false">IF($D68="","",IFERROR(VLOOKUP(TRIM($K68),PropTypeMap,2,FALSE()),"Unmapped"))</f>
        <v>Multifamily</v>
      </c>
      <c r="AV68" s="30" t="str">
        <f aca="false">IF($D68="","",IFERROR(VLOOKUP($J68,RegionMap,2,FALSE()),"Unmapped"))</f>
        <v>Northeast</v>
      </c>
      <c r="AW68" s="30" t="str">
        <f aca="false">IF($D68="","",IF($AC68="SOFR","Floating (SOFR)","Fixed / All-In"))</f>
        <v>Floating (SOFR)</v>
      </c>
      <c r="AX68" s="33" t="n">
        <f aca="false">IF($D68="","",$AD68+SOFR)</f>
        <v>0.0665</v>
      </c>
      <c r="AY68" s="30" t="str">
        <f aca="false">IF($D68="","",IF($AF68="Waived","Waived",IF(ISNUMBER($AF68),IF($AF68&gt;AsOfDate,"In Place","Expired"),"None Reported")))</f>
        <v>In Place</v>
      </c>
      <c r="AZ68" s="30" t="str">
        <f aca="false">IF($D68="","",IF(ISNUMBER($AG68),IF($AG68=0,"None",$AG68&amp;" Months"),IF($AG68="","None Reported",$AG68)))</f>
        <v>6 Months</v>
      </c>
      <c r="BA68" s="27" t="str">
        <f aca="false">IF($D68="","",IF($AK68="","Unlevered",$AK68))</f>
        <v>Wells Fargo</v>
      </c>
      <c r="BB68" s="31" t="n">
        <f aca="false">IF($D68="","",SUM($AL68,$AO68))</f>
        <v>12400000</v>
      </c>
      <c r="BC68" s="32" t="n">
        <f aca="false">IF($D68="","",IF($P68&gt;0,$BB68/$P68,0))</f>
        <v>0.8</v>
      </c>
      <c r="BD68" s="34" t="n">
        <f aca="false">IF($D68="","",(AsOfDate-$AH68)/DaysPerMonth)</f>
        <v>1.14989733059548</v>
      </c>
      <c r="BE68" s="34" t="n">
        <f aca="false">IF($D68="","",($AI68-AsOfDate)/DaysPerMonth)</f>
        <v>35.0554414784394</v>
      </c>
      <c r="BF68" s="34" t="n">
        <f aca="false">IF($D68="","",($AJ68-AsOfDate)/DaysPerMonth)</f>
        <v>41.0677618069815</v>
      </c>
      <c r="BG68" s="34" t="n">
        <f aca="false">IF($D68="","",MAX(0,$BE68))</f>
        <v>35.0554414784394</v>
      </c>
      <c r="BH68" s="34" t="n">
        <f aca="false">IF($D68="","",MAX(0,$BF68))</f>
        <v>41.0677618069815</v>
      </c>
      <c r="BI68" s="77" t="n">
        <f aca="false">IF($D68="","",YEAR($AI68))</f>
        <v>2029</v>
      </c>
      <c r="BJ68" s="77" t="n">
        <f aca="false">IF($D68="","",YEAR($AJ68))</f>
        <v>2029</v>
      </c>
      <c r="BK68" s="77" t="n">
        <f aca="false">IF($D68="","",YEAR($AH68))</f>
        <v>2026</v>
      </c>
      <c r="BL68" s="78" t="n">
        <v>2025</v>
      </c>
      <c r="BM68" s="44" t="n">
        <f aca="false">IF($AT68=1,$P68+(1000-ROW())/1000000,0)</f>
        <v>15500000.000932</v>
      </c>
    </row>
    <row r="69" customFormat="false" ht="15" hidden="false" customHeight="false" outlineLevel="0" collapsed="false">
      <c r="B69" s="60" t="n">
        <v>65</v>
      </c>
      <c r="C69" s="61" t="n">
        <v>30070</v>
      </c>
      <c r="D69" s="62" t="s">
        <v>449</v>
      </c>
      <c r="E69" s="62" t="s">
        <v>72</v>
      </c>
      <c r="F69" s="62" t="s">
        <v>72</v>
      </c>
      <c r="G69" s="62" t="s">
        <v>90</v>
      </c>
      <c r="H69" s="62" t="s">
        <v>331</v>
      </c>
      <c r="I69" s="63" t="s">
        <v>92</v>
      </c>
      <c r="J69" s="63" t="s">
        <v>92</v>
      </c>
      <c r="K69" s="63" t="s">
        <v>306</v>
      </c>
      <c r="L69" s="60" t="n">
        <v>753</v>
      </c>
      <c r="M69" s="60"/>
      <c r="N69" s="63" t="s">
        <v>450</v>
      </c>
      <c r="O69" s="63" t="s">
        <v>311</v>
      </c>
      <c r="P69" s="64" t="n">
        <v>66000000</v>
      </c>
      <c r="Q69" s="64" t="n">
        <v>-11850000</v>
      </c>
      <c r="R69" s="64" t="n">
        <v>54150000</v>
      </c>
      <c r="S69" s="64" t="n">
        <v>0</v>
      </c>
      <c r="T69" s="64" t="n">
        <v>66000000</v>
      </c>
      <c r="U69" s="64" t="n">
        <v>76200000</v>
      </c>
      <c r="V69" s="64" t="n">
        <v>95900000</v>
      </c>
      <c r="W69" s="65" t="n">
        <v>0.817782152230971</v>
      </c>
      <c r="X69" s="65" t="n">
        <v>0.688216892596455</v>
      </c>
      <c r="Y69" s="57" t="n">
        <v>0.0335</v>
      </c>
      <c r="Z69" s="57" t="n">
        <v>0.001</v>
      </c>
      <c r="AA69" s="57" t="n">
        <v>0.001</v>
      </c>
      <c r="AB69" s="57" t="n">
        <v>0</v>
      </c>
      <c r="AC69" s="63" t="s">
        <v>308</v>
      </c>
      <c r="AD69" s="57" t="n">
        <v>0.0345</v>
      </c>
      <c r="AE69" s="57"/>
      <c r="AF69" s="66"/>
      <c r="AG69" s="63" t="n">
        <v>6</v>
      </c>
      <c r="AH69" s="66" t="n">
        <v>44424</v>
      </c>
      <c r="AI69" s="66" t="n">
        <v>45536</v>
      </c>
      <c r="AJ69" s="66" t="n">
        <v>46266</v>
      </c>
      <c r="AK69" s="62"/>
      <c r="AL69" s="64"/>
      <c r="AM69" s="57"/>
      <c r="AN69" s="62"/>
      <c r="AO69" s="64"/>
      <c r="AP69" s="57"/>
      <c r="AQ69" s="64" t="n">
        <v>66000000</v>
      </c>
      <c r="AR69" s="65" t="n">
        <v>0.071</v>
      </c>
      <c r="AT69" s="26" t="n">
        <f aca="false">IF($D69="",0,IF(OR(StratFilter="All Loans",$E69=StratFilter),1,0))</f>
        <v>1</v>
      </c>
      <c r="AU69" s="18" t="str">
        <f aca="false">IF($D69="","",IFERROR(VLOOKUP(TRIM($K69),PropTypeMap,2,FALSE()),"Unmapped"))</f>
        <v>Multifamily</v>
      </c>
      <c r="AV69" s="21" t="str">
        <f aca="false">IF($D69="","",IFERROR(VLOOKUP($J69,RegionMap,2,FALSE()),"Unmapped"))</f>
        <v>Southwest</v>
      </c>
      <c r="AW69" s="21" t="str">
        <f aca="false">IF($D69="","",IF($AC69="SOFR","Floating (SOFR)","Fixed / All-In"))</f>
        <v>Floating (SOFR)</v>
      </c>
      <c r="AX69" s="24" t="n">
        <f aca="false">IF($D69="","",$AD69+SOFR)</f>
        <v>0.071</v>
      </c>
      <c r="AY69" s="21" t="str">
        <f aca="false">IF($D69="","",IF($AF69="Waived","Waived",IF(ISNUMBER($AF69),IF($AF69&gt;AsOfDate,"In Place","Expired"),"None Reported")))</f>
        <v>None Reported</v>
      </c>
      <c r="AZ69" s="21" t="str">
        <f aca="false">IF($D69="","",IF(ISNUMBER($AG69),IF($AG69=0,"None",$AG69&amp;" Months"),IF($AG69="","None Reported",$AG69)))</f>
        <v>6 Months</v>
      </c>
      <c r="BA69" s="18" t="str">
        <f aca="false">IF($D69="","",IF($AK69="","Unlevered",$AK69))</f>
        <v>Unlevered</v>
      </c>
      <c r="BB69" s="22" t="n">
        <f aca="false">IF($D69="","",SUM($AL69,$AO69))</f>
        <v>0</v>
      </c>
      <c r="BC69" s="23" t="n">
        <f aca="false">IF($D69="","",IF($P69&gt;0,$BB69/$P69,0))</f>
        <v>0</v>
      </c>
      <c r="BD69" s="25" t="n">
        <f aca="false">IF($D69="","",(AsOfDate-$AH69)/DaysPerMonth)</f>
        <v>58.4476386036961</v>
      </c>
      <c r="BE69" s="25" t="n">
        <f aca="false">IF($D69="","",($AI69-AsOfDate)/DaysPerMonth)</f>
        <v>-21.9137577002053</v>
      </c>
      <c r="BF69" s="25" t="n">
        <f aca="false">IF($D69="","",($AJ69-AsOfDate)/DaysPerMonth)</f>
        <v>2.06981519507187</v>
      </c>
      <c r="BG69" s="25" t="n">
        <f aca="false">IF($D69="","",MAX(0,$BE69))</f>
        <v>0</v>
      </c>
      <c r="BH69" s="25" t="n">
        <f aca="false">IF($D69="","",MAX(0,$BF69))</f>
        <v>2.06981519507187</v>
      </c>
      <c r="BI69" s="67" t="n">
        <f aca="false">IF($D69="","",YEAR($AI69))</f>
        <v>2024</v>
      </c>
      <c r="BJ69" s="67" t="n">
        <f aca="false">IF($D69="","",YEAR($AJ69))</f>
        <v>2026</v>
      </c>
      <c r="BK69" s="67" t="n">
        <f aca="false">IF($D69="","",YEAR($AH69))</f>
        <v>2021</v>
      </c>
      <c r="BL69" s="68" t="n">
        <v>1964</v>
      </c>
      <c r="BM69" s="26" t="n">
        <f aca="false">IF($AT69=1,$P69+(1000-ROW())/1000000,0)</f>
        <v>66000000.000931</v>
      </c>
    </row>
    <row r="70" customFormat="false" ht="15" hidden="false" customHeight="false" outlineLevel="0" collapsed="false">
      <c r="B70" s="69" t="n">
        <v>66</v>
      </c>
      <c r="C70" s="70" t="n">
        <v>30292</v>
      </c>
      <c r="D70" s="71" t="s">
        <v>451</v>
      </c>
      <c r="E70" s="71" t="s">
        <v>72</v>
      </c>
      <c r="F70" s="71" t="s">
        <v>72</v>
      </c>
      <c r="G70" s="71" t="s">
        <v>88</v>
      </c>
      <c r="H70" s="71" t="s">
        <v>331</v>
      </c>
      <c r="I70" s="72" t="s">
        <v>92</v>
      </c>
      <c r="J70" s="72" t="s">
        <v>92</v>
      </c>
      <c r="K70" s="72" t="s">
        <v>306</v>
      </c>
      <c r="L70" s="69" t="n">
        <v>332</v>
      </c>
      <c r="M70" s="69"/>
      <c r="N70" s="72" t="n">
        <v>2000</v>
      </c>
      <c r="O70" s="72" t="n">
        <v>2021</v>
      </c>
      <c r="P70" s="73" t="n">
        <v>51911535.08</v>
      </c>
      <c r="Q70" s="73" t="n">
        <v>-2529654.06269062</v>
      </c>
      <c r="R70" s="73" t="n">
        <v>49381881.0173094</v>
      </c>
      <c r="S70" s="73" t="n">
        <v>615219.34</v>
      </c>
      <c r="T70" s="73" t="n">
        <v>51500000</v>
      </c>
      <c r="U70" s="73" t="n">
        <v>50650000</v>
      </c>
      <c r="V70" s="73" t="n">
        <v>55900000</v>
      </c>
      <c r="W70" s="74" t="n">
        <v>1.0365251727542</v>
      </c>
      <c r="X70" s="74" t="n">
        <v>0.92128801431127</v>
      </c>
      <c r="Y70" s="75" t="n">
        <v>0.015</v>
      </c>
      <c r="Z70" s="75" t="n">
        <v>0.03</v>
      </c>
      <c r="AA70" s="75" t="n">
        <v>0</v>
      </c>
      <c r="AB70" s="75" t="n">
        <v>0</v>
      </c>
      <c r="AC70" s="72" t="s">
        <v>308</v>
      </c>
      <c r="AD70" s="75" t="n">
        <v>0.015</v>
      </c>
      <c r="AE70" s="75" t="n">
        <v>0.03</v>
      </c>
      <c r="AF70" s="76" t="n">
        <v>46966</v>
      </c>
      <c r="AG70" s="72" t="n">
        <v>6</v>
      </c>
      <c r="AH70" s="76" t="n">
        <v>45862</v>
      </c>
      <c r="AI70" s="76" t="n">
        <v>46966</v>
      </c>
      <c r="AJ70" s="76" t="n">
        <v>47696</v>
      </c>
      <c r="AK70" s="71"/>
      <c r="AL70" s="73"/>
      <c r="AM70" s="75"/>
      <c r="AN70" s="71"/>
      <c r="AO70" s="73"/>
      <c r="AP70" s="75"/>
      <c r="AQ70" s="73" t="n">
        <v>51911535.08</v>
      </c>
      <c r="AR70" s="74" t="n">
        <v>0.0515</v>
      </c>
      <c r="AT70" s="44" t="n">
        <f aca="false">IF($D70="",0,IF(OR(StratFilter="All Loans",$E70=StratFilter),1,0))</f>
        <v>1</v>
      </c>
      <c r="AU70" s="27" t="str">
        <f aca="false">IF($D70="","",IFERROR(VLOOKUP(TRIM($K70),PropTypeMap,2,FALSE()),"Unmapped"))</f>
        <v>Multifamily</v>
      </c>
      <c r="AV70" s="30" t="str">
        <f aca="false">IF($D70="","",IFERROR(VLOOKUP($J70,RegionMap,2,FALSE()),"Unmapped"))</f>
        <v>Southwest</v>
      </c>
      <c r="AW70" s="30" t="str">
        <f aca="false">IF($D70="","",IF($AC70="SOFR","Floating (SOFR)","Fixed / All-In"))</f>
        <v>Floating (SOFR)</v>
      </c>
      <c r="AX70" s="33" t="n">
        <f aca="false">IF($D70="","",$AD70+SOFR)</f>
        <v>0.0515</v>
      </c>
      <c r="AY70" s="30" t="str">
        <f aca="false">IF($D70="","",IF($AF70="Waived","Waived",IF(ISNUMBER($AF70),IF($AF70&gt;AsOfDate,"In Place","Expired"),"None Reported")))</f>
        <v>In Place</v>
      </c>
      <c r="AZ70" s="30" t="str">
        <f aca="false">IF($D70="","",IF(ISNUMBER($AG70),IF($AG70=0,"None",$AG70&amp;" Months"),IF($AG70="","None Reported",$AG70)))</f>
        <v>6 Months</v>
      </c>
      <c r="BA70" s="27" t="str">
        <f aca="false">IF($D70="","",IF($AK70="","Unlevered",$AK70))</f>
        <v>Unlevered</v>
      </c>
      <c r="BB70" s="31" t="n">
        <f aca="false">IF($D70="","",SUM($AL70,$AO70))</f>
        <v>0</v>
      </c>
      <c r="BC70" s="32" t="n">
        <f aca="false">IF($D70="","",IF($P70&gt;0,$BB70/$P70,0))</f>
        <v>0</v>
      </c>
      <c r="BD70" s="34" t="n">
        <f aca="false">IF($D70="","",(AsOfDate-$AH70)/DaysPerMonth)</f>
        <v>11.2032854209446</v>
      </c>
      <c r="BE70" s="34" t="n">
        <f aca="false">IF($D70="","",($AI70-AsOfDate)/DaysPerMonth)</f>
        <v>25.0677618069815</v>
      </c>
      <c r="BF70" s="34" t="n">
        <f aca="false">IF($D70="","",($AJ70-AsOfDate)/DaysPerMonth)</f>
        <v>49.0513347022587</v>
      </c>
      <c r="BG70" s="34" t="n">
        <f aca="false">IF($D70="","",MAX(0,$BE70))</f>
        <v>25.0677618069815</v>
      </c>
      <c r="BH70" s="34" t="n">
        <f aca="false">IF($D70="","",MAX(0,$BF70))</f>
        <v>49.0513347022587</v>
      </c>
      <c r="BI70" s="77" t="n">
        <f aca="false">IF($D70="","",YEAR($AI70))</f>
        <v>2028</v>
      </c>
      <c r="BJ70" s="77" t="n">
        <f aca="false">IF($D70="","",YEAR($AJ70))</f>
        <v>2030</v>
      </c>
      <c r="BK70" s="77" t="n">
        <f aca="false">IF($D70="","",YEAR($AH70))</f>
        <v>2025</v>
      </c>
      <c r="BL70" s="78" t="n">
        <v>2000</v>
      </c>
      <c r="BM70" s="44" t="n">
        <f aca="false">IF($AT70=1,$P70+(1000-ROW())/1000000,0)</f>
        <v>51911535.08093</v>
      </c>
    </row>
    <row r="71" customFormat="false" ht="15" hidden="false" customHeight="false" outlineLevel="0" collapsed="false">
      <c r="B71" s="60" t="n">
        <v>67</v>
      </c>
      <c r="C71" s="61" t="n">
        <v>30114</v>
      </c>
      <c r="D71" s="62" t="s">
        <v>452</v>
      </c>
      <c r="E71" s="62" t="s">
        <v>72</v>
      </c>
      <c r="F71" s="62" t="s">
        <v>72</v>
      </c>
      <c r="G71" s="62" t="s">
        <v>88</v>
      </c>
      <c r="H71" s="62" t="s">
        <v>331</v>
      </c>
      <c r="I71" s="63" t="s">
        <v>92</v>
      </c>
      <c r="J71" s="63" t="s">
        <v>92</v>
      </c>
      <c r="K71" s="63" t="s">
        <v>306</v>
      </c>
      <c r="L71" s="60" t="n">
        <v>374</v>
      </c>
      <c r="M71" s="60"/>
      <c r="N71" s="63" t="n">
        <v>2006</v>
      </c>
      <c r="O71" s="63" t="n">
        <v>2016</v>
      </c>
      <c r="P71" s="64" t="n">
        <v>51800000</v>
      </c>
      <c r="Q71" s="64" t="n">
        <v>-324640.896748468</v>
      </c>
      <c r="R71" s="64" t="n">
        <v>51475359.1032515</v>
      </c>
      <c r="S71" s="64" t="n">
        <v>0</v>
      </c>
      <c r="T71" s="64" t="n">
        <v>51800000</v>
      </c>
      <c r="U71" s="64" t="n">
        <v>64750000</v>
      </c>
      <c r="V71" s="64" t="n">
        <v>85950000</v>
      </c>
      <c r="W71" s="65" t="n">
        <v>0.708200772200772</v>
      </c>
      <c r="X71" s="65" t="n">
        <v>0.602675974403723</v>
      </c>
      <c r="Y71" s="57" t="n">
        <v>0.0305</v>
      </c>
      <c r="Z71" s="57" t="n">
        <v>0.0015</v>
      </c>
      <c r="AA71" s="57" t="n">
        <v>0.001</v>
      </c>
      <c r="AB71" s="57" t="n">
        <v>0</v>
      </c>
      <c r="AC71" s="63" t="s">
        <v>308</v>
      </c>
      <c r="AD71" s="57" t="n">
        <v>0.0315</v>
      </c>
      <c r="AE71" s="57"/>
      <c r="AF71" s="66"/>
      <c r="AG71" s="63" t="n">
        <v>6</v>
      </c>
      <c r="AH71" s="66" t="n">
        <v>44546</v>
      </c>
      <c r="AI71" s="66" t="n">
        <v>45658</v>
      </c>
      <c r="AJ71" s="66" t="n">
        <v>46388</v>
      </c>
      <c r="AK71" s="62"/>
      <c r="AL71" s="64"/>
      <c r="AM71" s="57"/>
      <c r="AN71" s="62"/>
      <c r="AO71" s="64"/>
      <c r="AP71" s="57"/>
      <c r="AQ71" s="64" t="n">
        <v>51800000</v>
      </c>
      <c r="AR71" s="65" t="n">
        <v>0.068</v>
      </c>
      <c r="AT71" s="26" t="n">
        <f aca="false">IF($D71="",0,IF(OR(StratFilter="All Loans",$E71=StratFilter),1,0))</f>
        <v>1</v>
      </c>
      <c r="AU71" s="18" t="str">
        <f aca="false">IF($D71="","",IFERROR(VLOOKUP(TRIM($K71),PropTypeMap,2,FALSE()),"Unmapped"))</f>
        <v>Multifamily</v>
      </c>
      <c r="AV71" s="21" t="str">
        <f aca="false">IF($D71="","",IFERROR(VLOOKUP($J71,RegionMap,2,FALSE()),"Unmapped"))</f>
        <v>Southwest</v>
      </c>
      <c r="AW71" s="21" t="str">
        <f aca="false">IF($D71="","",IF($AC71="SOFR","Floating (SOFR)","Fixed / All-In"))</f>
        <v>Floating (SOFR)</v>
      </c>
      <c r="AX71" s="24" t="n">
        <f aca="false">IF($D71="","",$AD71+SOFR)</f>
        <v>0.068</v>
      </c>
      <c r="AY71" s="21" t="str">
        <f aca="false">IF($D71="","",IF($AF71="Waived","Waived",IF(ISNUMBER($AF71),IF($AF71&gt;AsOfDate,"In Place","Expired"),"None Reported")))</f>
        <v>None Reported</v>
      </c>
      <c r="AZ71" s="21" t="str">
        <f aca="false">IF($D71="","",IF(ISNUMBER($AG71),IF($AG71=0,"None",$AG71&amp;" Months"),IF($AG71="","None Reported",$AG71)))</f>
        <v>6 Months</v>
      </c>
      <c r="BA71" s="18" t="str">
        <f aca="false">IF($D71="","",IF($AK71="","Unlevered",$AK71))</f>
        <v>Unlevered</v>
      </c>
      <c r="BB71" s="22" t="n">
        <f aca="false">IF($D71="","",SUM($AL71,$AO71))</f>
        <v>0</v>
      </c>
      <c r="BC71" s="23" t="n">
        <f aca="false">IF($D71="","",IF($P71&gt;0,$BB71/$P71,0))</f>
        <v>0</v>
      </c>
      <c r="BD71" s="25" t="n">
        <f aca="false">IF($D71="","",(AsOfDate-$AH71)/DaysPerMonth)</f>
        <v>54.4394250513347</v>
      </c>
      <c r="BE71" s="25" t="n">
        <f aca="false">IF($D71="","",($AI71-AsOfDate)/DaysPerMonth)</f>
        <v>-17.9055441478439</v>
      </c>
      <c r="BF71" s="25" t="n">
        <f aca="false">IF($D71="","",($AJ71-AsOfDate)/DaysPerMonth)</f>
        <v>6.07802874743327</v>
      </c>
      <c r="BG71" s="25" t="n">
        <f aca="false">IF($D71="","",MAX(0,$BE71))</f>
        <v>0</v>
      </c>
      <c r="BH71" s="25" t="n">
        <f aca="false">IF($D71="","",MAX(0,$BF71))</f>
        <v>6.07802874743327</v>
      </c>
      <c r="BI71" s="67" t="n">
        <f aca="false">IF($D71="","",YEAR($AI71))</f>
        <v>2025</v>
      </c>
      <c r="BJ71" s="67" t="n">
        <f aca="false">IF($D71="","",YEAR($AJ71))</f>
        <v>2027</v>
      </c>
      <c r="BK71" s="67" t="n">
        <f aca="false">IF($D71="","",YEAR($AH71))</f>
        <v>2021</v>
      </c>
      <c r="BL71" s="68" t="n">
        <v>2006</v>
      </c>
      <c r="BM71" s="26" t="n">
        <f aca="false">IF($AT71=1,$P71+(1000-ROW())/1000000,0)</f>
        <v>51800000.000929</v>
      </c>
    </row>
    <row r="72" customFormat="false" ht="15" hidden="false" customHeight="false" outlineLevel="0" collapsed="false">
      <c r="B72" s="69" t="n">
        <v>68</v>
      </c>
      <c r="C72" s="70" t="n">
        <v>3926</v>
      </c>
      <c r="D72" s="71" t="s">
        <v>453</v>
      </c>
      <c r="E72" s="71" t="s">
        <v>72</v>
      </c>
      <c r="F72" s="71" t="s">
        <v>72</v>
      </c>
      <c r="G72" s="71" t="s">
        <v>89</v>
      </c>
      <c r="H72" s="71" t="s">
        <v>305</v>
      </c>
      <c r="I72" s="72" t="s">
        <v>93</v>
      </c>
      <c r="J72" s="72" t="s">
        <v>93</v>
      </c>
      <c r="K72" s="72" t="s">
        <v>306</v>
      </c>
      <c r="L72" s="69" t="n">
        <v>55</v>
      </c>
      <c r="M72" s="69"/>
      <c r="N72" s="72" t="n">
        <v>2018</v>
      </c>
      <c r="O72" s="72" t="s">
        <v>311</v>
      </c>
      <c r="P72" s="73" t="n">
        <v>34500000</v>
      </c>
      <c r="Q72" s="73" t="n">
        <v>-8999781</v>
      </c>
      <c r="R72" s="73" t="n">
        <v>25500219</v>
      </c>
      <c r="S72" s="73" t="n">
        <v>0</v>
      </c>
      <c r="T72" s="73" t="n">
        <v>34500000</v>
      </c>
      <c r="U72" s="73" t="n">
        <v>46200000</v>
      </c>
      <c r="V72" s="73" t="n">
        <v>47100000</v>
      </c>
      <c r="W72" s="74" t="n">
        <v>0.746753246753247</v>
      </c>
      <c r="X72" s="74" t="n">
        <v>0.732484076433121</v>
      </c>
      <c r="Y72" s="75" t="n">
        <v>0.035</v>
      </c>
      <c r="Z72" s="75" t="n">
        <v>0.02</v>
      </c>
      <c r="AA72" s="75" t="n">
        <v>0</v>
      </c>
      <c r="AB72" s="75" t="n">
        <v>0</v>
      </c>
      <c r="AC72" s="72" t="s">
        <v>308</v>
      </c>
      <c r="AD72" s="75" t="n">
        <v>0.035</v>
      </c>
      <c r="AE72" s="75"/>
      <c r="AF72" s="76"/>
      <c r="AG72" s="72" t="n">
        <v>6</v>
      </c>
      <c r="AH72" s="76" t="n">
        <v>43770</v>
      </c>
      <c r="AI72" s="76" t="n">
        <v>44501</v>
      </c>
      <c r="AJ72" s="76" t="n">
        <v>44866</v>
      </c>
      <c r="AK72" s="71"/>
      <c r="AL72" s="73"/>
      <c r="AM72" s="75"/>
      <c r="AN72" s="71"/>
      <c r="AO72" s="73"/>
      <c r="AP72" s="75"/>
      <c r="AQ72" s="73" t="n">
        <v>34500000</v>
      </c>
      <c r="AR72" s="74" t="n">
        <v>0.0715</v>
      </c>
      <c r="AT72" s="44" t="n">
        <f aca="false">IF($D72="",0,IF(OR(StratFilter="All Loans",$E72=StratFilter),1,0))</f>
        <v>1</v>
      </c>
      <c r="AU72" s="27" t="str">
        <f aca="false">IF($D72="","",IFERROR(VLOOKUP(TRIM($K72),PropTypeMap,2,FALSE()),"Unmapped"))</f>
        <v>Multifamily</v>
      </c>
      <c r="AV72" s="30" t="str">
        <f aca="false">IF($D72="","",IFERROR(VLOOKUP($J72,RegionMap,2,FALSE()),"Unmapped"))</f>
        <v>Northeast</v>
      </c>
      <c r="AW72" s="30" t="str">
        <f aca="false">IF($D72="","",IF($AC72="SOFR","Floating (SOFR)","Fixed / All-In"))</f>
        <v>Floating (SOFR)</v>
      </c>
      <c r="AX72" s="33" t="n">
        <f aca="false">IF($D72="","",$AD72+SOFR)</f>
        <v>0.0715</v>
      </c>
      <c r="AY72" s="30" t="str">
        <f aca="false">IF($D72="","",IF($AF72="Waived","Waived",IF(ISNUMBER($AF72),IF($AF72&gt;AsOfDate,"In Place","Expired"),"None Reported")))</f>
        <v>None Reported</v>
      </c>
      <c r="AZ72" s="30" t="str">
        <f aca="false">IF($D72="","",IF(ISNUMBER($AG72),IF($AG72=0,"None",$AG72&amp;" Months"),IF($AG72="","None Reported",$AG72)))</f>
        <v>6 Months</v>
      </c>
      <c r="BA72" s="27" t="str">
        <f aca="false">IF($D72="","",IF($AK72="","Unlevered",$AK72))</f>
        <v>Unlevered</v>
      </c>
      <c r="BB72" s="31" t="n">
        <f aca="false">IF($D72="","",SUM($AL72,$AO72))</f>
        <v>0</v>
      </c>
      <c r="BC72" s="32" t="n">
        <f aca="false">IF($D72="","",IF($P72&gt;0,$BB72/$P72,0))</f>
        <v>0</v>
      </c>
      <c r="BD72" s="34" t="n">
        <f aca="false">IF($D72="","",(AsOfDate-$AH72)/DaysPerMonth)</f>
        <v>79.9342915811088</v>
      </c>
      <c r="BE72" s="34" t="n">
        <f aca="false">IF($D72="","",($AI72-AsOfDate)/DaysPerMonth)</f>
        <v>-55.917864476386</v>
      </c>
      <c r="BF72" s="34" t="n">
        <f aca="false">IF($D72="","",($AJ72-AsOfDate)/DaysPerMonth)</f>
        <v>-43.9260780287474</v>
      </c>
      <c r="BG72" s="34" t="n">
        <f aca="false">IF($D72="","",MAX(0,$BE72))</f>
        <v>0</v>
      </c>
      <c r="BH72" s="34" t="n">
        <f aca="false">IF($D72="","",MAX(0,$BF72))</f>
        <v>0</v>
      </c>
      <c r="BI72" s="77" t="n">
        <f aca="false">IF($D72="","",YEAR($AI72))</f>
        <v>2021</v>
      </c>
      <c r="BJ72" s="77" t="n">
        <f aca="false">IF($D72="","",YEAR($AJ72))</f>
        <v>2022</v>
      </c>
      <c r="BK72" s="77" t="n">
        <f aca="false">IF($D72="","",YEAR($AH72))</f>
        <v>2019</v>
      </c>
      <c r="BL72" s="78" t="n">
        <v>2018</v>
      </c>
      <c r="BM72" s="44" t="n">
        <f aca="false">IF($AT72=1,$P72+(1000-ROW())/1000000,0)</f>
        <v>34500000.000928</v>
      </c>
    </row>
    <row r="73" customFormat="false" ht="15" hidden="false" customHeight="false" outlineLevel="0" collapsed="false">
      <c r="B73" s="60" t="n">
        <v>69</v>
      </c>
      <c r="C73" s="61" t="n">
        <v>30273</v>
      </c>
      <c r="D73" s="62" t="s">
        <v>454</v>
      </c>
      <c r="E73" s="62" t="s">
        <v>72</v>
      </c>
      <c r="F73" s="62" t="s">
        <v>72</v>
      </c>
      <c r="G73" s="62" t="s">
        <v>86</v>
      </c>
      <c r="H73" s="62" t="s">
        <v>435</v>
      </c>
      <c r="I73" s="63" t="s">
        <v>93</v>
      </c>
      <c r="J73" s="63" t="s">
        <v>93</v>
      </c>
      <c r="K73" s="63" t="s">
        <v>306</v>
      </c>
      <c r="L73" s="60" t="n">
        <v>102</v>
      </c>
      <c r="M73" s="60"/>
      <c r="N73" s="63" t="n">
        <v>2024</v>
      </c>
      <c r="O73" s="63" t="s">
        <v>311</v>
      </c>
      <c r="P73" s="64" t="n">
        <v>31000000</v>
      </c>
      <c r="Q73" s="64" t="n">
        <v>0</v>
      </c>
      <c r="R73" s="64" t="n">
        <v>31000000</v>
      </c>
      <c r="S73" s="64" t="n">
        <v>0</v>
      </c>
      <c r="T73" s="64" t="n">
        <v>31000000</v>
      </c>
      <c r="U73" s="64" t="n">
        <v>50700000</v>
      </c>
      <c r="V73" s="64" t="n">
        <v>51800000</v>
      </c>
      <c r="W73" s="65" t="n">
        <v>0.611439842209073</v>
      </c>
      <c r="X73" s="65" t="n">
        <v>0.598455598455599</v>
      </c>
      <c r="Y73" s="57" t="n">
        <v>0.0325</v>
      </c>
      <c r="Z73" s="57" t="n">
        <v>0.0375</v>
      </c>
      <c r="AA73" s="57" t="n">
        <v>0</v>
      </c>
      <c r="AB73" s="57" t="n">
        <v>0</v>
      </c>
      <c r="AC73" s="63" t="s">
        <v>308</v>
      </c>
      <c r="AD73" s="57" t="n">
        <v>0.0335</v>
      </c>
      <c r="AE73" s="57" t="n">
        <v>0.0425</v>
      </c>
      <c r="AF73" s="66" t="n">
        <v>46478</v>
      </c>
      <c r="AG73" s="63" t="n">
        <v>6</v>
      </c>
      <c r="AH73" s="66" t="n">
        <v>45748</v>
      </c>
      <c r="AI73" s="66" t="n">
        <v>46508</v>
      </c>
      <c r="AJ73" s="66" t="n">
        <v>46874</v>
      </c>
      <c r="AK73" s="62"/>
      <c r="AL73" s="64"/>
      <c r="AM73" s="57"/>
      <c r="AN73" s="62"/>
      <c r="AO73" s="64"/>
      <c r="AP73" s="57"/>
      <c r="AQ73" s="64" t="n">
        <v>31000000</v>
      </c>
      <c r="AR73" s="65" t="n">
        <v>0.07</v>
      </c>
      <c r="AT73" s="26" t="n">
        <f aca="false">IF($D73="",0,IF(OR(StratFilter="All Loans",$E73=StratFilter),1,0))</f>
        <v>1</v>
      </c>
      <c r="AU73" s="18" t="str">
        <f aca="false">IF($D73="","",IFERROR(VLOOKUP(TRIM($K73),PropTypeMap,2,FALSE()),"Unmapped"))</f>
        <v>Multifamily</v>
      </c>
      <c r="AV73" s="21" t="str">
        <f aca="false">IF($D73="","",IFERROR(VLOOKUP($J73,RegionMap,2,FALSE()),"Unmapped"))</f>
        <v>Northeast</v>
      </c>
      <c r="AW73" s="21" t="str">
        <f aca="false">IF($D73="","",IF($AC73="SOFR","Floating (SOFR)","Fixed / All-In"))</f>
        <v>Floating (SOFR)</v>
      </c>
      <c r="AX73" s="24" t="n">
        <f aca="false">IF($D73="","",$AD73+SOFR)</f>
        <v>0.07</v>
      </c>
      <c r="AY73" s="21" t="str">
        <f aca="false">IF($D73="","",IF($AF73="Waived","Waived",IF(ISNUMBER($AF73),IF($AF73&gt;AsOfDate,"In Place","Expired"),"None Reported")))</f>
        <v>In Place</v>
      </c>
      <c r="AZ73" s="21" t="str">
        <f aca="false">IF($D73="","",IF(ISNUMBER($AG73),IF($AG73=0,"None",$AG73&amp;" Months"),IF($AG73="","None Reported",$AG73)))</f>
        <v>6 Months</v>
      </c>
      <c r="BA73" s="18" t="str">
        <f aca="false">IF($D73="","",IF($AK73="","Unlevered",$AK73))</f>
        <v>Unlevered</v>
      </c>
      <c r="BB73" s="22" t="n">
        <f aca="false">IF($D73="","",SUM($AL73,$AO73))</f>
        <v>0</v>
      </c>
      <c r="BC73" s="23" t="n">
        <f aca="false">IF($D73="","",IF($P73&gt;0,$BB73/$P73,0))</f>
        <v>0</v>
      </c>
      <c r="BD73" s="25" t="n">
        <f aca="false">IF($D73="","",(AsOfDate-$AH73)/DaysPerMonth)</f>
        <v>14.9486652977413</v>
      </c>
      <c r="BE73" s="25" t="n">
        <f aca="false">IF($D73="","",($AI73-AsOfDate)/DaysPerMonth)</f>
        <v>10.0205338809035</v>
      </c>
      <c r="BF73" s="25" t="n">
        <f aca="false">IF($D73="","",($AJ73-AsOfDate)/DaysPerMonth)</f>
        <v>22.0451745379877</v>
      </c>
      <c r="BG73" s="25" t="n">
        <f aca="false">IF($D73="","",MAX(0,$BE73))</f>
        <v>10.0205338809035</v>
      </c>
      <c r="BH73" s="25" t="n">
        <f aca="false">IF($D73="","",MAX(0,$BF73))</f>
        <v>22.0451745379877</v>
      </c>
      <c r="BI73" s="67" t="n">
        <f aca="false">IF($D73="","",YEAR($AI73))</f>
        <v>2027</v>
      </c>
      <c r="BJ73" s="67" t="n">
        <f aca="false">IF($D73="","",YEAR($AJ73))</f>
        <v>2028</v>
      </c>
      <c r="BK73" s="67" t="n">
        <f aca="false">IF($D73="","",YEAR($AH73))</f>
        <v>2025</v>
      </c>
      <c r="BL73" s="68" t="n">
        <v>2024</v>
      </c>
      <c r="BM73" s="26" t="n">
        <f aca="false">IF($AT73=1,$P73+(1000-ROW())/1000000,0)</f>
        <v>31000000.000927</v>
      </c>
    </row>
    <row r="74" customFormat="false" ht="15" hidden="false" customHeight="false" outlineLevel="0" collapsed="false">
      <c r="B74" s="69" t="n">
        <v>70</v>
      </c>
      <c r="C74" s="70" t="n">
        <v>3997</v>
      </c>
      <c r="D74" s="71" t="s">
        <v>455</v>
      </c>
      <c r="E74" s="71" t="s">
        <v>72</v>
      </c>
      <c r="F74" s="71" t="s">
        <v>72</v>
      </c>
      <c r="G74" s="71" t="s">
        <v>89</v>
      </c>
      <c r="H74" s="71" t="s">
        <v>305</v>
      </c>
      <c r="I74" s="72" t="s">
        <v>93</v>
      </c>
      <c r="J74" s="72" t="s">
        <v>93</v>
      </c>
      <c r="K74" s="72" t="s">
        <v>306</v>
      </c>
      <c r="L74" s="69" t="n">
        <v>69</v>
      </c>
      <c r="M74" s="69"/>
      <c r="N74" s="72" t="n">
        <v>2020</v>
      </c>
      <c r="O74" s="72" t="s">
        <v>311</v>
      </c>
      <c r="P74" s="73" t="n">
        <v>28000000</v>
      </c>
      <c r="Q74" s="73" t="n">
        <v>-3600000</v>
      </c>
      <c r="R74" s="73" t="n">
        <v>24400000</v>
      </c>
      <c r="S74" s="73" t="n">
        <v>0</v>
      </c>
      <c r="T74" s="73" t="n">
        <v>28000000</v>
      </c>
      <c r="U74" s="73" t="n">
        <v>35100000</v>
      </c>
      <c r="V74" s="73" t="n">
        <v>35100000</v>
      </c>
      <c r="W74" s="74" t="n">
        <v>0.795498575498576</v>
      </c>
      <c r="X74" s="74" t="n">
        <v>0.797720797720798</v>
      </c>
      <c r="Y74" s="75" t="n">
        <v>0.045</v>
      </c>
      <c r="Z74" s="75" t="n">
        <v>0.005</v>
      </c>
      <c r="AA74" s="75" t="n">
        <v>0.001</v>
      </c>
      <c r="AB74" s="75" t="n">
        <v>0</v>
      </c>
      <c r="AC74" s="72" t="s">
        <v>308</v>
      </c>
      <c r="AD74" s="75" t="n">
        <v>0.046</v>
      </c>
      <c r="AE74" s="75"/>
      <c r="AF74" s="76"/>
      <c r="AG74" s="72" t="n">
        <v>3</v>
      </c>
      <c r="AH74" s="76" t="n">
        <v>44200</v>
      </c>
      <c r="AI74" s="76" t="n">
        <v>44958</v>
      </c>
      <c r="AJ74" s="76" t="n">
        <v>45444</v>
      </c>
      <c r="AK74" s="71"/>
      <c r="AL74" s="73"/>
      <c r="AM74" s="75"/>
      <c r="AN74" s="71"/>
      <c r="AO74" s="73"/>
      <c r="AP74" s="75"/>
      <c r="AQ74" s="73" t="n">
        <v>28000000</v>
      </c>
      <c r="AR74" s="74" t="n">
        <v>0.0825</v>
      </c>
      <c r="AT74" s="44" t="n">
        <f aca="false">IF($D74="",0,IF(OR(StratFilter="All Loans",$E74=StratFilter),1,0))</f>
        <v>1</v>
      </c>
      <c r="AU74" s="27" t="str">
        <f aca="false">IF($D74="","",IFERROR(VLOOKUP(TRIM($K74),PropTypeMap,2,FALSE()),"Unmapped"))</f>
        <v>Multifamily</v>
      </c>
      <c r="AV74" s="30" t="str">
        <f aca="false">IF($D74="","",IFERROR(VLOOKUP($J74,RegionMap,2,FALSE()),"Unmapped"))</f>
        <v>Northeast</v>
      </c>
      <c r="AW74" s="30" t="str">
        <f aca="false">IF($D74="","",IF($AC74="SOFR","Floating (SOFR)","Fixed / All-In"))</f>
        <v>Floating (SOFR)</v>
      </c>
      <c r="AX74" s="33" t="n">
        <f aca="false">IF($D74="","",$AD74+SOFR)</f>
        <v>0.0825</v>
      </c>
      <c r="AY74" s="30" t="str">
        <f aca="false">IF($D74="","",IF($AF74="Waived","Waived",IF(ISNUMBER($AF74),IF($AF74&gt;AsOfDate,"In Place","Expired"),"None Reported")))</f>
        <v>None Reported</v>
      </c>
      <c r="AZ74" s="30" t="str">
        <f aca="false">IF($D74="","",IF(ISNUMBER($AG74),IF($AG74=0,"None",$AG74&amp;" Months"),IF($AG74="","None Reported",$AG74)))</f>
        <v>3 Months</v>
      </c>
      <c r="BA74" s="27" t="str">
        <f aca="false">IF($D74="","",IF($AK74="","Unlevered",$AK74))</f>
        <v>Unlevered</v>
      </c>
      <c r="BB74" s="31" t="n">
        <f aca="false">IF($D74="","",SUM($AL74,$AO74))</f>
        <v>0</v>
      </c>
      <c r="BC74" s="32" t="n">
        <f aca="false">IF($D74="","",IF($P74&gt;0,$BB74/$P74,0))</f>
        <v>0</v>
      </c>
      <c r="BD74" s="34" t="n">
        <f aca="false">IF($D74="","",(AsOfDate-$AH74)/DaysPerMonth)</f>
        <v>65.8069815195072</v>
      </c>
      <c r="BE74" s="34" t="n">
        <f aca="false">IF($D74="","",($AI74-AsOfDate)/DaysPerMonth)</f>
        <v>-40.9034907597536</v>
      </c>
      <c r="BF74" s="34" t="n">
        <f aca="false">IF($D74="","",($AJ74-AsOfDate)/DaysPerMonth)</f>
        <v>-24.9363449691992</v>
      </c>
      <c r="BG74" s="34" t="n">
        <f aca="false">IF($D74="","",MAX(0,$BE74))</f>
        <v>0</v>
      </c>
      <c r="BH74" s="34" t="n">
        <f aca="false">IF($D74="","",MAX(0,$BF74))</f>
        <v>0</v>
      </c>
      <c r="BI74" s="77" t="n">
        <f aca="false">IF($D74="","",YEAR($AI74))</f>
        <v>2023</v>
      </c>
      <c r="BJ74" s="77" t="n">
        <f aca="false">IF($D74="","",YEAR($AJ74))</f>
        <v>2024</v>
      </c>
      <c r="BK74" s="77" t="n">
        <f aca="false">IF($D74="","",YEAR($AH74))</f>
        <v>2021</v>
      </c>
      <c r="BL74" s="78" t="n">
        <v>2020</v>
      </c>
      <c r="BM74" s="44" t="n">
        <f aca="false">IF($AT74=1,$P74+(1000-ROW())/1000000,0)</f>
        <v>28000000.000926</v>
      </c>
    </row>
    <row r="75" customFormat="false" ht="15" hidden="false" customHeight="false" outlineLevel="0" collapsed="false">
      <c r="B75" s="60" t="n">
        <v>71</v>
      </c>
      <c r="C75" s="61" t="n">
        <v>30188</v>
      </c>
      <c r="D75" s="62" t="s">
        <v>456</v>
      </c>
      <c r="E75" s="62" t="s">
        <v>72</v>
      </c>
      <c r="F75" s="62" t="s">
        <v>72</v>
      </c>
      <c r="G75" s="62" t="s">
        <v>87</v>
      </c>
      <c r="H75" s="62" t="s">
        <v>399</v>
      </c>
      <c r="I75" s="63" t="s">
        <v>92</v>
      </c>
      <c r="J75" s="63" t="s">
        <v>92</v>
      </c>
      <c r="K75" s="63" t="s">
        <v>306</v>
      </c>
      <c r="L75" s="60" t="n">
        <v>328</v>
      </c>
      <c r="M75" s="60"/>
      <c r="N75" s="63" t="n">
        <v>1983</v>
      </c>
      <c r="O75" s="63" t="s">
        <v>457</v>
      </c>
      <c r="P75" s="64" t="n">
        <v>25706118.84</v>
      </c>
      <c r="Q75" s="64" t="n">
        <v>0</v>
      </c>
      <c r="R75" s="64" t="n">
        <v>25706118.84</v>
      </c>
      <c r="S75" s="64" t="n">
        <v>5443881.16</v>
      </c>
      <c r="T75" s="64" t="n">
        <v>31150000</v>
      </c>
      <c r="U75" s="64" t="n">
        <v>39200000</v>
      </c>
      <c r="V75" s="64" t="n">
        <v>57500000</v>
      </c>
      <c r="W75" s="65" t="n">
        <v>0.316173469387755</v>
      </c>
      <c r="X75" s="65" t="n">
        <v>0.541739130434783</v>
      </c>
      <c r="Y75" s="57" t="n">
        <v>0.0405</v>
      </c>
      <c r="Z75" s="57" t="n">
        <v>0.035</v>
      </c>
      <c r="AA75" s="57" t="n">
        <v>0</v>
      </c>
      <c r="AB75" s="57" t="n">
        <v>0.005</v>
      </c>
      <c r="AC75" s="63" t="s">
        <v>308</v>
      </c>
      <c r="AD75" s="57" t="n">
        <v>0.0455</v>
      </c>
      <c r="AE75" s="57" t="n">
        <v>0.025</v>
      </c>
      <c r="AF75" s="66" t="n">
        <v>46266</v>
      </c>
      <c r="AG75" s="63" t="n">
        <v>6</v>
      </c>
      <c r="AH75" s="66" t="n">
        <v>44966</v>
      </c>
      <c r="AI75" s="66" t="n">
        <v>46082</v>
      </c>
      <c r="AJ75" s="66" t="n">
        <v>46631</v>
      </c>
      <c r="AK75" s="62"/>
      <c r="AL75" s="64"/>
      <c r="AM75" s="57"/>
      <c r="AN75" s="62"/>
      <c r="AO75" s="64"/>
      <c r="AP75" s="57"/>
      <c r="AQ75" s="64" t="n">
        <v>25706118.84</v>
      </c>
      <c r="AR75" s="65" t="n">
        <v>0.082</v>
      </c>
      <c r="AT75" s="26" t="n">
        <f aca="false">IF($D75="",0,IF(OR(StratFilter="All Loans",$E75=StratFilter),1,0))</f>
        <v>1</v>
      </c>
      <c r="AU75" s="18" t="str">
        <f aca="false">IF($D75="","",IFERROR(VLOOKUP(TRIM($K75),PropTypeMap,2,FALSE()),"Unmapped"))</f>
        <v>Multifamily</v>
      </c>
      <c r="AV75" s="21" t="str">
        <f aca="false">IF($D75="","",IFERROR(VLOOKUP($J75,RegionMap,2,FALSE()),"Unmapped"))</f>
        <v>Southwest</v>
      </c>
      <c r="AW75" s="21" t="str">
        <f aca="false">IF($D75="","",IF($AC75="SOFR","Floating (SOFR)","Fixed / All-In"))</f>
        <v>Floating (SOFR)</v>
      </c>
      <c r="AX75" s="24" t="n">
        <f aca="false">IF($D75="","",$AD75+SOFR)</f>
        <v>0.082</v>
      </c>
      <c r="AY75" s="21" t="str">
        <f aca="false">IF($D75="","",IF($AF75="Waived","Waived",IF(ISNUMBER($AF75),IF($AF75&gt;AsOfDate,"In Place","Expired"),"None Reported")))</f>
        <v>In Place</v>
      </c>
      <c r="AZ75" s="21" t="str">
        <f aca="false">IF($D75="","",IF(ISNUMBER($AG75),IF($AG75=0,"None",$AG75&amp;" Months"),IF($AG75="","None Reported",$AG75)))</f>
        <v>6 Months</v>
      </c>
      <c r="BA75" s="18" t="str">
        <f aca="false">IF($D75="","",IF($AK75="","Unlevered",$AK75))</f>
        <v>Unlevered</v>
      </c>
      <c r="BB75" s="22" t="n">
        <f aca="false">IF($D75="","",SUM($AL75,$AO75))</f>
        <v>0</v>
      </c>
      <c r="BC75" s="23" t="n">
        <f aca="false">IF($D75="","",IF($P75&gt;0,$BB75/$P75,0))</f>
        <v>0</v>
      </c>
      <c r="BD75" s="25" t="n">
        <f aca="false">IF($D75="","",(AsOfDate-$AH75)/DaysPerMonth)</f>
        <v>40.6406570841889</v>
      </c>
      <c r="BE75" s="25" t="n">
        <f aca="false">IF($D75="","",($AI75-AsOfDate)/DaysPerMonth)</f>
        <v>-3.97535934291581</v>
      </c>
      <c r="BF75" s="25" t="n">
        <f aca="false">IF($D75="","",($AJ75-AsOfDate)/DaysPerMonth)</f>
        <v>14.0616016427105</v>
      </c>
      <c r="BG75" s="25" t="n">
        <f aca="false">IF($D75="","",MAX(0,$BE75))</f>
        <v>0</v>
      </c>
      <c r="BH75" s="25" t="n">
        <f aca="false">IF($D75="","",MAX(0,$BF75))</f>
        <v>14.0616016427105</v>
      </c>
      <c r="BI75" s="67" t="n">
        <f aca="false">IF($D75="","",YEAR($AI75))</f>
        <v>2026</v>
      </c>
      <c r="BJ75" s="67" t="n">
        <f aca="false">IF($D75="","",YEAR($AJ75))</f>
        <v>2027</v>
      </c>
      <c r="BK75" s="67" t="n">
        <f aca="false">IF($D75="","",YEAR($AH75))</f>
        <v>2023</v>
      </c>
      <c r="BL75" s="68" t="n">
        <v>1983</v>
      </c>
      <c r="BM75" s="26" t="n">
        <f aca="false">IF($AT75=1,$P75+(1000-ROW())/1000000,0)</f>
        <v>25706118.840925</v>
      </c>
    </row>
    <row r="76" customFormat="false" ht="15" hidden="false" customHeight="false" outlineLevel="0" collapsed="false">
      <c r="B76" s="69" t="n">
        <v>72</v>
      </c>
      <c r="C76" s="70" t="n">
        <v>30012</v>
      </c>
      <c r="D76" s="71" t="s">
        <v>458</v>
      </c>
      <c r="E76" s="71" t="s">
        <v>72</v>
      </c>
      <c r="F76" s="71" t="s">
        <v>72</v>
      </c>
      <c r="G76" s="71" t="s">
        <v>90</v>
      </c>
      <c r="H76" s="71" t="s">
        <v>446</v>
      </c>
      <c r="I76" s="72" t="s">
        <v>92</v>
      </c>
      <c r="J76" s="72" t="s">
        <v>92</v>
      </c>
      <c r="K76" s="72" t="s">
        <v>306</v>
      </c>
      <c r="L76" s="69" t="n">
        <v>164</v>
      </c>
      <c r="M76" s="69"/>
      <c r="N76" s="72" t="n">
        <v>1972</v>
      </c>
      <c r="O76" s="72" t="n">
        <v>2020</v>
      </c>
      <c r="P76" s="73" t="n">
        <v>22750000</v>
      </c>
      <c r="Q76" s="73" t="n">
        <v>-4130000</v>
      </c>
      <c r="R76" s="73" t="n">
        <v>18620000</v>
      </c>
      <c r="S76" s="73" t="n">
        <v>0</v>
      </c>
      <c r="T76" s="73" t="n">
        <v>22750000</v>
      </c>
      <c r="U76" s="73" t="n">
        <v>33000000</v>
      </c>
      <c r="V76" s="73" t="n">
        <v>37950000</v>
      </c>
      <c r="W76" s="74" t="n">
        <v>0.685151515151515</v>
      </c>
      <c r="X76" s="74" t="n">
        <v>0.599472990777339</v>
      </c>
      <c r="Y76" s="75" t="n">
        <v>0.04</v>
      </c>
      <c r="Z76" s="75" t="n">
        <v>0.0025</v>
      </c>
      <c r="AA76" s="75" t="n">
        <v>0.001</v>
      </c>
      <c r="AB76" s="75" t="n">
        <v>0</v>
      </c>
      <c r="AC76" s="72" t="s">
        <v>308</v>
      </c>
      <c r="AD76" s="75" t="n">
        <v>0.041</v>
      </c>
      <c r="AE76" s="75"/>
      <c r="AF76" s="76"/>
      <c r="AG76" s="72" t="n">
        <v>6</v>
      </c>
      <c r="AH76" s="76" t="n">
        <v>44294</v>
      </c>
      <c r="AI76" s="76" t="n">
        <v>45047</v>
      </c>
      <c r="AJ76" s="76" t="n">
        <v>45536</v>
      </c>
      <c r="AK76" s="71"/>
      <c r="AL76" s="73"/>
      <c r="AM76" s="75"/>
      <c r="AN76" s="71"/>
      <c r="AO76" s="73"/>
      <c r="AP76" s="75"/>
      <c r="AQ76" s="73" t="n">
        <v>22750000</v>
      </c>
      <c r="AR76" s="74" t="n">
        <v>0.0775</v>
      </c>
      <c r="AT76" s="44" t="n">
        <f aca="false">IF($D76="",0,IF(OR(StratFilter="All Loans",$E76=StratFilter),1,0))</f>
        <v>1</v>
      </c>
      <c r="AU76" s="27" t="str">
        <f aca="false">IF($D76="","",IFERROR(VLOOKUP(TRIM($K76),PropTypeMap,2,FALSE()),"Unmapped"))</f>
        <v>Multifamily</v>
      </c>
      <c r="AV76" s="30" t="str">
        <f aca="false">IF($D76="","",IFERROR(VLOOKUP($J76,RegionMap,2,FALSE()),"Unmapped"))</f>
        <v>Southwest</v>
      </c>
      <c r="AW76" s="30" t="str">
        <f aca="false">IF($D76="","",IF($AC76="SOFR","Floating (SOFR)","Fixed / All-In"))</f>
        <v>Floating (SOFR)</v>
      </c>
      <c r="AX76" s="33" t="n">
        <f aca="false">IF($D76="","",$AD76+SOFR)</f>
        <v>0.0775</v>
      </c>
      <c r="AY76" s="30" t="str">
        <f aca="false">IF($D76="","",IF($AF76="Waived","Waived",IF(ISNUMBER($AF76),IF($AF76&gt;AsOfDate,"In Place","Expired"),"None Reported")))</f>
        <v>None Reported</v>
      </c>
      <c r="AZ76" s="30" t="str">
        <f aca="false">IF($D76="","",IF(ISNUMBER($AG76),IF($AG76=0,"None",$AG76&amp;" Months"),IF($AG76="","None Reported",$AG76)))</f>
        <v>6 Months</v>
      </c>
      <c r="BA76" s="27" t="str">
        <f aca="false">IF($D76="","",IF($AK76="","Unlevered",$AK76))</f>
        <v>Unlevered</v>
      </c>
      <c r="BB76" s="31" t="n">
        <f aca="false">IF($D76="","",SUM($AL76,$AO76))</f>
        <v>0</v>
      </c>
      <c r="BC76" s="32" t="n">
        <f aca="false">IF($D76="","",IF($P76&gt;0,$BB76/$P76,0))</f>
        <v>0</v>
      </c>
      <c r="BD76" s="34" t="n">
        <f aca="false">IF($D76="","",(AsOfDate-$AH76)/DaysPerMonth)</f>
        <v>62.7186858316222</v>
      </c>
      <c r="BE76" s="34" t="n">
        <f aca="false">IF($D76="","",($AI76-AsOfDate)/DaysPerMonth)</f>
        <v>-37.9794661190965</v>
      </c>
      <c r="BF76" s="34" t="n">
        <f aca="false">IF($D76="","",($AJ76-AsOfDate)/DaysPerMonth)</f>
        <v>-21.9137577002053</v>
      </c>
      <c r="BG76" s="34" t="n">
        <f aca="false">IF($D76="","",MAX(0,$BE76))</f>
        <v>0</v>
      </c>
      <c r="BH76" s="34" t="n">
        <f aca="false">IF($D76="","",MAX(0,$BF76))</f>
        <v>0</v>
      </c>
      <c r="BI76" s="77" t="n">
        <f aca="false">IF($D76="","",YEAR($AI76))</f>
        <v>2023</v>
      </c>
      <c r="BJ76" s="77" t="n">
        <f aca="false">IF($D76="","",YEAR($AJ76))</f>
        <v>2024</v>
      </c>
      <c r="BK76" s="77" t="n">
        <f aca="false">IF($D76="","",YEAR($AH76))</f>
        <v>2021</v>
      </c>
      <c r="BL76" s="78" t="n">
        <v>1972</v>
      </c>
      <c r="BM76" s="44" t="n">
        <f aca="false">IF($AT76=1,$P76+(1000-ROW())/1000000,0)</f>
        <v>22750000.000924</v>
      </c>
    </row>
    <row r="77" customFormat="false" ht="15" hidden="false" customHeight="false" outlineLevel="0" collapsed="false">
      <c r="B77" s="60" t="n">
        <v>73</v>
      </c>
      <c r="C77" s="61" t="n">
        <v>30010</v>
      </c>
      <c r="D77" s="62" t="s">
        <v>459</v>
      </c>
      <c r="E77" s="62" t="s">
        <v>72</v>
      </c>
      <c r="F77" s="62" t="s">
        <v>72</v>
      </c>
      <c r="G77" s="62" t="s">
        <v>89</v>
      </c>
      <c r="H77" s="62" t="s">
        <v>460</v>
      </c>
      <c r="I77" s="63" t="s">
        <v>101</v>
      </c>
      <c r="J77" s="63" t="s">
        <v>101</v>
      </c>
      <c r="K77" s="63" t="s">
        <v>306</v>
      </c>
      <c r="L77" s="60" t="n">
        <v>340</v>
      </c>
      <c r="M77" s="60"/>
      <c r="N77" s="63" t="s">
        <v>461</v>
      </c>
      <c r="O77" s="63" t="s">
        <v>311</v>
      </c>
      <c r="P77" s="64" t="n">
        <v>19600000</v>
      </c>
      <c r="Q77" s="64" t="n">
        <v>0</v>
      </c>
      <c r="R77" s="64" t="n">
        <v>19600000</v>
      </c>
      <c r="S77" s="64" t="n">
        <v>0</v>
      </c>
      <c r="T77" s="64" t="n">
        <v>23600000</v>
      </c>
      <c r="U77" s="64" t="n">
        <v>29600000</v>
      </c>
      <c r="V77" s="64" t="n">
        <v>32900000</v>
      </c>
      <c r="W77" s="65" t="n">
        <v>0.793445945945946</v>
      </c>
      <c r="X77" s="65" t="n">
        <v>0.717325227963526</v>
      </c>
      <c r="Y77" s="57" t="n">
        <v>0.0385</v>
      </c>
      <c r="Z77" s="57" t="n">
        <v>0.0025</v>
      </c>
      <c r="AA77" s="57" t="n">
        <v>0.001</v>
      </c>
      <c r="AB77" s="57" t="n">
        <v>0</v>
      </c>
      <c r="AC77" s="63" t="s">
        <v>308</v>
      </c>
      <c r="AD77" s="57" t="n">
        <v>0.0395</v>
      </c>
      <c r="AE77" s="57" t="n">
        <v>0.055</v>
      </c>
      <c r="AF77" s="66" t="s">
        <v>137</v>
      </c>
      <c r="AG77" s="63" t="n">
        <v>6</v>
      </c>
      <c r="AH77" s="66" t="n">
        <v>44286</v>
      </c>
      <c r="AI77" s="66" t="n">
        <v>45017</v>
      </c>
      <c r="AJ77" s="66" t="n">
        <v>46235</v>
      </c>
      <c r="AK77" s="62"/>
      <c r="AL77" s="64"/>
      <c r="AM77" s="57"/>
      <c r="AN77" s="62"/>
      <c r="AO77" s="64"/>
      <c r="AP77" s="57"/>
      <c r="AQ77" s="64" t="n">
        <v>19600000</v>
      </c>
      <c r="AR77" s="65" t="n">
        <v>0.076</v>
      </c>
      <c r="AT77" s="26" t="n">
        <f aca="false">IF($D77="",0,IF(OR(StratFilter="All Loans",$E77=StratFilter),1,0))</f>
        <v>1</v>
      </c>
      <c r="AU77" s="18" t="str">
        <f aca="false">IF($D77="","",IFERROR(VLOOKUP(TRIM($K77),PropTypeMap,2,FALSE()),"Unmapped"))</f>
        <v>Multifamily</v>
      </c>
      <c r="AV77" s="21" t="str">
        <f aca="false">IF($D77="","",IFERROR(VLOOKUP($J77,RegionMap,2,FALSE()),"Unmapped"))</f>
        <v>Mid-Atlantic</v>
      </c>
      <c r="AW77" s="21" t="str">
        <f aca="false">IF($D77="","",IF($AC77="SOFR","Floating (SOFR)","Fixed / All-In"))</f>
        <v>Floating (SOFR)</v>
      </c>
      <c r="AX77" s="24" t="n">
        <f aca="false">IF($D77="","",$AD77+SOFR)</f>
        <v>0.076</v>
      </c>
      <c r="AY77" s="21" t="str">
        <f aca="false">IF($D77="","",IF($AF77="Waived","Waived",IF(ISNUMBER($AF77),IF($AF77&gt;AsOfDate,"In Place","Expired"),"None Reported")))</f>
        <v>Waived</v>
      </c>
      <c r="AZ77" s="21" t="str">
        <f aca="false">IF($D77="","",IF(ISNUMBER($AG77),IF($AG77=0,"None",$AG77&amp;" Months"),IF($AG77="","None Reported",$AG77)))</f>
        <v>6 Months</v>
      </c>
      <c r="BA77" s="18" t="str">
        <f aca="false">IF($D77="","",IF($AK77="","Unlevered",$AK77))</f>
        <v>Unlevered</v>
      </c>
      <c r="BB77" s="22" t="n">
        <f aca="false">IF($D77="","",SUM($AL77,$AO77))</f>
        <v>0</v>
      </c>
      <c r="BC77" s="23" t="n">
        <f aca="false">IF($D77="","",IF($P77&gt;0,$BB77/$P77,0))</f>
        <v>0</v>
      </c>
      <c r="BD77" s="25" t="n">
        <f aca="false">IF($D77="","",(AsOfDate-$AH77)/DaysPerMonth)</f>
        <v>62.9815195071869</v>
      </c>
      <c r="BE77" s="25" t="n">
        <f aca="false">IF($D77="","",($AI77-AsOfDate)/DaysPerMonth)</f>
        <v>-38.9650924024641</v>
      </c>
      <c r="BF77" s="25" t="n">
        <f aca="false">IF($D77="","",($AJ77-AsOfDate)/DaysPerMonth)</f>
        <v>1.05133470225873</v>
      </c>
      <c r="BG77" s="25" t="n">
        <f aca="false">IF($D77="","",MAX(0,$BE77))</f>
        <v>0</v>
      </c>
      <c r="BH77" s="25" t="n">
        <f aca="false">IF($D77="","",MAX(0,$BF77))</f>
        <v>1.05133470225873</v>
      </c>
      <c r="BI77" s="67" t="n">
        <f aca="false">IF($D77="","",YEAR($AI77))</f>
        <v>2023</v>
      </c>
      <c r="BJ77" s="67" t="n">
        <f aca="false">IF($D77="","",YEAR($AJ77))</f>
        <v>2026</v>
      </c>
      <c r="BK77" s="67" t="n">
        <f aca="false">IF($D77="","",YEAR($AH77))</f>
        <v>2021</v>
      </c>
      <c r="BL77" s="68" t="n">
        <v>1966</v>
      </c>
      <c r="BM77" s="26" t="n">
        <f aca="false">IF($AT77=1,$P77+(1000-ROW())/1000000,0)</f>
        <v>19600000.000923</v>
      </c>
    </row>
    <row r="78" customFormat="false" ht="15" hidden="false" customHeight="false" outlineLevel="0" collapsed="false">
      <c r="B78" s="69" t="n">
        <v>74</v>
      </c>
      <c r="C78" s="70" t="n">
        <v>30291</v>
      </c>
      <c r="D78" s="71" t="s">
        <v>462</v>
      </c>
      <c r="E78" s="71" t="s">
        <v>72</v>
      </c>
      <c r="F78" s="71" t="s">
        <v>72</v>
      </c>
      <c r="G78" s="71" t="s">
        <v>87</v>
      </c>
      <c r="H78" s="71" t="s">
        <v>463</v>
      </c>
      <c r="I78" s="72" t="s">
        <v>96</v>
      </c>
      <c r="J78" s="72" t="s">
        <v>96</v>
      </c>
      <c r="K78" s="72" t="s">
        <v>306</v>
      </c>
      <c r="L78" s="69" t="n">
        <v>144</v>
      </c>
      <c r="M78" s="69"/>
      <c r="N78" s="72" t="n">
        <v>1969</v>
      </c>
      <c r="O78" s="72" t="n">
        <v>2022</v>
      </c>
      <c r="P78" s="73" t="n">
        <v>16000000</v>
      </c>
      <c r="Q78" s="73" t="n">
        <v>0</v>
      </c>
      <c r="R78" s="73" t="n">
        <v>16000000</v>
      </c>
      <c r="S78" s="73" t="n">
        <v>0</v>
      </c>
      <c r="T78" s="73" t="n">
        <v>16000000</v>
      </c>
      <c r="U78" s="73" t="n">
        <v>18000000</v>
      </c>
      <c r="V78" s="73" t="n">
        <v>18000000</v>
      </c>
      <c r="W78" s="74" t="n">
        <v>0.855555555555556</v>
      </c>
      <c r="X78" s="74" t="n">
        <v>0.888888888888889</v>
      </c>
      <c r="Y78" s="75" t="n">
        <v>0.0325</v>
      </c>
      <c r="Z78" s="75" t="n">
        <v>0.0525</v>
      </c>
      <c r="AA78" s="75" t="n">
        <v>0</v>
      </c>
      <c r="AB78" s="75" t="n">
        <v>0</v>
      </c>
      <c r="AC78" s="72" t="s">
        <v>308</v>
      </c>
      <c r="AD78" s="75" t="n">
        <v>0.0485</v>
      </c>
      <c r="AE78" s="75" t="n">
        <v>0.02</v>
      </c>
      <c r="AF78" s="76" t="n">
        <v>46935</v>
      </c>
      <c r="AG78" s="72" t="n">
        <v>6</v>
      </c>
      <c r="AH78" s="76" t="n">
        <v>45839</v>
      </c>
      <c r="AI78" s="76" t="n">
        <v>46935</v>
      </c>
      <c r="AJ78" s="76" t="n">
        <v>47665</v>
      </c>
      <c r="AK78" s="71"/>
      <c r="AL78" s="73"/>
      <c r="AM78" s="75"/>
      <c r="AN78" s="71"/>
      <c r="AO78" s="73"/>
      <c r="AP78" s="75"/>
      <c r="AQ78" s="73" t="n">
        <v>16000000</v>
      </c>
      <c r="AR78" s="74" t="n">
        <v>0.085</v>
      </c>
      <c r="AT78" s="44" t="n">
        <f aca="false">IF($D78="",0,IF(OR(StratFilter="All Loans",$E78=StratFilter),1,0))</f>
        <v>1</v>
      </c>
      <c r="AU78" s="27" t="str">
        <f aca="false">IF($D78="","",IFERROR(VLOOKUP(TRIM($K78),PropTypeMap,2,FALSE()),"Unmapped"))</f>
        <v>Multifamily</v>
      </c>
      <c r="AV78" s="30" t="str">
        <f aca="false">IF($D78="","",IFERROR(VLOOKUP($J78,RegionMap,2,FALSE()),"Unmapped"))</f>
        <v>Midwest</v>
      </c>
      <c r="AW78" s="30" t="str">
        <f aca="false">IF($D78="","",IF($AC78="SOFR","Floating (SOFR)","Fixed / All-In"))</f>
        <v>Floating (SOFR)</v>
      </c>
      <c r="AX78" s="33" t="n">
        <f aca="false">IF($D78="","",$AD78+SOFR)</f>
        <v>0.085</v>
      </c>
      <c r="AY78" s="30" t="str">
        <f aca="false">IF($D78="","",IF($AF78="Waived","Waived",IF(ISNUMBER($AF78),IF($AF78&gt;AsOfDate,"In Place","Expired"),"None Reported")))</f>
        <v>In Place</v>
      </c>
      <c r="AZ78" s="30" t="str">
        <f aca="false">IF($D78="","",IF(ISNUMBER($AG78),IF($AG78=0,"None",$AG78&amp;" Months"),IF($AG78="","None Reported",$AG78)))</f>
        <v>6 Months</v>
      </c>
      <c r="BA78" s="27" t="str">
        <f aca="false">IF($D78="","",IF($AK78="","Unlevered",$AK78))</f>
        <v>Unlevered</v>
      </c>
      <c r="BB78" s="31" t="n">
        <f aca="false">IF($D78="","",SUM($AL78,$AO78))</f>
        <v>0</v>
      </c>
      <c r="BC78" s="32" t="n">
        <f aca="false">IF($D78="","",IF($P78&gt;0,$BB78/$P78,0))</f>
        <v>0</v>
      </c>
      <c r="BD78" s="34" t="n">
        <f aca="false">IF($D78="","",(AsOfDate-$AH78)/DaysPerMonth)</f>
        <v>11.958932238193</v>
      </c>
      <c r="BE78" s="34" t="n">
        <f aca="false">IF($D78="","",($AI78-AsOfDate)/DaysPerMonth)</f>
        <v>24.0492813141684</v>
      </c>
      <c r="BF78" s="34" t="n">
        <f aca="false">IF($D78="","",($AJ78-AsOfDate)/DaysPerMonth)</f>
        <v>48.0328542094456</v>
      </c>
      <c r="BG78" s="34" t="n">
        <f aca="false">IF($D78="","",MAX(0,$BE78))</f>
        <v>24.0492813141684</v>
      </c>
      <c r="BH78" s="34" t="n">
        <f aca="false">IF($D78="","",MAX(0,$BF78))</f>
        <v>48.0328542094456</v>
      </c>
      <c r="BI78" s="77" t="n">
        <f aca="false">IF($D78="","",YEAR($AI78))</f>
        <v>2028</v>
      </c>
      <c r="BJ78" s="77" t="n">
        <f aca="false">IF($D78="","",YEAR($AJ78))</f>
        <v>2030</v>
      </c>
      <c r="BK78" s="77" t="n">
        <f aca="false">IF($D78="","",YEAR($AH78))</f>
        <v>2025</v>
      </c>
      <c r="BL78" s="78" t="n">
        <v>1969</v>
      </c>
      <c r="BM78" s="44" t="n">
        <f aca="false">IF($AT78=1,$P78+(1000-ROW())/1000000,0)</f>
        <v>16000000.000922</v>
      </c>
    </row>
    <row r="79" customFormat="false" ht="15" hidden="false" customHeight="false" outlineLevel="0" collapsed="false">
      <c r="B79" s="60" t="n">
        <v>75</v>
      </c>
      <c r="C79" s="61" t="n">
        <v>30336</v>
      </c>
      <c r="D79" s="62" t="s">
        <v>464</v>
      </c>
      <c r="E79" s="62" t="s">
        <v>72</v>
      </c>
      <c r="F79" s="62" t="s">
        <v>72</v>
      </c>
      <c r="G79" s="62" t="s">
        <v>84</v>
      </c>
      <c r="H79" s="62" t="s">
        <v>305</v>
      </c>
      <c r="I79" s="63" t="s">
        <v>93</v>
      </c>
      <c r="J79" s="63" t="s">
        <v>93</v>
      </c>
      <c r="K79" s="63" t="s">
        <v>306</v>
      </c>
      <c r="L79" s="60" t="n">
        <v>120</v>
      </c>
      <c r="M79" s="60"/>
      <c r="N79" s="63" t="n">
        <v>1964</v>
      </c>
      <c r="O79" s="63" t="s">
        <v>311</v>
      </c>
      <c r="P79" s="64" t="n">
        <v>14424008.89</v>
      </c>
      <c r="Q79" s="64" t="n">
        <v>0</v>
      </c>
      <c r="R79" s="64" t="n">
        <v>14424008.89</v>
      </c>
      <c r="S79" s="64" t="n">
        <v>0</v>
      </c>
      <c r="T79" s="64" t="n">
        <v>14416000</v>
      </c>
      <c r="U79" s="64" t="n">
        <v>23600000</v>
      </c>
      <c r="V79" s="64" t="n">
        <v>23600000</v>
      </c>
      <c r="W79" s="65" t="n">
        <v>0.610847457627119</v>
      </c>
      <c r="X79" s="65" t="n">
        <v>0.610847457627119</v>
      </c>
      <c r="Y79" s="57" t="n">
        <v>0.035</v>
      </c>
      <c r="Z79" s="57" t="n">
        <v>0.03</v>
      </c>
      <c r="AA79" s="57"/>
      <c r="AB79" s="57"/>
      <c r="AC79" s="63" t="s">
        <v>308</v>
      </c>
      <c r="AD79" s="57" t="n">
        <v>0.035</v>
      </c>
      <c r="AE79" s="57" t="n">
        <v>0.0425</v>
      </c>
      <c r="AF79" s="66" t="n">
        <v>46885</v>
      </c>
      <c r="AG79" s="63" t="n">
        <v>6</v>
      </c>
      <c r="AH79" s="66" t="n">
        <v>46155</v>
      </c>
      <c r="AI79" s="66" t="n">
        <v>47088</v>
      </c>
      <c r="AJ79" s="66" t="n">
        <v>47270</v>
      </c>
      <c r="AK79" s="62"/>
      <c r="AL79" s="64"/>
      <c r="AM79" s="57"/>
      <c r="AN79" s="62"/>
      <c r="AO79" s="64"/>
      <c r="AP79" s="57"/>
      <c r="AQ79" s="64" t="n">
        <v>14424008.89</v>
      </c>
      <c r="AR79" s="65" t="n">
        <v>0.0715</v>
      </c>
      <c r="AT79" s="26" t="n">
        <f aca="false">IF($D79="",0,IF(OR(StratFilter="All Loans",$E79=StratFilter),1,0))</f>
        <v>1</v>
      </c>
      <c r="AU79" s="18" t="str">
        <f aca="false">IF($D79="","",IFERROR(VLOOKUP(TRIM($K79),PropTypeMap,2,FALSE()),"Unmapped"))</f>
        <v>Multifamily</v>
      </c>
      <c r="AV79" s="21" t="str">
        <f aca="false">IF($D79="","",IFERROR(VLOOKUP($J79,RegionMap,2,FALSE()),"Unmapped"))</f>
        <v>Northeast</v>
      </c>
      <c r="AW79" s="21" t="str">
        <f aca="false">IF($D79="","",IF($AC79="SOFR","Floating (SOFR)","Fixed / All-In"))</f>
        <v>Floating (SOFR)</v>
      </c>
      <c r="AX79" s="24" t="n">
        <f aca="false">IF($D79="","",$AD79+SOFR)</f>
        <v>0.0715</v>
      </c>
      <c r="AY79" s="21" t="str">
        <f aca="false">IF($D79="","",IF($AF79="Waived","Waived",IF(ISNUMBER($AF79),IF($AF79&gt;AsOfDate,"In Place","Expired"),"None Reported")))</f>
        <v>In Place</v>
      </c>
      <c r="AZ79" s="21" t="str">
        <f aca="false">IF($D79="","",IF(ISNUMBER($AG79),IF($AG79=0,"None",$AG79&amp;" Months"),IF($AG79="","None Reported",$AG79)))</f>
        <v>6 Months</v>
      </c>
      <c r="BA79" s="18" t="str">
        <f aca="false">IF($D79="","",IF($AK79="","Unlevered",$AK79))</f>
        <v>Unlevered</v>
      </c>
      <c r="BB79" s="22" t="n">
        <f aca="false">IF($D79="","",SUM($AL79,$AO79))</f>
        <v>0</v>
      </c>
      <c r="BC79" s="23" t="n">
        <f aca="false">IF($D79="","",IF($P79&gt;0,$BB79/$P79,0))</f>
        <v>0</v>
      </c>
      <c r="BD79" s="25" t="n">
        <f aca="false">IF($D79="","",(AsOfDate-$AH79)/DaysPerMonth)</f>
        <v>1.57700205338809</v>
      </c>
      <c r="BE79" s="25" t="n">
        <f aca="false">IF($D79="","",($AI79-AsOfDate)/DaysPerMonth)</f>
        <v>29.0759753593429</v>
      </c>
      <c r="BF79" s="25" t="n">
        <f aca="false">IF($D79="","",($AJ79-AsOfDate)/DaysPerMonth)</f>
        <v>35.0554414784394</v>
      </c>
      <c r="BG79" s="25" t="n">
        <f aca="false">IF($D79="","",MAX(0,$BE79))</f>
        <v>29.0759753593429</v>
      </c>
      <c r="BH79" s="25" t="n">
        <f aca="false">IF($D79="","",MAX(0,$BF79))</f>
        <v>35.0554414784394</v>
      </c>
      <c r="BI79" s="67" t="n">
        <f aca="false">IF($D79="","",YEAR($AI79))</f>
        <v>2028</v>
      </c>
      <c r="BJ79" s="67" t="n">
        <f aca="false">IF($D79="","",YEAR($AJ79))</f>
        <v>2029</v>
      </c>
      <c r="BK79" s="67" t="n">
        <f aca="false">IF($D79="","",YEAR($AH79))</f>
        <v>2026</v>
      </c>
      <c r="BL79" s="68" t="n">
        <v>1964</v>
      </c>
      <c r="BM79" s="26" t="n">
        <f aca="false">IF($AT79=1,$P79+(1000-ROW())/1000000,0)</f>
        <v>14424008.890921</v>
      </c>
    </row>
    <row r="80" customFormat="false" ht="15" hidden="false" customHeight="false" outlineLevel="0" collapsed="false">
      <c r="B80" s="69" t="n">
        <v>76</v>
      </c>
      <c r="C80" s="70" t="n">
        <v>3962</v>
      </c>
      <c r="D80" s="71" t="s">
        <v>465</v>
      </c>
      <c r="E80" s="71" t="s">
        <v>72</v>
      </c>
      <c r="F80" s="71" t="s">
        <v>72</v>
      </c>
      <c r="G80" s="71" t="s">
        <v>88</v>
      </c>
      <c r="H80" s="71" t="s">
        <v>466</v>
      </c>
      <c r="I80" s="72" t="s">
        <v>467</v>
      </c>
      <c r="J80" s="72" t="s">
        <v>467</v>
      </c>
      <c r="K80" s="72" t="s">
        <v>306</v>
      </c>
      <c r="L80" s="69" t="n">
        <v>204</v>
      </c>
      <c r="M80" s="69"/>
      <c r="N80" s="72" t="n">
        <v>1965</v>
      </c>
      <c r="O80" s="72" t="n">
        <v>1997</v>
      </c>
      <c r="P80" s="73" t="n">
        <v>11000000</v>
      </c>
      <c r="Q80" s="73" t="n">
        <v>0</v>
      </c>
      <c r="R80" s="73" t="n">
        <v>11000000</v>
      </c>
      <c r="S80" s="73" t="n">
        <v>0</v>
      </c>
      <c r="T80" s="73" t="n">
        <v>11000000</v>
      </c>
      <c r="U80" s="73" t="n">
        <v>12000000</v>
      </c>
      <c r="V80" s="73" t="n">
        <v>17800000</v>
      </c>
      <c r="W80" s="74" t="n">
        <v>0.807083333333333</v>
      </c>
      <c r="X80" s="74" t="n">
        <v>0.617977528089888</v>
      </c>
      <c r="Y80" s="75" t="n">
        <v>0.0335</v>
      </c>
      <c r="Z80" s="75" t="n">
        <v>0.0015</v>
      </c>
      <c r="AA80" s="75" t="n">
        <v>0.001</v>
      </c>
      <c r="AB80" s="75" t="n">
        <v>0</v>
      </c>
      <c r="AC80" s="72" t="s">
        <v>308</v>
      </c>
      <c r="AD80" s="75" t="n">
        <v>0.0345</v>
      </c>
      <c r="AE80" s="75"/>
      <c r="AF80" s="76"/>
      <c r="AG80" s="72" t="n">
        <v>6</v>
      </c>
      <c r="AH80" s="76" t="n">
        <v>44481</v>
      </c>
      <c r="AI80" s="76" t="n">
        <v>45231</v>
      </c>
      <c r="AJ80" s="76" t="n">
        <v>46235</v>
      </c>
      <c r="AK80" s="71"/>
      <c r="AL80" s="73"/>
      <c r="AM80" s="75"/>
      <c r="AN80" s="71"/>
      <c r="AO80" s="73"/>
      <c r="AP80" s="75"/>
      <c r="AQ80" s="73" t="n">
        <v>11000000</v>
      </c>
      <c r="AR80" s="74" t="n">
        <v>0.071</v>
      </c>
      <c r="AT80" s="44" t="n">
        <f aca="false">IF($D80="",0,IF(OR(StratFilter="All Loans",$E80=StratFilter),1,0))</f>
        <v>1</v>
      </c>
      <c r="AU80" s="27" t="str">
        <f aca="false">IF($D80="","",IFERROR(VLOOKUP(TRIM($K80),PropTypeMap,2,FALSE()),"Unmapped"))</f>
        <v>Multifamily</v>
      </c>
      <c r="AV80" s="30" t="str">
        <f aca="false">IF($D80="","",IFERROR(VLOOKUP($J80,RegionMap,2,FALSE()),"Unmapped"))</f>
        <v>Southeast</v>
      </c>
      <c r="AW80" s="30" t="str">
        <f aca="false">IF($D80="","",IF($AC80="SOFR","Floating (SOFR)","Fixed / All-In"))</f>
        <v>Floating (SOFR)</v>
      </c>
      <c r="AX80" s="33" t="n">
        <f aca="false">IF($D80="","",$AD80+SOFR)</f>
        <v>0.071</v>
      </c>
      <c r="AY80" s="30" t="str">
        <f aca="false">IF($D80="","",IF($AF80="Waived","Waived",IF(ISNUMBER($AF80),IF($AF80&gt;AsOfDate,"In Place","Expired"),"None Reported")))</f>
        <v>None Reported</v>
      </c>
      <c r="AZ80" s="30" t="str">
        <f aca="false">IF($D80="","",IF(ISNUMBER($AG80),IF($AG80=0,"None",$AG80&amp;" Months"),IF($AG80="","None Reported",$AG80)))</f>
        <v>6 Months</v>
      </c>
      <c r="BA80" s="27" t="str">
        <f aca="false">IF($D80="","",IF($AK80="","Unlevered",$AK80))</f>
        <v>Unlevered</v>
      </c>
      <c r="BB80" s="31" t="n">
        <f aca="false">IF($D80="","",SUM($AL80,$AO80))</f>
        <v>0</v>
      </c>
      <c r="BC80" s="32" t="n">
        <f aca="false">IF($D80="","",IF($P80&gt;0,$BB80/$P80,0))</f>
        <v>0</v>
      </c>
      <c r="BD80" s="34" t="n">
        <f aca="false">IF($D80="","",(AsOfDate-$AH80)/DaysPerMonth)</f>
        <v>56.5749486652977</v>
      </c>
      <c r="BE80" s="34" t="n">
        <f aca="false">IF($D80="","",($AI80-AsOfDate)/DaysPerMonth)</f>
        <v>-31.9342915811088</v>
      </c>
      <c r="BF80" s="34" t="n">
        <f aca="false">IF($D80="","",($AJ80-AsOfDate)/DaysPerMonth)</f>
        <v>1.05133470225873</v>
      </c>
      <c r="BG80" s="34" t="n">
        <f aca="false">IF($D80="","",MAX(0,$BE80))</f>
        <v>0</v>
      </c>
      <c r="BH80" s="34" t="n">
        <f aca="false">IF($D80="","",MAX(0,$BF80))</f>
        <v>1.05133470225873</v>
      </c>
      <c r="BI80" s="77" t="n">
        <f aca="false">IF($D80="","",YEAR($AI80))</f>
        <v>2023</v>
      </c>
      <c r="BJ80" s="77" t="n">
        <f aca="false">IF($D80="","",YEAR($AJ80))</f>
        <v>2026</v>
      </c>
      <c r="BK80" s="77" t="n">
        <f aca="false">IF($D80="","",YEAR($AH80))</f>
        <v>2021</v>
      </c>
      <c r="BL80" s="78" t="n">
        <v>1965</v>
      </c>
      <c r="BM80" s="44" t="n">
        <f aca="false">IF($AT80=1,$P80+(1000-ROW())/1000000,0)</f>
        <v>11000000.00092</v>
      </c>
    </row>
    <row r="81" customFormat="false" ht="15" hidden="false" customHeight="false" outlineLevel="0" collapsed="false">
      <c r="B81" s="60" t="n">
        <v>77</v>
      </c>
      <c r="C81" s="61" t="n">
        <v>30148</v>
      </c>
      <c r="D81" s="62" t="s">
        <v>468</v>
      </c>
      <c r="E81" s="62" t="s">
        <v>72</v>
      </c>
      <c r="F81" s="62" t="s">
        <v>72</v>
      </c>
      <c r="G81" s="62" t="s">
        <v>90</v>
      </c>
      <c r="H81" s="62" t="s">
        <v>469</v>
      </c>
      <c r="I81" s="63" t="s">
        <v>103</v>
      </c>
      <c r="J81" s="63" t="s">
        <v>103</v>
      </c>
      <c r="K81" s="63" t="s">
        <v>306</v>
      </c>
      <c r="L81" s="60" t="n">
        <v>160</v>
      </c>
      <c r="M81" s="60"/>
      <c r="N81" s="63" t="n">
        <v>1975</v>
      </c>
      <c r="O81" s="63" t="s">
        <v>311</v>
      </c>
      <c r="P81" s="64" t="n">
        <v>10613186.85</v>
      </c>
      <c r="Q81" s="64" t="n">
        <v>-2160686.85</v>
      </c>
      <c r="R81" s="64" t="n">
        <v>8452500</v>
      </c>
      <c r="S81" s="64" t="n">
        <v>0</v>
      </c>
      <c r="T81" s="64" t="n">
        <v>11600000</v>
      </c>
      <c r="U81" s="64" t="n">
        <v>15700000</v>
      </c>
      <c r="V81" s="64" t="n">
        <v>19600000</v>
      </c>
      <c r="W81" s="65" t="n">
        <v>0.652815286624204</v>
      </c>
      <c r="X81" s="65" t="n">
        <v>0.591836734693878</v>
      </c>
      <c r="Y81" s="57" t="n">
        <v>0.037</v>
      </c>
      <c r="Z81" s="57" t="n">
        <v>0.0015</v>
      </c>
      <c r="AA81" s="57" t="n">
        <v>0.001</v>
      </c>
      <c r="AB81" s="57" t="n">
        <v>0</v>
      </c>
      <c r="AC81" s="63" t="s">
        <v>308</v>
      </c>
      <c r="AD81" s="57" t="n">
        <v>0.038</v>
      </c>
      <c r="AE81" s="57"/>
      <c r="AF81" s="66"/>
      <c r="AG81" s="63" t="n">
        <v>6</v>
      </c>
      <c r="AH81" s="66" t="n">
        <v>44664</v>
      </c>
      <c r="AI81" s="66" t="n">
        <v>45413</v>
      </c>
      <c r="AJ81" s="66" t="n">
        <v>45778</v>
      </c>
      <c r="AK81" s="62"/>
      <c r="AL81" s="64"/>
      <c r="AM81" s="57"/>
      <c r="AN81" s="62"/>
      <c r="AO81" s="64"/>
      <c r="AP81" s="57"/>
      <c r="AQ81" s="64" t="n">
        <v>10613186.85</v>
      </c>
      <c r="AR81" s="65" t="n">
        <v>0.0745</v>
      </c>
      <c r="AT81" s="26" t="n">
        <f aca="false">IF($D81="",0,IF(OR(StratFilter="All Loans",$E81=StratFilter),1,0))</f>
        <v>1</v>
      </c>
      <c r="AU81" s="18" t="str">
        <f aca="false">IF($D81="","",IFERROR(VLOOKUP(TRIM($K81),PropTypeMap,2,FALSE()),"Unmapped"))</f>
        <v>Multifamily</v>
      </c>
      <c r="AV81" s="21" t="str">
        <f aca="false">IF($D81="","",IFERROR(VLOOKUP($J81,RegionMap,2,FALSE()),"Unmapped"))</f>
        <v>Southeast</v>
      </c>
      <c r="AW81" s="21" t="str">
        <f aca="false">IF($D81="","",IF($AC81="SOFR","Floating (SOFR)","Fixed / All-In"))</f>
        <v>Floating (SOFR)</v>
      </c>
      <c r="AX81" s="24" t="n">
        <f aca="false">IF($D81="","",$AD81+SOFR)</f>
        <v>0.0745</v>
      </c>
      <c r="AY81" s="21" t="str">
        <f aca="false">IF($D81="","",IF($AF81="Waived","Waived",IF(ISNUMBER($AF81),IF($AF81&gt;AsOfDate,"In Place","Expired"),"None Reported")))</f>
        <v>None Reported</v>
      </c>
      <c r="AZ81" s="21" t="str">
        <f aca="false">IF($D81="","",IF(ISNUMBER($AG81),IF($AG81=0,"None",$AG81&amp;" Months"),IF($AG81="","None Reported",$AG81)))</f>
        <v>6 Months</v>
      </c>
      <c r="BA81" s="18" t="str">
        <f aca="false">IF($D81="","",IF($AK81="","Unlevered",$AK81))</f>
        <v>Unlevered</v>
      </c>
      <c r="BB81" s="22" t="n">
        <f aca="false">IF($D81="","",SUM($AL81,$AO81))</f>
        <v>0</v>
      </c>
      <c r="BC81" s="23" t="n">
        <f aca="false">IF($D81="","",IF($P81&gt;0,$BB81/$P81,0))</f>
        <v>0</v>
      </c>
      <c r="BD81" s="25" t="n">
        <f aca="false">IF($D81="","",(AsOfDate-$AH81)/DaysPerMonth)</f>
        <v>50.5626283367556</v>
      </c>
      <c r="BE81" s="25" t="n">
        <f aca="false">IF($D81="","",($AI81-AsOfDate)/DaysPerMonth)</f>
        <v>-25.9548254620123</v>
      </c>
      <c r="BF81" s="25" t="n">
        <f aca="false">IF($D81="","",($AJ81-AsOfDate)/DaysPerMonth)</f>
        <v>-13.9630390143737</v>
      </c>
      <c r="BG81" s="25" t="n">
        <f aca="false">IF($D81="","",MAX(0,$BE81))</f>
        <v>0</v>
      </c>
      <c r="BH81" s="25" t="n">
        <f aca="false">IF($D81="","",MAX(0,$BF81))</f>
        <v>0</v>
      </c>
      <c r="BI81" s="67" t="n">
        <f aca="false">IF($D81="","",YEAR($AI81))</f>
        <v>2024</v>
      </c>
      <c r="BJ81" s="67" t="n">
        <f aca="false">IF($D81="","",YEAR($AJ81))</f>
        <v>2025</v>
      </c>
      <c r="BK81" s="67" t="n">
        <f aca="false">IF($D81="","",YEAR($AH81))</f>
        <v>2022</v>
      </c>
      <c r="BL81" s="68" t="n">
        <v>1975</v>
      </c>
      <c r="BM81" s="26" t="n">
        <f aca="false">IF($AT81=1,$P81+(1000-ROW())/1000000,0)</f>
        <v>10613186.850919</v>
      </c>
    </row>
    <row r="82" customFormat="false" ht="15" hidden="false" customHeight="false" outlineLevel="0" collapsed="false">
      <c r="B82" s="69" t="n">
        <v>78</v>
      </c>
      <c r="C82" s="70" t="n">
        <v>30088</v>
      </c>
      <c r="D82" s="71" t="s">
        <v>470</v>
      </c>
      <c r="E82" s="71" t="s">
        <v>72</v>
      </c>
      <c r="F82" s="71" t="s">
        <v>72</v>
      </c>
      <c r="G82" s="71" t="s">
        <v>86</v>
      </c>
      <c r="H82" s="71" t="s">
        <v>471</v>
      </c>
      <c r="I82" s="72" t="s">
        <v>100</v>
      </c>
      <c r="J82" s="72" t="s">
        <v>100</v>
      </c>
      <c r="K82" s="72" t="s">
        <v>306</v>
      </c>
      <c r="L82" s="69" t="n">
        <v>104</v>
      </c>
      <c r="M82" s="69"/>
      <c r="N82" s="72" t="n">
        <v>1972</v>
      </c>
      <c r="O82" s="72" t="s">
        <v>311</v>
      </c>
      <c r="P82" s="73" t="n">
        <v>10000000</v>
      </c>
      <c r="Q82" s="73" t="n">
        <v>0</v>
      </c>
      <c r="R82" s="73" t="n">
        <v>10000000</v>
      </c>
      <c r="S82" s="73" t="n">
        <v>0</v>
      </c>
      <c r="T82" s="73" t="n">
        <v>10000000</v>
      </c>
      <c r="U82" s="73" t="n">
        <v>14000000</v>
      </c>
      <c r="V82" s="73" t="n">
        <v>14200000</v>
      </c>
      <c r="W82" s="74" t="n">
        <v>0.694</v>
      </c>
      <c r="X82" s="74" t="n">
        <v>0.704225352112676</v>
      </c>
      <c r="Y82" s="75" t="n">
        <v>0.0315</v>
      </c>
      <c r="Z82" s="75" t="n">
        <v>0.001</v>
      </c>
      <c r="AA82" s="75" t="n">
        <v>0.001</v>
      </c>
      <c r="AB82" s="75" t="n">
        <v>0</v>
      </c>
      <c r="AC82" s="72" t="s">
        <v>308</v>
      </c>
      <c r="AD82" s="75" t="n">
        <v>0.0325</v>
      </c>
      <c r="AE82" s="75"/>
      <c r="AF82" s="76"/>
      <c r="AG82" s="72" t="n">
        <v>6</v>
      </c>
      <c r="AH82" s="76" t="n">
        <v>44459</v>
      </c>
      <c r="AI82" s="76" t="n">
        <v>45566</v>
      </c>
      <c r="AJ82" s="76" t="n">
        <v>46204</v>
      </c>
      <c r="AK82" s="71"/>
      <c r="AL82" s="73"/>
      <c r="AM82" s="75"/>
      <c r="AN82" s="71"/>
      <c r="AO82" s="73"/>
      <c r="AP82" s="75"/>
      <c r="AQ82" s="73" t="n">
        <v>10000000</v>
      </c>
      <c r="AR82" s="74" t="n">
        <v>0.069</v>
      </c>
      <c r="AT82" s="44" t="n">
        <f aca="false">IF($D82="",0,IF(OR(StratFilter="All Loans",$E82=StratFilter),1,0))</f>
        <v>1</v>
      </c>
      <c r="AU82" s="27" t="str">
        <f aca="false">IF($D82="","",IFERROR(VLOOKUP(TRIM($K82),PropTypeMap,2,FALSE()),"Unmapped"))</f>
        <v>Multifamily</v>
      </c>
      <c r="AV82" s="30" t="str">
        <f aca="false">IF($D82="","",IFERROR(VLOOKUP($J82,RegionMap,2,FALSE()),"Unmapped"))</f>
        <v>Northeast</v>
      </c>
      <c r="AW82" s="30" t="str">
        <f aca="false">IF($D82="","",IF($AC82="SOFR","Floating (SOFR)","Fixed / All-In"))</f>
        <v>Floating (SOFR)</v>
      </c>
      <c r="AX82" s="33" t="n">
        <f aca="false">IF($D82="","",$AD82+SOFR)</f>
        <v>0.069</v>
      </c>
      <c r="AY82" s="30" t="str">
        <f aca="false">IF($D82="","",IF($AF82="Waived","Waived",IF(ISNUMBER($AF82),IF($AF82&gt;AsOfDate,"In Place","Expired"),"None Reported")))</f>
        <v>None Reported</v>
      </c>
      <c r="AZ82" s="30" t="str">
        <f aca="false">IF($D82="","",IF(ISNUMBER($AG82),IF($AG82=0,"None",$AG82&amp;" Months"),IF($AG82="","None Reported",$AG82)))</f>
        <v>6 Months</v>
      </c>
      <c r="BA82" s="27" t="str">
        <f aca="false">IF($D82="","",IF($AK82="","Unlevered",$AK82))</f>
        <v>Unlevered</v>
      </c>
      <c r="BB82" s="31" t="n">
        <f aca="false">IF($D82="","",SUM($AL82,$AO82))</f>
        <v>0</v>
      </c>
      <c r="BC82" s="32" t="n">
        <f aca="false">IF($D82="","",IF($P82&gt;0,$BB82/$P82,0))</f>
        <v>0</v>
      </c>
      <c r="BD82" s="34" t="n">
        <f aca="false">IF($D82="","",(AsOfDate-$AH82)/DaysPerMonth)</f>
        <v>57.2977412731006</v>
      </c>
      <c r="BE82" s="34" t="n">
        <f aca="false">IF($D82="","",($AI82-AsOfDate)/DaysPerMonth)</f>
        <v>-20.9281314168378</v>
      </c>
      <c r="BF82" s="34" t="n">
        <f aca="false">IF($D82="","",($AJ82-AsOfDate)/DaysPerMonth)</f>
        <v>0.0328542094455852</v>
      </c>
      <c r="BG82" s="34" t="n">
        <f aca="false">IF($D82="","",MAX(0,$BE82))</f>
        <v>0</v>
      </c>
      <c r="BH82" s="34" t="n">
        <f aca="false">IF($D82="","",MAX(0,$BF82))</f>
        <v>0.0328542094455852</v>
      </c>
      <c r="BI82" s="77" t="n">
        <f aca="false">IF($D82="","",YEAR($AI82))</f>
        <v>2024</v>
      </c>
      <c r="BJ82" s="77" t="n">
        <f aca="false">IF($D82="","",YEAR($AJ82))</f>
        <v>2026</v>
      </c>
      <c r="BK82" s="77" t="n">
        <f aca="false">IF($D82="","",YEAR($AH82))</f>
        <v>2021</v>
      </c>
      <c r="BL82" s="78" t="n">
        <v>1972</v>
      </c>
      <c r="BM82" s="44" t="n">
        <f aca="false">IF($AT82=1,$P82+(1000-ROW())/1000000,0)</f>
        <v>10000000.000918</v>
      </c>
    </row>
    <row r="83" customFormat="false" ht="15" hidden="false" customHeight="false" outlineLevel="0" collapsed="false">
      <c r="B83" s="60" t="n">
        <v>79</v>
      </c>
      <c r="C83" s="61" t="n">
        <v>30296</v>
      </c>
      <c r="D83" s="62" t="s">
        <v>472</v>
      </c>
      <c r="E83" s="62" t="s">
        <v>72</v>
      </c>
      <c r="F83" s="62" t="s">
        <v>72</v>
      </c>
      <c r="G83" s="62" t="s">
        <v>87</v>
      </c>
      <c r="H83" s="62" t="s">
        <v>473</v>
      </c>
      <c r="I83" s="63" t="s">
        <v>96</v>
      </c>
      <c r="J83" s="63" t="s">
        <v>96</v>
      </c>
      <c r="K83" s="63" t="s">
        <v>306</v>
      </c>
      <c r="L83" s="60" t="n">
        <v>72</v>
      </c>
      <c r="M83" s="60"/>
      <c r="N83" s="63" t="n">
        <v>1987</v>
      </c>
      <c r="O83" s="63" t="n">
        <v>2021</v>
      </c>
      <c r="P83" s="64" t="n">
        <v>9810000</v>
      </c>
      <c r="Q83" s="64" t="n">
        <v>0</v>
      </c>
      <c r="R83" s="64" t="n">
        <v>9810000</v>
      </c>
      <c r="S83" s="64" t="n">
        <v>0</v>
      </c>
      <c r="T83" s="64" t="n">
        <v>9810000</v>
      </c>
      <c r="U83" s="64" t="n">
        <v>10400000</v>
      </c>
      <c r="V83" s="64" t="n">
        <v>11500000</v>
      </c>
      <c r="W83" s="65" t="n">
        <v>0.943269230769231</v>
      </c>
      <c r="X83" s="65" t="n">
        <v>0.85304347826087</v>
      </c>
      <c r="Y83" s="57" t="n">
        <v>0.0325</v>
      </c>
      <c r="Z83" s="57" t="n">
        <v>0.02</v>
      </c>
      <c r="AA83" s="57" t="n">
        <v>0</v>
      </c>
      <c r="AB83" s="57" t="n">
        <v>0</v>
      </c>
      <c r="AC83" s="63" t="s">
        <v>308</v>
      </c>
      <c r="AD83" s="57" t="n">
        <v>0.0325</v>
      </c>
      <c r="AE83" s="57" t="n">
        <v>0.02</v>
      </c>
      <c r="AF83" s="66" t="n">
        <v>46966</v>
      </c>
      <c r="AG83" s="63" t="n">
        <v>6</v>
      </c>
      <c r="AH83" s="66" t="n">
        <v>45870</v>
      </c>
      <c r="AI83" s="66" t="n">
        <v>46966</v>
      </c>
      <c r="AJ83" s="66" t="n">
        <v>47696</v>
      </c>
      <c r="AK83" s="62"/>
      <c r="AL83" s="64"/>
      <c r="AM83" s="57"/>
      <c r="AN83" s="62"/>
      <c r="AO83" s="64"/>
      <c r="AP83" s="57"/>
      <c r="AQ83" s="64" t="n">
        <v>9810000</v>
      </c>
      <c r="AR83" s="65" t="n">
        <v>0.069</v>
      </c>
      <c r="AT83" s="26" t="n">
        <f aca="false">IF($D83="",0,IF(OR(StratFilter="All Loans",$E83=StratFilter),1,0))</f>
        <v>1</v>
      </c>
      <c r="AU83" s="18" t="str">
        <f aca="false">IF($D83="","",IFERROR(VLOOKUP(TRIM($K83),PropTypeMap,2,FALSE()),"Unmapped"))</f>
        <v>Multifamily</v>
      </c>
      <c r="AV83" s="21" t="str">
        <f aca="false">IF($D83="","",IFERROR(VLOOKUP($J83,RegionMap,2,FALSE()),"Unmapped"))</f>
        <v>Midwest</v>
      </c>
      <c r="AW83" s="21" t="str">
        <f aca="false">IF($D83="","",IF($AC83="SOFR","Floating (SOFR)","Fixed / All-In"))</f>
        <v>Floating (SOFR)</v>
      </c>
      <c r="AX83" s="24" t="n">
        <f aca="false">IF($D83="","",$AD83+SOFR)</f>
        <v>0.069</v>
      </c>
      <c r="AY83" s="21" t="str">
        <f aca="false">IF($D83="","",IF($AF83="Waived","Waived",IF(ISNUMBER($AF83),IF($AF83&gt;AsOfDate,"In Place","Expired"),"None Reported")))</f>
        <v>In Place</v>
      </c>
      <c r="AZ83" s="21" t="str">
        <f aca="false">IF($D83="","",IF(ISNUMBER($AG83),IF($AG83=0,"None",$AG83&amp;" Months"),IF($AG83="","None Reported",$AG83)))</f>
        <v>6 Months</v>
      </c>
      <c r="BA83" s="18" t="str">
        <f aca="false">IF($D83="","",IF($AK83="","Unlevered",$AK83))</f>
        <v>Unlevered</v>
      </c>
      <c r="BB83" s="22" t="n">
        <f aca="false">IF($D83="","",SUM($AL83,$AO83))</f>
        <v>0</v>
      </c>
      <c r="BC83" s="23" t="n">
        <f aca="false">IF($D83="","",IF($P83&gt;0,$BB83/$P83,0))</f>
        <v>0</v>
      </c>
      <c r="BD83" s="25" t="n">
        <f aca="false">IF($D83="","",(AsOfDate-$AH83)/DaysPerMonth)</f>
        <v>10.9404517453799</v>
      </c>
      <c r="BE83" s="25" t="n">
        <f aca="false">IF($D83="","",($AI83-AsOfDate)/DaysPerMonth)</f>
        <v>25.0677618069815</v>
      </c>
      <c r="BF83" s="25" t="n">
        <f aca="false">IF($D83="","",($AJ83-AsOfDate)/DaysPerMonth)</f>
        <v>49.0513347022587</v>
      </c>
      <c r="BG83" s="25" t="n">
        <f aca="false">IF($D83="","",MAX(0,$BE83))</f>
        <v>25.0677618069815</v>
      </c>
      <c r="BH83" s="25" t="n">
        <f aca="false">IF($D83="","",MAX(0,$BF83))</f>
        <v>49.0513347022587</v>
      </c>
      <c r="BI83" s="67" t="n">
        <f aca="false">IF($D83="","",YEAR($AI83))</f>
        <v>2028</v>
      </c>
      <c r="BJ83" s="67" t="n">
        <f aca="false">IF($D83="","",YEAR($AJ83))</f>
        <v>2030</v>
      </c>
      <c r="BK83" s="67" t="n">
        <f aca="false">IF($D83="","",YEAR($AH83))</f>
        <v>2025</v>
      </c>
      <c r="BL83" s="68" t="n">
        <v>1987</v>
      </c>
      <c r="BM83" s="26" t="n">
        <f aca="false">IF($AT83=1,$P83+(1000-ROW())/1000000,0)</f>
        <v>9810000.000917</v>
      </c>
    </row>
    <row r="84" customFormat="false" ht="15" hidden="false" customHeight="false" outlineLevel="0" collapsed="false">
      <c r="B84" s="69" t="n">
        <v>80</v>
      </c>
      <c r="C84" s="70" t="n">
        <v>30236</v>
      </c>
      <c r="D84" s="71" t="s">
        <v>474</v>
      </c>
      <c r="E84" s="71" t="s">
        <v>72</v>
      </c>
      <c r="F84" s="71" t="s">
        <v>72</v>
      </c>
      <c r="G84" s="71" t="s">
        <v>85</v>
      </c>
      <c r="H84" s="71" t="s">
        <v>396</v>
      </c>
      <c r="I84" s="72" t="s">
        <v>93</v>
      </c>
      <c r="J84" s="72" t="s">
        <v>93</v>
      </c>
      <c r="K84" s="72" t="s">
        <v>306</v>
      </c>
      <c r="L84" s="69" t="n">
        <v>36</v>
      </c>
      <c r="M84" s="69"/>
      <c r="N84" s="72" t="n">
        <v>1901</v>
      </c>
      <c r="O84" s="72" t="s">
        <v>475</v>
      </c>
      <c r="P84" s="73" t="n">
        <v>9500000</v>
      </c>
      <c r="Q84" s="73" t="n">
        <v>0</v>
      </c>
      <c r="R84" s="73" t="n">
        <v>9500000</v>
      </c>
      <c r="S84" s="73" t="n">
        <v>0</v>
      </c>
      <c r="T84" s="73" t="n">
        <v>9500000</v>
      </c>
      <c r="U84" s="73" t="n">
        <v>11350000</v>
      </c>
      <c r="V84" s="73" t="n">
        <v>18800000</v>
      </c>
      <c r="W84" s="74" t="n">
        <v>0.677260792951542</v>
      </c>
      <c r="X84" s="74" t="n">
        <v>0.50531914893617</v>
      </c>
      <c r="Y84" s="75" t="n">
        <v>0.039</v>
      </c>
      <c r="Z84" s="75" t="n">
        <v>0.04</v>
      </c>
      <c r="AA84" s="75" t="n">
        <v>0</v>
      </c>
      <c r="AB84" s="75" t="n">
        <v>0.0025</v>
      </c>
      <c r="AC84" s="72" t="s">
        <v>308</v>
      </c>
      <c r="AD84" s="75" t="n">
        <v>0.045</v>
      </c>
      <c r="AE84" s="75" t="n">
        <v>0.0535</v>
      </c>
      <c r="AF84" s="76" t="n">
        <v>46447</v>
      </c>
      <c r="AG84" s="72" t="n">
        <v>6</v>
      </c>
      <c r="AH84" s="76" t="n">
        <v>45336</v>
      </c>
      <c r="AI84" s="76" t="n">
        <v>46447</v>
      </c>
      <c r="AJ84" s="76" t="n">
        <v>46813</v>
      </c>
      <c r="AK84" s="71"/>
      <c r="AL84" s="73"/>
      <c r="AM84" s="75"/>
      <c r="AN84" s="71"/>
      <c r="AO84" s="73"/>
      <c r="AP84" s="75"/>
      <c r="AQ84" s="73" t="n">
        <v>9500000</v>
      </c>
      <c r="AR84" s="74" t="n">
        <v>0.0815</v>
      </c>
      <c r="AT84" s="44" t="n">
        <f aca="false">IF($D84="",0,IF(OR(StratFilter="All Loans",$E84=StratFilter),1,0))</f>
        <v>1</v>
      </c>
      <c r="AU84" s="27" t="str">
        <f aca="false">IF($D84="","",IFERROR(VLOOKUP(TRIM($K84),PropTypeMap,2,FALSE()),"Unmapped"))</f>
        <v>Multifamily</v>
      </c>
      <c r="AV84" s="30" t="str">
        <f aca="false">IF($D84="","",IFERROR(VLOOKUP($J84,RegionMap,2,FALSE()),"Unmapped"))</f>
        <v>Northeast</v>
      </c>
      <c r="AW84" s="30" t="str">
        <f aca="false">IF($D84="","",IF($AC84="SOFR","Floating (SOFR)","Fixed / All-In"))</f>
        <v>Floating (SOFR)</v>
      </c>
      <c r="AX84" s="33" t="n">
        <f aca="false">IF($D84="","",$AD84+SOFR)</f>
        <v>0.0815</v>
      </c>
      <c r="AY84" s="30" t="str">
        <f aca="false">IF($D84="","",IF($AF84="Waived","Waived",IF(ISNUMBER($AF84),IF($AF84&gt;AsOfDate,"In Place","Expired"),"None Reported")))</f>
        <v>In Place</v>
      </c>
      <c r="AZ84" s="30" t="str">
        <f aca="false">IF($D84="","",IF(ISNUMBER($AG84),IF($AG84=0,"None",$AG84&amp;" Months"),IF($AG84="","None Reported",$AG84)))</f>
        <v>6 Months</v>
      </c>
      <c r="BA84" s="27" t="str">
        <f aca="false">IF($D84="","",IF($AK84="","Unlevered",$AK84))</f>
        <v>Unlevered</v>
      </c>
      <c r="BB84" s="31" t="n">
        <f aca="false">IF($D84="","",SUM($AL84,$AO84))</f>
        <v>0</v>
      </c>
      <c r="BC84" s="32" t="n">
        <f aca="false">IF($D84="","",IF($P84&gt;0,$BB84/$P84,0))</f>
        <v>0</v>
      </c>
      <c r="BD84" s="34" t="n">
        <f aca="false">IF($D84="","",(AsOfDate-$AH84)/DaysPerMonth)</f>
        <v>28.4845995893224</v>
      </c>
      <c r="BE84" s="34" t="n">
        <f aca="false">IF($D84="","",($AI84-AsOfDate)/DaysPerMonth)</f>
        <v>8.01642710472279</v>
      </c>
      <c r="BF84" s="34" t="n">
        <f aca="false">IF($D84="","",($AJ84-AsOfDate)/DaysPerMonth)</f>
        <v>20.041067761807</v>
      </c>
      <c r="BG84" s="34" t="n">
        <f aca="false">IF($D84="","",MAX(0,$BE84))</f>
        <v>8.01642710472279</v>
      </c>
      <c r="BH84" s="34" t="n">
        <f aca="false">IF($D84="","",MAX(0,$BF84))</f>
        <v>20.041067761807</v>
      </c>
      <c r="BI84" s="77" t="n">
        <f aca="false">IF($D84="","",YEAR($AI84))</f>
        <v>2027</v>
      </c>
      <c r="BJ84" s="77" t="n">
        <f aca="false">IF($D84="","",YEAR($AJ84))</f>
        <v>2028</v>
      </c>
      <c r="BK84" s="77" t="n">
        <f aca="false">IF($D84="","",YEAR($AH84))</f>
        <v>2024</v>
      </c>
      <c r="BL84" s="78" t="n">
        <v>1901</v>
      </c>
      <c r="BM84" s="44" t="n">
        <f aca="false">IF($AT84=1,$P84+(1000-ROW())/1000000,0)</f>
        <v>9500000.000916</v>
      </c>
    </row>
    <row r="85" customFormat="false" ht="15" hidden="false" customHeight="false" outlineLevel="0" collapsed="false">
      <c r="B85" s="60" t="n">
        <v>81</v>
      </c>
      <c r="C85" s="61" t="n">
        <v>30282</v>
      </c>
      <c r="D85" s="62" t="s">
        <v>476</v>
      </c>
      <c r="E85" s="62" t="s">
        <v>73</v>
      </c>
      <c r="F85" s="62" t="s">
        <v>73</v>
      </c>
      <c r="G85" s="62" t="s">
        <v>88</v>
      </c>
      <c r="H85" s="62" t="s">
        <v>477</v>
      </c>
      <c r="I85" s="63" t="s">
        <v>93</v>
      </c>
      <c r="J85" s="63" t="s">
        <v>93</v>
      </c>
      <c r="K85" s="63" t="s">
        <v>478</v>
      </c>
      <c r="L85" s="60"/>
      <c r="M85" s="60" t="n">
        <v>295</v>
      </c>
      <c r="N85" s="63" t="n">
        <v>1970</v>
      </c>
      <c r="O85" s="63" t="s">
        <v>311</v>
      </c>
      <c r="P85" s="64" t="n">
        <v>34000000</v>
      </c>
      <c r="Q85" s="64" t="n">
        <v>0</v>
      </c>
      <c r="R85" s="64" t="n">
        <v>34000000</v>
      </c>
      <c r="S85" s="64" t="n">
        <v>6000000</v>
      </c>
      <c r="T85" s="64" t="n">
        <v>40000000</v>
      </c>
      <c r="U85" s="64" t="n">
        <v>45200000</v>
      </c>
      <c r="V85" s="64" t="n">
        <v>57900000</v>
      </c>
      <c r="W85" s="65" t="n">
        <v>0.460176991150443</v>
      </c>
      <c r="X85" s="65" t="n">
        <v>0.690846286701209</v>
      </c>
      <c r="Y85" s="57" t="n">
        <v>0.0435</v>
      </c>
      <c r="Z85" s="57" t="n">
        <v>0.0432</v>
      </c>
      <c r="AA85" s="57" t="n">
        <v>0.001</v>
      </c>
      <c r="AB85" s="57" t="n">
        <v>0.0025</v>
      </c>
      <c r="AC85" s="63" t="s">
        <v>308</v>
      </c>
      <c r="AD85" s="57" t="n">
        <v>0.0537</v>
      </c>
      <c r="AE85" s="57" t="n">
        <v>0.0575</v>
      </c>
      <c r="AF85" s="66" t="n">
        <v>46722</v>
      </c>
      <c r="AG85" s="63" t="n">
        <v>12</v>
      </c>
      <c r="AH85" s="66" t="n">
        <v>45806</v>
      </c>
      <c r="AI85" s="66" t="n">
        <v>46722</v>
      </c>
      <c r="AJ85" s="66" t="n">
        <v>46905</v>
      </c>
      <c r="AK85" s="62" t="s">
        <v>128</v>
      </c>
      <c r="AL85" s="64" t="n">
        <v>25500000</v>
      </c>
      <c r="AM85" s="57" t="n">
        <v>0.0342</v>
      </c>
      <c r="AN85" s="62"/>
      <c r="AO85" s="64"/>
      <c r="AP85" s="57"/>
      <c r="AQ85" s="64" t="n">
        <v>8500000</v>
      </c>
      <c r="AR85" s="65" t="n">
        <v>0.1487</v>
      </c>
      <c r="AT85" s="26" t="n">
        <f aca="false">IF($D85="",0,IF(OR(StratFilter="All Loans",$E85=StratFilter),1,0))</f>
        <v>1</v>
      </c>
      <c r="AU85" s="18" t="str">
        <f aca="false">IF($D85="","",IFERROR(VLOOKUP(TRIM($K85),PropTypeMap,2,FALSE()),"Unmapped"))</f>
        <v>Assisted Living / Memory Care</v>
      </c>
      <c r="AV85" s="21" t="str">
        <f aca="false">IF($D85="","",IFERROR(VLOOKUP($J85,RegionMap,2,FALSE()),"Unmapped"))</f>
        <v>Northeast</v>
      </c>
      <c r="AW85" s="21" t="str">
        <f aca="false">IF($D85="","",IF($AC85="SOFR","Floating (SOFR)","Fixed / All-In"))</f>
        <v>Floating (SOFR)</v>
      </c>
      <c r="AX85" s="24" t="n">
        <f aca="false">IF($D85="","",$AD85+SOFR)</f>
        <v>0.0902</v>
      </c>
      <c r="AY85" s="21" t="str">
        <f aca="false">IF($D85="","",IF($AF85="Waived","Waived",IF(ISNUMBER($AF85),IF($AF85&gt;AsOfDate,"In Place","Expired"),"None Reported")))</f>
        <v>In Place</v>
      </c>
      <c r="AZ85" s="21" t="str">
        <f aca="false">IF($D85="","",IF(ISNUMBER($AG85),IF($AG85=0,"None",$AG85&amp;" Months"),IF($AG85="","None Reported",$AG85)))</f>
        <v>12 Months</v>
      </c>
      <c r="BA85" s="18" t="str">
        <f aca="false">IF($D85="","",IF($AK85="","Unlevered",$AK85))</f>
        <v>Atlas</v>
      </c>
      <c r="BB85" s="22" t="n">
        <f aca="false">IF($D85="","",SUM($AL85,$AO85))</f>
        <v>25500000</v>
      </c>
      <c r="BC85" s="23" t="n">
        <f aca="false">IF($D85="","",IF($P85&gt;0,$BB85/$P85,0))</f>
        <v>0.75</v>
      </c>
      <c r="BD85" s="25" t="n">
        <f aca="false">IF($D85="","",(AsOfDate-$AH85)/DaysPerMonth)</f>
        <v>13.0431211498973</v>
      </c>
      <c r="BE85" s="25" t="n">
        <f aca="false">IF($D85="","",($AI85-AsOfDate)/DaysPerMonth)</f>
        <v>17.0513347022587</v>
      </c>
      <c r="BF85" s="25" t="n">
        <f aca="false">IF($D85="","",($AJ85-AsOfDate)/DaysPerMonth)</f>
        <v>23.0636550308008</v>
      </c>
      <c r="BG85" s="25" t="n">
        <f aca="false">IF($D85="","",MAX(0,$BE85))</f>
        <v>17.0513347022587</v>
      </c>
      <c r="BH85" s="25" t="n">
        <f aca="false">IF($D85="","",MAX(0,$BF85))</f>
        <v>23.0636550308008</v>
      </c>
      <c r="BI85" s="67" t="n">
        <f aca="false">IF($D85="","",YEAR($AI85))</f>
        <v>2027</v>
      </c>
      <c r="BJ85" s="67" t="n">
        <f aca="false">IF($D85="","",YEAR($AJ85))</f>
        <v>2028</v>
      </c>
      <c r="BK85" s="67" t="n">
        <f aca="false">IF($D85="","",YEAR($AH85))</f>
        <v>2025</v>
      </c>
      <c r="BL85" s="68" t="n">
        <v>1970</v>
      </c>
      <c r="BM85" s="26" t="n">
        <f aca="false">IF($AT85=1,$P85+(1000-ROW())/1000000,0)</f>
        <v>34000000.000915</v>
      </c>
    </row>
    <row r="86" customFormat="false" ht="15" hidden="false" customHeight="false" outlineLevel="0" collapsed="false">
      <c r="B86" s="69" t="n">
        <v>82</v>
      </c>
      <c r="C86" s="70" t="n">
        <v>30238</v>
      </c>
      <c r="D86" s="71" t="s">
        <v>479</v>
      </c>
      <c r="E86" s="71" t="s">
        <v>73</v>
      </c>
      <c r="F86" s="71" t="s">
        <v>73</v>
      </c>
      <c r="G86" s="71" t="s">
        <v>86</v>
      </c>
      <c r="H86" s="71" t="s">
        <v>417</v>
      </c>
      <c r="I86" s="72" t="s">
        <v>480</v>
      </c>
      <c r="J86" s="72" t="s">
        <v>480</v>
      </c>
      <c r="K86" s="72" t="s">
        <v>481</v>
      </c>
      <c r="L86" s="69"/>
      <c r="M86" s="69" t="n">
        <v>296</v>
      </c>
      <c r="N86" s="72" t="s">
        <v>482</v>
      </c>
      <c r="O86" s="72" t="n">
        <v>2010</v>
      </c>
      <c r="P86" s="73" t="n">
        <v>31568094.43</v>
      </c>
      <c r="Q86" s="73" t="n">
        <v>0</v>
      </c>
      <c r="R86" s="73" t="n">
        <v>31568094.43</v>
      </c>
      <c r="S86" s="73" t="n">
        <v>0</v>
      </c>
      <c r="T86" s="73" t="n">
        <v>31625000</v>
      </c>
      <c r="U86" s="73" t="n">
        <v>40800000</v>
      </c>
      <c r="V86" s="73" t="n">
        <v>40800000</v>
      </c>
      <c r="W86" s="74" t="n">
        <v>0.738357843137255</v>
      </c>
      <c r="X86" s="74" t="n">
        <v>0.775122549019608</v>
      </c>
      <c r="Y86" s="75" t="n">
        <v>0.0455</v>
      </c>
      <c r="Z86" s="75" t="n">
        <v>0.0475</v>
      </c>
      <c r="AA86" s="75" t="n">
        <v>0.001</v>
      </c>
      <c r="AB86" s="75" t="n">
        <v>0</v>
      </c>
      <c r="AC86" s="72" t="s">
        <v>308</v>
      </c>
      <c r="AD86" s="75" t="n">
        <v>0.0575</v>
      </c>
      <c r="AE86" s="75" t="n">
        <v>0.06</v>
      </c>
      <c r="AF86" s="76" t="n">
        <v>46447</v>
      </c>
      <c r="AG86" s="72" t="n">
        <v>6</v>
      </c>
      <c r="AH86" s="76" t="n">
        <v>45352</v>
      </c>
      <c r="AI86" s="76" t="n">
        <v>46478</v>
      </c>
      <c r="AJ86" s="76" t="n">
        <v>46478</v>
      </c>
      <c r="AK86" s="71" t="s">
        <v>117</v>
      </c>
      <c r="AL86" s="73" t="n">
        <v>26793406</v>
      </c>
      <c r="AM86" s="75" t="n">
        <v>0.0183</v>
      </c>
      <c r="AN86" s="71"/>
      <c r="AO86" s="73"/>
      <c r="AP86" s="75"/>
      <c r="AQ86" s="73" t="n">
        <v>4774688.43</v>
      </c>
      <c r="AR86" s="74" t="n">
        <v>0.313972785784475</v>
      </c>
      <c r="AT86" s="44" t="n">
        <f aca="false">IF($D86="",0,IF(OR(StratFilter="All Loans",$E86=StratFilter),1,0))</f>
        <v>1</v>
      </c>
      <c r="AU86" s="27" t="str">
        <f aca="false">IF($D86="","",IFERROR(VLOOKUP(TRIM($K86),PropTypeMap,2,FALSE()),"Unmapped"))</f>
        <v>Mixed SNF / Senior Living</v>
      </c>
      <c r="AV86" s="30" t="str">
        <f aca="false">IF($D86="","",IFERROR(VLOOKUP($J86,RegionMap,2,FALSE()),"Unmapped"))</f>
        <v>Northeast</v>
      </c>
      <c r="AW86" s="30" t="str">
        <f aca="false">IF($D86="","",IF($AC86="SOFR","Floating (SOFR)","Fixed / All-In"))</f>
        <v>Floating (SOFR)</v>
      </c>
      <c r="AX86" s="33" t="n">
        <f aca="false">IF($D86="","",$AD86+SOFR)</f>
        <v>0.094</v>
      </c>
      <c r="AY86" s="30" t="str">
        <f aca="false">IF($D86="","",IF($AF86="Waived","Waived",IF(ISNUMBER($AF86),IF($AF86&gt;AsOfDate,"In Place","Expired"),"None Reported")))</f>
        <v>In Place</v>
      </c>
      <c r="AZ86" s="30" t="str">
        <f aca="false">IF($D86="","",IF(ISNUMBER($AG86),IF($AG86=0,"None",$AG86&amp;" Months"),IF($AG86="","None Reported",$AG86)))</f>
        <v>6 Months</v>
      </c>
      <c r="BA86" s="27" t="str">
        <f aca="false">IF($D86="","",IF($AK86="","Unlevered",$AK86))</f>
        <v>GS CRE Notes 2025-FL4</v>
      </c>
      <c r="BB86" s="31" t="n">
        <f aca="false">IF($D86="","",SUM($AL86,$AO86))</f>
        <v>26793406</v>
      </c>
      <c r="BC86" s="32" t="n">
        <f aca="false">IF($D86="","",IF($P86&gt;0,$BB86/$P86,0))</f>
        <v>0.848749551843</v>
      </c>
      <c r="BD86" s="34" t="n">
        <f aca="false">IF($D86="","",(AsOfDate-$AH86)/DaysPerMonth)</f>
        <v>27.958932238193</v>
      </c>
      <c r="BE86" s="34" t="n">
        <f aca="false">IF($D86="","",($AI86-AsOfDate)/DaysPerMonth)</f>
        <v>9.03490759753593</v>
      </c>
      <c r="BF86" s="34" t="n">
        <f aca="false">IF($D86="","",($AJ86-AsOfDate)/DaysPerMonth)</f>
        <v>9.03490759753593</v>
      </c>
      <c r="BG86" s="34" t="n">
        <f aca="false">IF($D86="","",MAX(0,$BE86))</f>
        <v>9.03490759753593</v>
      </c>
      <c r="BH86" s="34" t="n">
        <f aca="false">IF($D86="","",MAX(0,$BF86))</f>
        <v>9.03490759753593</v>
      </c>
      <c r="BI86" s="77" t="n">
        <f aca="false">IF($D86="","",YEAR($AI86))</f>
        <v>2027</v>
      </c>
      <c r="BJ86" s="77" t="n">
        <f aca="false">IF($D86="","",YEAR($AJ86))</f>
        <v>2027</v>
      </c>
      <c r="BK86" s="77" t="n">
        <f aca="false">IF($D86="","",YEAR($AH86))</f>
        <v>2024</v>
      </c>
      <c r="BL86" s="78" t="n">
        <v>1965</v>
      </c>
      <c r="BM86" s="44" t="n">
        <f aca="false">IF($AT86=1,$P86+(1000-ROW())/1000000,0)</f>
        <v>31568094.430914</v>
      </c>
    </row>
    <row r="87" customFormat="false" ht="15" hidden="false" customHeight="false" outlineLevel="0" collapsed="false">
      <c r="B87" s="60" t="n">
        <v>83</v>
      </c>
      <c r="C87" s="61" t="n">
        <v>30284</v>
      </c>
      <c r="D87" s="62" t="s">
        <v>483</v>
      </c>
      <c r="E87" s="62" t="s">
        <v>73</v>
      </c>
      <c r="F87" s="62" t="s">
        <v>73</v>
      </c>
      <c r="G87" s="62" t="s">
        <v>89</v>
      </c>
      <c r="H87" s="62" t="s">
        <v>484</v>
      </c>
      <c r="I87" s="63" t="s">
        <v>94</v>
      </c>
      <c r="J87" s="63" t="s">
        <v>94</v>
      </c>
      <c r="K87" s="63" t="s">
        <v>485</v>
      </c>
      <c r="L87" s="60"/>
      <c r="M87" s="60" t="n">
        <v>72</v>
      </c>
      <c r="N87" s="63" t="n">
        <v>2024</v>
      </c>
      <c r="O87" s="63" t="s">
        <v>311</v>
      </c>
      <c r="P87" s="64" t="n">
        <v>26000000</v>
      </c>
      <c r="Q87" s="64" t="n">
        <v>0</v>
      </c>
      <c r="R87" s="64" t="n">
        <v>26000000</v>
      </c>
      <c r="S87" s="64" t="n">
        <v>0</v>
      </c>
      <c r="T87" s="64" t="n">
        <v>26000000</v>
      </c>
      <c r="U87" s="64" t="n">
        <v>31340000</v>
      </c>
      <c r="V87" s="64" t="n">
        <v>37800000</v>
      </c>
      <c r="W87" s="65" t="n">
        <v>0.829610721123165</v>
      </c>
      <c r="X87" s="65" t="n">
        <v>0.687830687830688</v>
      </c>
      <c r="Y87" s="57" t="n">
        <v>0.045</v>
      </c>
      <c r="Z87" s="57" t="n">
        <v>0.04</v>
      </c>
      <c r="AA87" s="57" t="n">
        <v>0.001</v>
      </c>
      <c r="AB87" s="57" t="n">
        <v>0</v>
      </c>
      <c r="AC87" s="63" t="s">
        <v>308</v>
      </c>
      <c r="AD87" s="57" t="n">
        <v>0.0495</v>
      </c>
      <c r="AE87" s="57" t="n">
        <v>0.06</v>
      </c>
      <c r="AF87" s="66" t="n">
        <v>46722</v>
      </c>
      <c r="AG87" s="63" t="n">
        <v>6</v>
      </c>
      <c r="AH87" s="66" t="n">
        <v>45792</v>
      </c>
      <c r="AI87" s="66" t="n">
        <v>46296</v>
      </c>
      <c r="AJ87" s="66" t="n">
        <v>46935</v>
      </c>
      <c r="AK87" s="62" t="s">
        <v>117</v>
      </c>
      <c r="AL87" s="64" t="n">
        <v>16974991.12</v>
      </c>
      <c r="AM87" s="57" t="n">
        <v>0.0183</v>
      </c>
      <c r="AN87" s="62" t="s">
        <v>120</v>
      </c>
      <c r="AO87" s="64" t="n">
        <v>3533376.14882073</v>
      </c>
      <c r="AP87" s="57" t="n">
        <v>0.0207</v>
      </c>
      <c r="AQ87" s="64" t="n">
        <v>5491632.73117927</v>
      </c>
      <c r="AR87" s="65" t="n">
        <v>0.20097144600463</v>
      </c>
      <c r="AT87" s="26" t="n">
        <f aca="false">IF($D87="",0,IF(OR(StratFilter="All Loans",$E87=StratFilter),1,0))</f>
        <v>1</v>
      </c>
      <c r="AU87" s="18" t="str">
        <f aca="false">IF($D87="","",IFERROR(VLOOKUP(TRIM($K87),PropTypeMap,2,FALSE()),"Unmapped"))</f>
        <v>Skilled Nursing</v>
      </c>
      <c r="AV87" s="21" t="str">
        <f aca="false">IF($D87="","",IFERROR(VLOOKUP($J87,RegionMap,2,FALSE()),"Unmapped"))</f>
        <v>Pacific</v>
      </c>
      <c r="AW87" s="21" t="str">
        <f aca="false">IF($D87="","",IF($AC87="SOFR","Floating (SOFR)","Fixed / All-In"))</f>
        <v>Floating (SOFR)</v>
      </c>
      <c r="AX87" s="24" t="n">
        <f aca="false">IF($D87="","",$AD87+SOFR)</f>
        <v>0.086</v>
      </c>
      <c r="AY87" s="21" t="str">
        <f aca="false">IF($D87="","",IF($AF87="Waived","Waived",IF(ISNUMBER($AF87),IF($AF87&gt;AsOfDate,"In Place","Expired"),"None Reported")))</f>
        <v>In Place</v>
      </c>
      <c r="AZ87" s="21" t="str">
        <f aca="false">IF($D87="","",IF(ISNUMBER($AG87),IF($AG87=0,"None",$AG87&amp;" Months"),IF($AG87="","None Reported",$AG87)))</f>
        <v>6 Months</v>
      </c>
      <c r="BA87" s="18" t="str">
        <f aca="false">IF($D87="","",IF($AK87="","Unlevered",$AK87))</f>
        <v>GS CRE Notes 2025-FL4</v>
      </c>
      <c r="BB87" s="22" t="n">
        <f aca="false">IF($D87="","",SUM($AL87,$AO87))</f>
        <v>20508367.2688207</v>
      </c>
      <c r="BC87" s="23" t="n">
        <f aca="false">IF($D87="","",IF($P87&gt;0,$BB87/$P87,0))</f>
        <v>0.788783356493105</v>
      </c>
      <c r="BD87" s="25" t="n">
        <f aca="false">IF($D87="","",(AsOfDate-$AH87)/DaysPerMonth)</f>
        <v>13.5030800821355</v>
      </c>
      <c r="BE87" s="25" t="n">
        <f aca="false">IF($D87="","",($AI87-AsOfDate)/DaysPerMonth)</f>
        <v>3.05544147843943</v>
      </c>
      <c r="BF87" s="25" t="n">
        <f aca="false">IF($D87="","",($AJ87-AsOfDate)/DaysPerMonth)</f>
        <v>24.0492813141684</v>
      </c>
      <c r="BG87" s="25" t="n">
        <f aca="false">IF($D87="","",MAX(0,$BE87))</f>
        <v>3.05544147843943</v>
      </c>
      <c r="BH87" s="25" t="n">
        <f aca="false">IF($D87="","",MAX(0,$BF87))</f>
        <v>24.0492813141684</v>
      </c>
      <c r="BI87" s="67" t="n">
        <f aca="false">IF($D87="","",YEAR($AI87))</f>
        <v>2026</v>
      </c>
      <c r="BJ87" s="67" t="n">
        <f aca="false">IF($D87="","",YEAR($AJ87))</f>
        <v>2028</v>
      </c>
      <c r="BK87" s="67" t="n">
        <f aca="false">IF($D87="","",YEAR($AH87))</f>
        <v>2025</v>
      </c>
      <c r="BL87" s="68" t="n">
        <v>2024</v>
      </c>
      <c r="BM87" s="26" t="n">
        <f aca="false">IF($AT87=1,$P87+(1000-ROW())/1000000,0)</f>
        <v>26000000.000913</v>
      </c>
    </row>
    <row r="88" customFormat="false" ht="15" hidden="false" customHeight="false" outlineLevel="0" collapsed="false">
      <c r="B88" s="69" t="n">
        <v>84</v>
      </c>
      <c r="C88" s="70" t="n">
        <v>30215</v>
      </c>
      <c r="D88" s="71" t="s">
        <v>486</v>
      </c>
      <c r="E88" s="71" t="s">
        <v>73</v>
      </c>
      <c r="F88" s="71" t="s">
        <v>73</v>
      </c>
      <c r="G88" s="71" t="s">
        <v>85</v>
      </c>
      <c r="H88" s="71" t="s">
        <v>417</v>
      </c>
      <c r="I88" s="72" t="s">
        <v>106</v>
      </c>
      <c r="J88" s="72" t="s">
        <v>106</v>
      </c>
      <c r="K88" s="72" t="s">
        <v>485</v>
      </c>
      <c r="L88" s="69"/>
      <c r="M88" s="69" t="n">
        <v>399</v>
      </c>
      <c r="N88" s="72" t="s">
        <v>487</v>
      </c>
      <c r="O88" s="72" t="s">
        <v>488</v>
      </c>
      <c r="P88" s="73" t="n">
        <v>65000000</v>
      </c>
      <c r="Q88" s="73" t="n">
        <v>0</v>
      </c>
      <c r="R88" s="73" t="n">
        <v>65000000</v>
      </c>
      <c r="S88" s="73" t="n">
        <v>0</v>
      </c>
      <c r="T88" s="73" t="n">
        <v>65000000</v>
      </c>
      <c r="U88" s="73" t="n">
        <v>75500000</v>
      </c>
      <c r="V88" s="73" t="n">
        <v>103500000</v>
      </c>
      <c r="W88" s="74" t="n">
        <v>0.596026490066225</v>
      </c>
      <c r="X88" s="74" t="n">
        <v>0.628019323671498</v>
      </c>
      <c r="Y88" s="75" t="n">
        <v>0.0485</v>
      </c>
      <c r="Z88" s="75" t="n">
        <v>0.04</v>
      </c>
      <c r="AA88" s="75" t="n">
        <v>0.001</v>
      </c>
      <c r="AB88" s="75" t="n">
        <v>0.01</v>
      </c>
      <c r="AC88" s="72" t="s">
        <v>308</v>
      </c>
      <c r="AD88" s="75" t="n">
        <v>0.063</v>
      </c>
      <c r="AE88" s="75" t="n">
        <v>0.055</v>
      </c>
      <c r="AF88" s="76" t="n">
        <v>46296</v>
      </c>
      <c r="AG88" s="72" t="n">
        <v>6</v>
      </c>
      <c r="AH88" s="76" t="n">
        <v>45197</v>
      </c>
      <c r="AI88" s="76" t="n">
        <v>45931</v>
      </c>
      <c r="AJ88" s="76" t="n">
        <v>46296</v>
      </c>
      <c r="AK88" s="71" t="s">
        <v>120</v>
      </c>
      <c r="AL88" s="73" t="n">
        <v>26500321.1161555</v>
      </c>
      <c r="AM88" s="75" t="n">
        <v>0.0207</v>
      </c>
      <c r="AN88" s="71" t="s">
        <v>123</v>
      </c>
      <c r="AO88" s="73" t="n">
        <v>16000000</v>
      </c>
      <c r="AP88" s="75" t="n">
        <v>0.0225</v>
      </c>
      <c r="AQ88" s="73" t="n">
        <v>22499678.8838445</v>
      </c>
      <c r="AR88" s="74" t="n">
        <v>0.178121725774209</v>
      </c>
      <c r="AT88" s="44" t="n">
        <f aca="false">IF($D88="",0,IF(OR(StratFilter="All Loans",$E88=StratFilter),1,0))</f>
        <v>1</v>
      </c>
      <c r="AU88" s="27" t="str">
        <f aca="false">IF($D88="","",IFERROR(VLOOKUP(TRIM($K88),PropTypeMap,2,FALSE()),"Unmapped"))</f>
        <v>Skilled Nursing</v>
      </c>
      <c r="AV88" s="30" t="str">
        <f aca="false">IF($D88="","",IFERROR(VLOOKUP($J88,RegionMap,2,FALSE()),"Unmapped"))</f>
        <v>Midwest</v>
      </c>
      <c r="AW88" s="30" t="str">
        <f aca="false">IF($D88="","",IF($AC88="SOFR","Floating (SOFR)","Fixed / All-In"))</f>
        <v>Floating (SOFR)</v>
      </c>
      <c r="AX88" s="33" t="n">
        <f aca="false">IF($D88="","",$AD88+SOFR)</f>
        <v>0.0995</v>
      </c>
      <c r="AY88" s="30" t="str">
        <f aca="false">IF($D88="","",IF($AF88="Waived","Waived",IF(ISNUMBER($AF88),IF($AF88&gt;AsOfDate,"In Place","Expired"),"None Reported")))</f>
        <v>In Place</v>
      </c>
      <c r="AZ88" s="30" t="str">
        <f aca="false">IF($D88="","",IF(ISNUMBER($AG88),IF($AG88=0,"None",$AG88&amp;" Months"),IF($AG88="","None Reported",$AG88)))</f>
        <v>6 Months</v>
      </c>
      <c r="BA88" s="27" t="str">
        <f aca="false">IF($D88="","",IF($AK88="","Unlevered",$AK88))</f>
        <v>GS CRE Notes 2025-HC4</v>
      </c>
      <c r="BB88" s="31" t="n">
        <f aca="false">IF($D88="","",SUM($AL88,$AO88))</f>
        <v>42500321.1161555</v>
      </c>
      <c r="BC88" s="32" t="n">
        <f aca="false">IF($D88="","",IF($P88&gt;0,$BB88/$P88,0))</f>
        <v>0.6538510940947</v>
      </c>
      <c r="BD88" s="34" t="n">
        <f aca="false">IF($D88="","",(AsOfDate-$AH88)/DaysPerMonth)</f>
        <v>33.0513347022587</v>
      </c>
      <c r="BE88" s="34" t="n">
        <f aca="false">IF($D88="","",($AI88-AsOfDate)/DaysPerMonth)</f>
        <v>-8.93634496919918</v>
      </c>
      <c r="BF88" s="34" t="n">
        <f aca="false">IF($D88="","",($AJ88-AsOfDate)/DaysPerMonth)</f>
        <v>3.05544147843943</v>
      </c>
      <c r="BG88" s="34" t="n">
        <f aca="false">IF($D88="","",MAX(0,$BE88))</f>
        <v>0</v>
      </c>
      <c r="BH88" s="34" t="n">
        <f aca="false">IF($D88="","",MAX(0,$BF88))</f>
        <v>3.05544147843943</v>
      </c>
      <c r="BI88" s="77" t="n">
        <f aca="false">IF($D88="","",YEAR($AI88))</f>
        <v>2025</v>
      </c>
      <c r="BJ88" s="77" t="n">
        <f aca="false">IF($D88="","",YEAR($AJ88))</f>
        <v>2026</v>
      </c>
      <c r="BK88" s="77" t="n">
        <f aca="false">IF($D88="","",YEAR($AH88))</f>
        <v>2023</v>
      </c>
      <c r="BL88" s="78" t="n">
        <v>1964</v>
      </c>
      <c r="BM88" s="44" t="n">
        <f aca="false">IF($AT88=1,$P88+(1000-ROW())/1000000,0)</f>
        <v>65000000.000912</v>
      </c>
    </row>
    <row r="89" customFormat="false" ht="15" hidden="false" customHeight="false" outlineLevel="0" collapsed="false">
      <c r="B89" s="60" t="n">
        <v>85</v>
      </c>
      <c r="C89" s="61" t="n">
        <v>30289</v>
      </c>
      <c r="D89" s="62" t="s">
        <v>489</v>
      </c>
      <c r="E89" s="62" t="s">
        <v>73</v>
      </c>
      <c r="F89" s="62" t="s">
        <v>73</v>
      </c>
      <c r="G89" s="62" t="s">
        <v>87</v>
      </c>
      <c r="H89" s="62" t="s">
        <v>417</v>
      </c>
      <c r="I89" s="63" t="s">
        <v>490</v>
      </c>
      <c r="J89" s="63" t="s">
        <v>490</v>
      </c>
      <c r="K89" s="63" t="s">
        <v>485</v>
      </c>
      <c r="L89" s="60"/>
      <c r="M89" s="60" t="n">
        <v>489</v>
      </c>
      <c r="N89" s="63" t="s">
        <v>307</v>
      </c>
      <c r="O89" s="63" t="s">
        <v>311</v>
      </c>
      <c r="P89" s="64" t="n">
        <v>45400000</v>
      </c>
      <c r="Q89" s="64" t="n">
        <v>0</v>
      </c>
      <c r="R89" s="64" t="n">
        <v>45400000</v>
      </c>
      <c r="S89" s="64" t="n">
        <v>0</v>
      </c>
      <c r="T89" s="64" t="n">
        <v>45400000</v>
      </c>
      <c r="U89" s="64" t="n">
        <v>52200000</v>
      </c>
      <c r="V89" s="64" t="n">
        <v>60300000</v>
      </c>
      <c r="W89" s="65" t="n">
        <v>0.869731800766284</v>
      </c>
      <c r="X89" s="65" t="n">
        <v>0.752902155887231</v>
      </c>
      <c r="Y89" s="57" t="n">
        <v>0.05</v>
      </c>
      <c r="Z89" s="57" t="n">
        <v>0.04</v>
      </c>
      <c r="AA89" s="57" t="n">
        <v>0.001</v>
      </c>
      <c r="AB89" s="57" t="n">
        <v>0</v>
      </c>
      <c r="AC89" s="63" t="s">
        <v>308</v>
      </c>
      <c r="AD89" s="57" t="n">
        <v>0.0545</v>
      </c>
      <c r="AE89" s="57" t="n">
        <v>0.06</v>
      </c>
      <c r="AF89" s="66" t="n">
        <v>46569</v>
      </c>
      <c r="AG89" s="63" t="n">
        <v>6</v>
      </c>
      <c r="AH89" s="66" t="n">
        <v>45838</v>
      </c>
      <c r="AI89" s="66" t="n">
        <v>46569</v>
      </c>
      <c r="AJ89" s="66" t="n">
        <v>46935</v>
      </c>
      <c r="AK89" s="62" t="s">
        <v>120</v>
      </c>
      <c r="AL89" s="64" t="n">
        <v>26500321.1161555</v>
      </c>
      <c r="AM89" s="57" t="n">
        <v>0.0207</v>
      </c>
      <c r="AN89" s="62"/>
      <c r="AO89" s="64"/>
      <c r="AP89" s="57"/>
      <c r="AQ89" s="64" t="n">
        <v>18899678.8838445</v>
      </c>
      <c r="AR89" s="65" t="n">
        <v>0.138392913881289</v>
      </c>
      <c r="AT89" s="26" t="n">
        <f aca="false">IF($D89="",0,IF(OR(StratFilter="All Loans",$E89=StratFilter),1,0))</f>
        <v>1</v>
      </c>
      <c r="AU89" s="18" t="str">
        <f aca="false">IF($D89="","",IFERROR(VLOOKUP(TRIM($K89),PropTypeMap,2,FALSE()),"Unmapped"))</f>
        <v>Skilled Nursing</v>
      </c>
      <c r="AV89" s="21" t="str">
        <f aca="false">IF($D89="","",IFERROR(VLOOKUP($J89,RegionMap,2,FALSE()),"Unmapped"))</f>
        <v>Midwest</v>
      </c>
      <c r="AW89" s="21" t="str">
        <f aca="false">IF($D89="","",IF($AC89="SOFR","Floating (SOFR)","Fixed / All-In"))</f>
        <v>Floating (SOFR)</v>
      </c>
      <c r="AX89" s="24" t="n">
        <f aca="false">IF($D89="","",$AD89+SOFR)</f>
        <v>0.091</v>
      </c>
      <c r="AY89" s="21" t="str">
        <f aca="false">IF($D89="","",IF($AF89="Waived","Waived",IF(ISNUMBER($AF89),IF($AF89&gt;AsOfDate,"In Place","Expired"),"None Reported")))</f>
        <v>In Place</v>
      </c>
      <c r="AZ89" s="21" t="str">
        <f aca="false">IF($D89="","",IF(ISNUMBER($AG89),IF($AG89=0,"None",$AG89&amp;" Months"),IF($AG89="","None Reported",$AG89)))</f>
        <v>6 Months</v>
      </c>
      <c r="BA89" s="18" t="str">
        <f aca="false">IF($D89="","",IF($AK89="","Unlevered",$AK89))</f>
        <v>GS CRE Notes 2025-HC4</v>
      </c>
      <c r="BB89" s="22" t="n">
        <f aca="false">IF($D89="","",SUM($AL89,$AO89))</f>
        <v>26500321.1161555</v>
      </c>
      <c r="BC89" s="23" t="n">
        <f aca="false">IF($D89="","",IF($P89&gt;0,$BB89/$P89,0))</f>
        <v>0.583707513571707</v>
      </c>
      <c r="BD89" s="25" t="n">
        <f aca="false">IF($D89="","",(AsOfDate-$AH89)/DaysPerMonth)</f>
        <v>11.9917864476386</v>
      </c>
      <c r="BE89" s="25" t="n">
        <f aca="false">IF($D89="","",($AI89-AsOfDate)/DaysPerMonth)</f>
        <v>12.0246406570842</v>
      </c>
      <c r="BF89" s="25" t="n">
        <f aca="false">IF($D89="","",($AJ89-AsOfDate)/DaysPerMonth)</f>
        <v>24.0492813141684</v>
      </c>
      <c r="BG89" s="25" t="n">
        <f aca="false">IF($D89="","",MAX(0,$BE89))</f>
        <v>12.0246406570842</v>
      </c>
      <c r="BH89" s="25" t="n">
        <f aca="false">IF($D89="","",MAX(0,$BF89))</f>
        <v>24.0492813141684</v>
      </c>
      <c r="BI89" s="67" t="n">
        <f aca="false">IF($D89="","",YEAR($AI89))</f>
        <v>2027</v>
      </c>
      <c r="BJ89" s="67" t="n">
        <f aca="false">IF($D89="","",YEAR($AJ89))</f>
        <v>2028</v>
      </c>
      <c r="BK89" s="67" t="n">
        <f aca="false">IF($D89="","",YEAR($AH89))</f>
        <v>2025</v>
      </c>
      <c r="BL89" s="68"/>
      <c r="BM89" s="26" t="n">
        <f aca="false">IF($AT89=1,$P89+(1000-ROW())/1000000,0)</f>
        <v>45400000.000911</v>
      </c>
    </row>
    <row r="90" customFormat="false" ht="15" hidden="false" customHeight="false" outlineLevel="0" collapsed="false">
      <c r="B90" s="69" t="n">
        <v>86</v>
      </c>
      <c r="C90" s="70" t="n">
        <v>30252</v>
      </c>
      <c r="D90" s="71" t="s">
        <v>491</v>
      </c>
      <c r="E90" s="71" t="s">
        <v>73</v>
      </c>
      <c r="F90" s="71" t="s">
        <v>73</v>
      </c>
      <c r="G90" s="71" t="s">
        <v>85</v>
      </c>
      <c r="H90" s="71" t="s">
        <v>417</v>
      </c>
      <c r="I90" s="72" t="s">
        <v>97</v>
      </c>
      <c r="J90" s="72" t="s">
        <v>97</v>
      </c>
      <c r="K90" s="72" t="s">
        <v>485</v>
      </c>
      <c r="L90" s="69"/>
      <c r="M90" s="69" t="n">
        <v>347</v>
      </c>
      <c r="N90" s="72" t="s">
        <v>492</v>
      </c>
      <c r="O90" s="72" t="s">
        <v>311</v>
      </c>
      <c r="P90" s="73" t="n">
        <v>23177885</v>
      </c>
      <c r="Q90" s="73" t="n">
        <v>0</v>
      </c>
      <c r="R90" s="73" t="n">
        <v>23177885</v>
      </c>
      <c r="S90" s="73" t="n">
        <v>6450000</v>
      </c>
      <c r="T90" s="73" t="n">
        <v>48260000</v>
      </c>
      <c r="U90" s="73" t="n">
        <v>68500000</v>
      </c>
      <c r="V90" s="73" t="n">
        <v>68500000</v>
      </c>
      <c r="W90" s="74" t="n">
        <v>0.568175182481752</v>
      </c>
      <c r="X90" s="74" t="n">
        <v>0.704525547445256</v>
      </c>
      <c r="Y90" s="75" t="n">
        <v>0.0415</v>
      </c>
      <c r="Z90" s="75" t="n">
        <v>0.04</v>
      </c>
      <c r="AA90" s="75" t="n">
        <v>0.001</v>
      </c>
      <c r="AB90" s="75" t="n">
        <v>0</v>
      </c>
      <c r="AC90" s="72" t="s">
        <v>308</v>
      </c>
      <c r="AD90" s="75" t="n">
        <v>0.046</v>
      </c>
      <c r="AE90" s="75" t="n">
        <v>0.045</v>
      </c>
      <c r="AF90" s="76" t="n">
        <v>46235</v>
      </c>
      <c r="AG90" s="72" t="n">
        <v>12</v>
      </c>
      <c r="AH90" s="76" t="n">
        <v>45504</v>
      </c>
      <c r="AI90" s="76" t="n">
        <v>46235</v>
      </c>
      <c r="AJ90" s="76" t="n">
        <v>46600</v>
      </c>
      <c r="AK90" s="71" t="s">
        <v>120</v>
      </c>
      <c r="AL90" s="73" t="n">
        <v>13649364.3398516</v>
      </c>
      <c r="AM90" s="75" t="n">
        <v>0.0218448</v>
      </c>
      <c r="AN90" s="71"/>
      <c r="AO90" s="73"/>
      <c r="AP90" s="75"/>
      <c r="AQ90" s="73" t="n">
        <v>9528520.6601484</v>
      </c>
      <c r="AR90" s="74" t="n">
        <v>0.117101711772628</v>
      </c>
      <c r="AT90" s="44" t="n">
        <f aca="false">IF($D90="",0,IF(OR(StratFilter="All Loans",$E90=StratFilter),1,0))</f>
        <v>1</v>
      </c>
      <c r="AU90" s="27" t="str">
        <f aca="false">IF($D90="","",IFERROR(VLOOKUP(TRIM($K90),PropTypeMap,2,FALSE()),"Unmapped"))</f>
        <v>Skilled Nursing</v>
      </c>
      <c r="AV90" s="30" t="str">
        <f aca="false">IF($D90="","",IFERROR(VLOOKUP($J90,RegionMap,2,FALSE()),"Unmapped"))</f>
        <v>Southeast</v>
      </c>
      <c r="AW90" s="30" t="str">
        <f aca="false">IF($D90="","",IF($AC90="SOFR","Floating (SOFR)","Fixed / All-In"))</f>
        <v>Floating (SOFR)</v>
      </c>
      <c r="AX90" s="33" t="n">
        <f aca="false">IF($D90="","",$AD90+SOFR)</f>
        <v>0.0825</v>
      </c>
      <c r="AY90" s="30" t="str">
        <f aca="false">IF($D90="","",IF($AF90="Waived","Waived",IF(ISNUMBER($AF90),IF($AF90&gt;AsOfDate,"In Place","Expired"),"None Reported")))</f>
        <v>In Place</v>
      </c>
      <c r="AZ90" s="30" t="str">
        <f aca="false">IF($D90="","",IF(ISNUMBER($AG90),IF($AG90=0,"None",$AG90&amp;" Months"),IF($AG90="","None Reported",$AG90)))</f>
        <v>12 Months</v>
      </c>
      <c r="BA90" s="27" t="str">
        <f aca="false">IF($D90="","",IF($AK90="","Unlevered",$AK90))</f>
        <v>GS CRE Notes 2025-HC4</v>
      </c>
      <c r="BB90" s="31" t="n">
        <f aca="false">IF($D90="","",SUM($AL90,$AO90))</f>
        <v>13649364.3398516</v>
      </c>
      <c r="BC90" s="32" t="n">
        <f aca="false">IF($D90="","",IF($P90&gt;0,$BB90/$P90,0))</f>
        <v>0.588896024803454</v>
      </c>
      <c r="BD90" s="34" t="n">
        <f aca="false">IF($D90="","",(AsOfDate-$AH90)/DaysPerMonth)</f>
        <v>22.9650924024641</v>
      </c>
      <c r="BE90" s="34" t="n">
        <f aca="false">IF($D90="","",($AI90-AsOfDate)/DaysPerMonth)</f>
        <v>1.05133470225873</v>
      </c>
      <c r="BF90" s="34" t="n">
        <f aca="false">IF($D90="","",($AJ90-AsOfDate)/DaysPerMonth)</f>
        <v>13.0431211498973</v>
      </c>
      <c r="BG90" s="34" t="n">
        <f aca="false">IF($D90="","",MAX(0,$BE90))</f>
        <v>1.05133470225873</v>
      </c>
      <c r="BH90" s="34" t="n">
        <f aca="false">IF($D90="","",MAX(0,$BF90))</f>
        <v>13.0431211498973</v>
      </c>
      <c r="BI90" s="77" t="n">
        <f aca="false">IF($D90="","",YEAR($AI90))</f>
        <v>2026</v>
      </c>
      <c r="BJ90" s="77" t="n">
        <f aca="false">IF($D90="","",YEAR($AJ90))</f>
        <v>2027</v>
      </c>
      <c r="BK90" s="77" t="n">
        <f aca="false">IF($D90="","",YEAR($AH90))</f>
        <v>2024</v>
      </c>
      <c r="BL90" s="78" t="n">
        <v>1980</v>
      </c>
      <c r="BM90" s="44" t="n">
        <f aca="false">IF($AT90=1,$P90+(1000-ROW())/1000000,0)</f>
        <v>23177885.00091</v>
      </c>
    </row>
    <row r="91" customFormat="false" ht="15" hidden="false" customHeight="false" outlineLevel="0" collapsed="false">
      <c r="B91" s="60" t="n">
        <v>87</v>
      </c>
      <c r="C91" s="61" t="n">
        <v>30286</v>
      </c>
      <c r="D91" s="62" t="s">
        <v>493</v>
      </c>
      <c r="E91" s="62" t="s">
        <v>73</v>
      </c>
      <c r="F91" s="62" t="s">
        <v>73</v>
      </c>
      <c r="G91" s="62" t="s">
        <v>87</v>
      </c>
      <c r="H91" s="62" t="s">
        <v>417</v>
      </c>
      <c r="I91" s="63" t="s">
        <v>494</v>
      </c>
      <c r="J91" s="63" t="s">
        <v>494</v>
      </c>
      <c r="K91" s="63" t="s">
        <v>495</v>
      </c>
      <c r="L91" s="60"/>
      <c r="M91" s="60" t="n">
        <v>633</v>
      </c>
      <c r="N91" s="63" t="s">
        <v>307</v>
      </c>
      <c r="O91" s="63" t="s">
        <v>311</v>
      </c>
      <c r="P91" s="64" t="n">
        <v>51500000</v>
      </c>
      <c r="Q91" s="64" t="n">
        <v>0</v>
      </c>
      <c r="R91" s="64" t="n">
        <v>51500000</v>
      </c>
      <c r="S91" s="64" t="n">
        <v>0</v>
      </c>
      <c r="T91" s="64" t="n">
        <v>51500000</v>
      </c>
      <c r="U91" s="64" t="n">
        <v>63300000</v>
      </c>
      <c r="V91" s="64" t="n">
        <v>66600000</v>
      </c>
      <c r="W91" s="65" t="n">
        <v>0.813586097946288</v>
      </c>
      <c r="X91" s="65" t="n">
        <v>0.773273273273273</v>
      </c>
      <c r="Y91" s="57" t="n">
        <v>0.0475</v>
      </c>
      <c r="Z91" s="57" t="n">
        <v>0.0375</v>
      </c>
      <c r="AA91" s="57" t="n">
        <v>0.001</v>
      </c>
      <c r="AB91" s="57" t="n">
        <v>0</v>
      </c>
      <c r="AC91" s="63" t="s">
        <v>308</v>
      </c>
      <c r="AD91" s="57" t="n">
        <v>0.0495</v>
      </c>
      <c r="AE91" s="57" t="n">
        <v>0.0525</v>
      </c>
      <c r="AF91" s="66" t="n">
        <v>46539</v>
      </c>
      <c r="AG91" s="63" t="n">
        <v>6</v>
      </c>
      <c r="AH91" s="66" t="n">
        <v>45807</v>
      </c>
      <c r="AI91" s="66" t="n">
        <v>46539</v>
      </c>
      <c r="AJ91" s="66" t="n">
        <v>46905</v>
      </c>
      <c r="AK91" s="62" t="s">
        <v>120</v>
      </c>
      <c r="AL91" s="64" t="n">
        <v>24439185.0293434</v>
      </c>
      <c r="AM91" s="57" t="n">
        <v>0.0207</v>
      </c>
      <c r="AN91" s="62" t="s">
        <v>117</v>
      </c>
      <c r="AO91" s="64" t="n">
        <v>8487495.56</v>
      </c>
      <c r="AP91" s="57" t="n">
        <v>0.0183</v>
      </c>
      <c r="AQ91" s="64" t="n">
        <v>18573319.4106566</v>
      </c>
      <c r="AR91" s="65" t="n">
        <v>0.138153218759664</v>
      </c>
      <c r="AT91" s="26" t="n">
        <f aca="false">IF($D91="",0,IF(OR(StratFilter="All Loans",$E91=StratFilter),1,0))</f>
        <v>1</v>
      </c>
      <c r="AU91" s="18" t="str">
        <f aca="false">IF($D91="","",IFERROR(VLOOKUP(TRIM($K91),PropTypeMap,2,FALSE()),"Unmapped"))</f>
        <v>Mixed SNF / Senior Living</v>
      </c>
      <c r="AV91" s="21" t="str">
        <f aca="false">IF($D91="","",IFERROR(VLOOKUP($J91,RegionMap,2,FALSE()),"Unmapped"))</f>
        <v>Southwest</v>
      </c>
      <c r="AW91" s="21" t="str">
        <f aca="false">IF($D91="","",IF($AC91="SOFR","Floating (SOFR)","Fixed / All-In"))</f>
        <v>Floating (SOFR)</v>
      </c>
      <c r="AX91" s="24" t="n">
        <f aca="false">IF($D91="","",$AD91+SOFR)</f>
        <v>0.086</v>
      </c>
      <c r="AY91" s="21" t="str">
        <f aca="false">IF($D91="","",IF($AF91="Waived","Waived",IF(ISNUMBER($AF91),IF($AF91&gt;AsOfDate,"In Place","Expired"),"None Reported")))</f>
        <v>In Place</v>
      </c>
      <c r="AZ91" s="21" t="str">
        <f aca="false">IF($D91="","",IF(ISNUMBER($AG91),IF($AG91=0,"None",$AG91&amp;" Months"),IF($AG91="","None Reported",$AG91)))</f>
        <v>6 Months</v>
      </c>
      <c r="BA91" s="18" t="str">
        <f aca="false">IF($D91="","",IF($AK91="","Unlevered",$AK91))</f>
        <v>GS CRE Notes 2025-HC4</v>
      </c>
      <c r="BB91" s="22" t="n">
        <f aca="false">IF($D91="","",SUM($AL91,$AO91))</f>
        <v>32926680.5893434</v>
      </c>
      <c r="BC91" s="23" t="n">
        <f aca="false">IF($D91="","",IF($P91&gt;0,$BB91/$P91,0))</f>
        <v>0.639353021152299</v>
      </c>
      <c r="BD91" s="25" t="n">
        <f aca="false">IF($D91="","",(AsOfDate-$AH91)/DaysPerMonth)</f>
        <v>13.0102669404517</v>
      </c>
      <c r="BE91" s="25" t="n">
        <f aca="false">IF($D91="","",($AI91-AsOfDate)/DaysPerMonth)</f>
        <v>11.0390143737166</v>
      </c>
      <c r="BF91" s="25" t="n">
        <f aca="false">IF($D91="","",($AJ91-AsOfDate)/DaysPerMonth)</f>
        <v>23.0636550308008</v>
      </c>
      <c r="BG91" s="25" t="n">
        <f aca="false">IF($D91="","",MAX(0,$BE91))</f>
        <v>11.0390143737166</v>
      </c>
      <c r="BH91" s="25" t="n">
        <f aca="false">IF($D91="","",MAX(0,$BF91))</f>
        <v>23.0636550308008</v>
      </c>
      <c r="BI91" s="67" t="n">
        <f aca="false">IF($D91="","",YEAR($AI91))</f>
        <v>2027</v>
      </c>
      <c r="BJ91" s="67" t="n">
        <f aca="false">IF($D91="","",YEAR($AJ91))</f>
        <v>2028</v>
      </c>
      <c r="BK91" s="67" t="n">
        <f aca="false">IF($D91="","",YEAR($AH91))</f>
        <v>2025</v>
      </c>
      <c r="BL91" s="68"/>
      <c r="BM91" s="26" t="n">
        <f aca="false">IF($AT91=1,$P91+(1000-ROW())/1000000,0)</f>
        <v>51500000.000909</v>
      </c>
    </row>
    <row r="92" customFormat="false" ht="15" hidden="false" customHeight="false" outlineLevel="0" collapsed="false">
      <c r="B92" s="69" t="n">
        <v>88</v>
      </c>
      <c r="C92" s="70" t="n">
        <v>30328</v>
      </c>
      <c r="D92" s="71" t="s">
        <v>496</v>
      </c>
      <c r="E92" s="71" t="s">
        <v>73</v>
      </c>
      <c r="F92" s="71" t="s">
        <v>73</v>
      </c>
      <c r="G92" s="71" t="s">
        <v>84</v>
      </c>
      <c r="H92" s="71" t="s">
        <v>417</v>
      </c>
      <c r="I92" s="72" t="s">
        <v>102</v>
      </c>
      <c r="J92" s="72" t="s">
        <v>102</v>
      </c>
      <c r="K92" s="72" t="s">
        <v>497</v>
      </c>
      <c r="L92" s="69"/>
      <c r="M92" s="69" t="n">
        <v>451</v>
      </c>
      <c r="N92" s="72" t="s">
        <v>498</v>
      </c>
      <c r="O92" s="72" t="s">
        <v>311</v>
      </c>
      <c r="P92" s="73" t="n">
        <v>46000000</v>
      </c>
      <c r="Q92" s="73" t="n">
        <v>0</v>
      </c>
      <c r="R92" s="73" t="n">
        <v>46000000</v>
      </c>
      <c r="S92" s="73" t="n">
        <v>0</v>
      </c>
      <c r="T92" s="73" t="n">
        <v>46000000</v>
      </c>
      <c r="U92" s="73" t="n">
        <v>67500000</v>
      </c>
      <c r="V92" s="73" t="n">
        <v>83500000</v>
      </c>
      <c r="W92" s="74" t="n">
        <v>0.681481481481482</v>
      </c>
      <c r="X92" s="74" t="n">
        <v>0.550898203592814</v>
      </c>
      <c r="Y92" s="75" t="n">
        <v>0.045</v>
      </c>
      <c r="Z92" s="75" t="n">
        <v>0.0333</v>
      </c>
      <c r="AA92" s="75" t="n">
        <v>0</v>
      </c>
      <c r="AB92" s="75" t="n">
        <v>0</v>
      </c>
      <c r="AC92" s="72" t="s">
        <v>308</v>
      </c>
      <c r="AD92" s="75" t="n">
        <v>0.045</v>
      </c>
      <c r="AE92" s="75" t="n">
        <v>0.055</v>
      </c>
      <c r="AF92" s="76" t="n">
        <v>46813</v>
      </c>
      <c r="AG92" s="72" t="n">
        <v>6</v>
      </c>
      <c r="AH92" s="76" t="n">
        <v>46080</v>
      </c>
      <c r="AI92" s="76" t="n">
        <v>46844</v>
      </c>
      <c r="AJ92" s="76" t="n">
        <v>47209</v>
      </c>
      <c r="AK92" s="71" t="s">
        <v>120</v>
      </c>
      <c r="AL92" s="73" t="n">
        <v>23555840.9921382</v>
      </c>
      <c r="AM92" s="75" t="n">
        <v>0.0207</v>
      </c>
      <c r="AN92" s="71" t="s">
        <v>117</v>
      </c>
      <c r="AO92" s="73" t="n">
        <v>5092497.336</v>
      </c>
      <c r="AP92" s="75" t="n">
        <v>0.019</v>
      </c>
      <c r="AQ92" s="73" t="n">
        <v>17351661.6718618</v>
      </c>
      <c r="AR92" s="74" t="n">
        <v>0.122119272100488</v>
      </c>
      <c r="AT92" s="44" t="n">
        <f aca="false">IF($D92="",0,IF(OR(StratFilter="All Loans",$E92=StratFilter),1,0))</f>
        <v>1</v>
      </c>
      <c r="AU92" s="27" t="str">
        <f aca="false">IF($D92="","",IFERROR(VLOOKUP(TRIM($K92),PropTypeMap,2,FALSE()),"Unmapped"))</f>
        <v>Mixed SNF / Senior Living</v>
      </c>
      <c r="AV92" s="30" t="str">
        <f aca="false">IF($D92="","",IFERROR(VLOOKUP($J92,RegionMap,2,FALSE()),"Unmapped"))</f>
        <v>Midwest</v>
      </c>
      <c r="AW92" s="30" t="str">
        <f aca="false">IF($D92="","",IF($AC92="SOFR","Floating (SOFR)","Fixed / All-In"))</f>
        <v>Floating (SOFR)</v>
      </c>
      <c r="AX92" s="33" t="n">
        <f aca="false">IF($D92="","",$AD92+SOFR)</f>
        <v>0.0815</v>
      </c>
      <c r="AY92" s="30" t="str">
        <f aca="false">IF($D92="","",IF($AF92="Waived","Waived",IF(ISNUMBER($AF92),IF($AF92&gt;AsOfDate,"In Place","Expired"),"None Reported")))</f>
        <v>In Place</v>
      </c>
      <c r="AZ92" s="30" t="str">
        <f aca="false">IF($D92="","",IF(ISNUMBER($AG92),IF($AG92=0,"None",$AG92&amp;" Months"),IF($AG92="","None Reported",$AG92)))</f>
        <v>6 Months</v>
      </c>
      <c r="BA92" s="27" t="str">
        <f aca="false">IF($D92="","",IF($AK92="","Unlevered",$AK92))</f>
        <v>GS CRE Notes 2025-HC4</v>
      </c>
      <c r="BB92" s="31" t="n">
        <f aca="false">IF($D92="","",SUM($AL92,$AO92))</f>
        <v>28648338.3281382</v>
      </c>
      <c r="BC92" s="32" t="n">
        <f aca="false">IF($D92="","",IF($P92&gt;0,$BB92/$P92,0))</f>
        <v>0.622789963655178</v>
      </c>
      <c r="BD92" s="34" t="n">
        <f aca="false">IF($D92="","",(AsOfDate-$AH92)/DaysPerMonth)</f>
        <v>4.04106776180698</v>
      </c>
      <c r="BE92" s="34" t="n">
        <f aca="false">IF($D92="","",($AI92-AsOfDate)/DaysPerMonth)</f>
        <v>21.0595482546201</v>
      </c>
      <c r="BF92" s="34" t="n">
        <f aca="false">IF($D92="","",($AJ92-AsOfDate)/DaysPerMonth)</f>
        <v>33.0513347022587</v>
      </c>
      <c r="BG92" s="34" t="n">
        <f aca="false">IF($D92="","",MAX(0,$BE92))</f>
        <v>21.0595482546201</v>
      </c>
      <c r="BH92" s="34" t="n">
        <f aca="false">IF($D92="","",MAX(0,$BF92))</f>
        <v>33.0513347022587</v>
      </c>
      <c r="BI92" s="77" t="n">
        <f aca="false">IF($D92="","",YEAR($AI92))</f>
        <v>2028</v>
      </c>
      <c r="BJ92" s="77" t="n">
        <f aca="false">IF($D92="","",YEAR($AJ92))</f>
        <v>2029</v>
      </c>
      <c r="BK92" s="77" t="n">
        <f aca="false">IF($D92="","",YEAR($AH92))</f>
        <v>2026</v>
      </c>
      <c r="BL92" s="78" t="n">
        <v>1986</v>
      </c>
      <c r="BM92" s="44" t="n">
        <f aca="false">IF($AT92=1,$P92+(1000-ROW())/1000000,0)</f>
        <v>46000000.000908</v>
      </c>
    </row>
    <row r="93" customFormat="false" ht="15" hidden="false" customHeight="false" outlineLevel="0" collapsed="false">
      <c r="B93" s="60" t="n">
        <v>89</v>
      </c>
      <c r="C93" s="61" t="n">
        <v>30307</v>
      </c>
      <c r="D93" s="62" t="s">
        <v>499</v>
      </c>
      <c r="E93" s="62" t="s">
        <v>73</v>
      </c>
      <c r="F93" s="62" t="s">
        <v>73</v>
      </c>
      <c r="G93" s="62" t="s">
        <v>85</v>
      </c>
      <c r="H93" s="62" t="s">
        <v>417</v>
      </c>
      <c r="I93" s="63" t="s">
        <v>500</v>
      </c>
      <c r="J93" s="63" t="s">
        <v>500</v>
      </c>
      <c r="K93" s="63" t="s">
        <v>485</v>
      </c>
      <c r="L93" s="60"/>
      <c r="M93" s="60" t="n">
        <v>238</v>
      </c>
      <c r="N93" s="63" t="s">
        <v>501</v>
      </c>
      <c r="O93" s="63" t="s">
        <v>311</v>
      </c>
      <c r="P93" s="64" t="n">
        <v>31000000</v>
      </c>
      <c r="Q93" s="64" t="n">
        <v>0</v>
      </c>
      <c r="R93" s="64" t="n">
        <v>31000000</v>
      </c>
      <c r="S93" s="64" t="n">
        <v>0</v>
      </c>
      <c r="T93" s="64" t="n">
        <v>31000000</v>
      </c>
      <c r="U93" s="64" t="n">
        <v>44800000</v>
      </c>
      <c r="V93" s="64" t="n">
        <v>48100000</v>
      </c>
      <c r="W93" s="65" t="n">
        <v>0.691964285714286</v>
      </c>
      <c r="X93" s="65" t="n">
        <v>0.644490644490645</v>
      </c>
      <c r="Y93" s="57" t="n">
        <v>0.0475</v>
      </c>
      <c r="Z93" s="57" t="n">
        <v>0.03</v>
      </c>
      <c r="AA93" s="57" t="n">
        <v>0</v>
      </c>
      <c r="AB93" s="57" t="n">
        <v>0</v>
      </c>
      <c r="AC93" s="63" t="s">
        <v>308</v>
      </c>
      <c r="AD93" s="57" t="n">
        <v>0.0475</v>
      </c>
      <c r="AE93" s="57" t="n">
        <v>0.05</v>
      </c>
      <c r="AF93" s="66" t="n">
        <v>46753</v>
      </c>
      <c r="AG93" s="63" t="n">
        <v>6</v>
      </c>
      <c r="AH93" s="66" t="n">
        <v>45999</v>
      </c>
      <c r="AI93" s="66" t="n">
        <v>46753</v>
      </c>
      <c r="AJ93" s="66" t="n">
        <v>47119</v>
      </c>
      <c r="AK93" s="62" t="s">
        <v>120</v>
      </c>
      <c r="AL93" s="64" t="n">
        <v>18255776.7689071</v>
      </c>
      <c r="AM93" s="57" t="n">
        <v>0.0207</v>
      </c>
      <c r="AN93" s="62"/>
      <c r="AO93" s="64"/>
      <c r="AP93" s="57"/>
      <c r="AQ93" s="64" t="n">
        <v>12744223.2310929</v>
      </c>
      <c r="AR93" s="65" t="n">
        <v>0.122390320738658</v>
      </c>
      <c r="AT93" s="26" t="n">
        <f aca="false">IF($D93="",0,IF(OR(StratFilter="All Loans",$E93=StratFilter),1,0))</f>
        <v>1</v>
      </c>
      <c r="AU93" s="18" t="str">
        <f aca="false">IF($D93="","",IFERROR(VLOOKUP(TRIM($K93),PropTypeMap,2,FALSE()),"Unmapped"))</f>
        <v>Skilled Nursing</v>
      </c>
      <c r="AV93" s="21" t="str">
        <f aca="false">IF($D93="","",IFERROR(VLOOKUP($J93,RegionMap,2,FALSE()),"Unmapped"))</f>
        <v>Southeast</v>
      </c>
      <c r="AW93" s="21" t="str">
        <f aca="false">IF($D93="","",IF($AC93="SOFR","Floating (SOFR)","Fixed / All-In"))</f>
        <v>Floating (SOFR)</v>
      </c>
      <c r="AX93" s="24" t="n">
        <f aca="false">IF($D93="","",$AD93+SOFR)</f>
        <v>0.084</v>
      </c>
      <c r="AY93" s="21" t="str">
        <f aca="false">IF($D93="","",IF($AF93="Waived","Waived",IF(ISNUMBER($AF93),IF($AF93&gt;AsOfDate,"In Place","Expired"),"None Reported")))</f>
        <v>In Place</v>
      </c>
      <c r="AZ93" s="21" t="str">
        <f aca="false">IF($D93="","",IF(ISNUMBER($AG93),IF($AG93=0,"None",$AG93&amp;" Months"),IF($AG93="","None Reported",$AG93)))</f>
        <v>6 Months</v>
      </c>
      <c r="BA93" s="18" t="str">
        <f aca="false">IF($D93="","",IF($AK93="","Unlevered",$AK93))</f>
        <v>GS CRE Notes 2025-HC4</v>
      </c>
      <c r="BB93" s="22" t="n">
        <f aca="false">IF($D93="","",SUM($AL93,$AO93))</f>
        <v>18255776.7689071</v>
      </c>
      <c r="BC93" s="23" t="n">
        <f aca="false">IF($D93="","",IF($P93&gt;0,$BB93/$P93,0))</f>
        <v>0.588896024803455</v>
      </c>
      <c r="BD93" s="25" t="n">
        <f aca="false">IF($D93="","",(AsOfDate-$AH93)/DaysPerMonth)</f>
        <v>6.70225872689938</v>
      </c>
      <c r="BE93" s="25" t="n">
        <f aca="false">IF($D93="","",($AI93-AsOfDate)/DaysPerMonth)</f>
        <v>18.0698151950719</v>
      </c>
      <c r="BF93" s="25" t="n">
        <f aca="false">IF($D93="","",($AJ93-AsOfDate)/DaysPerMonth)</f>
        <v>30.0944558521561</v>
      </c>
      <c r="BG93" s="25" t="n">
        <f aca="false">IF($D93="","",MAX(0,$BE93))</f>
        <v>18.0698151950719</v>
      </c>
      <c r="BH93" s="25" t="n">
        <f aca="false">IF($D93="","",MAX(0,$BF93))</f>
        <v>30.0944558521561</v>
      </c>
      <c r="BI93" s="67" t="n">
        <f aca="false">IF($D93="","",YEAR($AI93))</f>
        <v>2028</v>
      </c>
      <c r="BJ93" s="67" t="n">
        <f aca="false">IF($D93="","",YEAR($AJ93))</f>
        <v>2029</v>
      </c>
      <c r="BK93" s="67" t="n">
        <f aca="false">IF($D93="","",YEAR($AH93))</f>
        <v>2025</v>
      </c>
      <c r="BL93" s="68" t="n">
        <v>1976</v>
      </c>
      <c r="BM93" s="26" t="n">
        <f aca="false">IF($AT93=1,$P93+(1000-ROW())/1000000,0)</f>
        <v>31000000.000907</v>
      </c>
    </row>
    <row r="94" customFormat="false" ht="15" hidden="false" customHeight="false" outlineLevel="0" collapsed="false">
      <c r="B94" s="69" t="n">
        <v>90</v>
      </c>
      <c r="C94" s="70" t="n">
        <v>30268</v>
      </c>
      <c r="D94" s="71" t="s">
        <v>502</v>
      </c>
      <c r="E94" s="71" t="s">
        <v>73</v>
      </c>
      <c r="F94" s="71" t="s">
        <v>73</v>
      </c>
      <c r="G94" s="71" t="s">
        <v>85</v>
      </c>
      <c r="H94" s="71" t="s">
        <v>417</v>
      </c>
      <c r="I94" s="72" t="s">
        <v>503</v>
      </c>
      <c r="J94" s="72" t="s">
        <v>503</v>
      </c>
      <c r="K94" s="72" t="s">
        <v>485</v>
      </c>
      <c r="L94" s="69"/>
      <c r="M94" s="69" t="n">
        <v>622</v>
      </c>
      <c r="N94" s="72" t="s">
        <v>504</v>
      </c>
      <c r="O94" s="72" t="s">
        <v>505</v>
      </c>
      <c r="P94" s="73" t="n">
        <v>28197897</v>
      </c>
      <c r="Q94" s="73" t="n">
        <v>0</v>
      </c>
      <c r="R94" s="73" t="n">
        <v>28197897</v>
      </c>
      <c r="S94" s="73" t="n">
        <v>0</v>
      </c>
      <c r="T94" s="73" t="n">
        <v>29900000</v>
      </c>
      <c r="U94" s="73" t="n">
        <v>63510000</v>
      </c>
      <c r="V94" s="73" t="n">
        <v>63510000</v>
      </c>
      <c r="W94" s="74" t="n">
        <v>0.470792001259644</v>
      </c>
      <c r="X94" s="74" t="n">
        <v>0.470792001259644</v>
      </c>
      <c r="Y94" s="75" t="n">
        <v>0.0475</v>
      </c>
      <c r="Z94" s="75" t="n">
        <v>0.044</v>
      </c>
      <c r="AA94" s="75" t="n">
        <v>0.001</v>
      </c>
      <c r="AB94" s="75" t="n">
        <v>0</v>
      </c>
      <c r="AC94" s="72" t="s">
        <v>308</v>
      </c>
      <c r="AD94" s="75" t="n">
        <v>0.056</v>
      </c>
      <c r="AE94" s="75" t="n">
        <v>0.055</v>
      </c>
      <c r="AF94" s="76" t="n">
        <v>46388</v>
      </c>
      <c r="AG94" s="72" t="n">
        <v>6</v>
      </c>
      <c r="AH94" s="76" t="n">
        <v>45657</v>
      </c>
      <c r="AI94" s="76" t="n">
        <v>46388</v>
      </c>
      <c r="AJ94" s="76" t="n">
        <v>46753</v>
      </c>
      <c r="AK94" s="71" t="s">
        <v>120</v>
      </c>
      <c r="AL94" s="73" t="n">
        <v>16605629.4511173</v>
      </c>
      <c r="AM94" s="75" t="n">
        <v>0.0207</v>
      </c>
      <c r="AN94" s="71"/>
      <c r="AO94" s="73"/>
      <c r="AP94" s="75"/>
      <c r="AQ94" s="73" t="n">
        <v>11592267.5488827</v>
      </c>
      <c r="AR94" s="74" t="n">
        <v>0.143066355301292</v>
      </c>
      <c r="AT94" s="44" t="n">
        <f aca="false">IF($D94="",0,IF(OR(StratFilter="All Loans",$E94=StratFilter),1,0))</f>
        <v>1</v>
      </c>
      <c r="AU94" s="27" t="str">
        <f aca="false">IF($D94="","",IFERROR(VLOOKUP(TRIM($K94),PropTypeMap,2,FALSE()),"Unmapped"))</f>
        <v>Skilled Nursing</v>
      </c>
      <c r="AV94" s="30" t="str">
        <f aca="false">IF($D94="","",IFERROR(VLOOKUP($J94,RegionMap,2,FALSE()),"Unmapped"))</f>
        <v>Northeast</v>
      </c>
      <c r="AW94" s="30" t="str">
        <f aca="false">IF($D94="","",IF($AC94="SOFR","Floating (SOFR)","Fixed / All-In"))</f>
        <v>Floating (SOFR)</v>
      </c>
      <c r="AX94" s="33" t="n">
        <f aca="false">IF($D94="","",$AD94+SOFR)</f>
        <v>0.0925</v>
      </c>
      <c r="AY94" s="30" t="str">
        <f aca="false">IF($D94="","",IF($AF94="Waived","Waived",IF(ISNUMBER($AF94),IF($AF94&gt;AsOfDate,"In Place","Expired"),"None Reported")))</f>
        <v>In Place</v>
      </c>
      <c r="AZ94" s="30" t="str">
        <f aca="false">IF($D94="","",IF(ISNUMBER($AG94),IF($AG94=0,"None",$AG94&amp;" Months"),IF($AG94="","None Reported",$AG94)))</f>
        <v>6 Months</v>
      </c>
      <c r="BA94" s="27" t="str">
        <f aca="false">IF($D94="","",IF($AK94="","Unlevered",$AK94))</f>
        <v>GS CRE Notes 2025-HC4</v>
      </c>
      <c r="BB94" s="31" t="n">
        <f aca="false">IF($D94="","",SUM($AL94,$AO94))</f>
        <v>16605629.4511173</v>
      </c>
      <c r="BC94" s="32" t="n">
        <f aca="false">IF($D94="","",IF($P94&gt;0,$BB94/$P94,0))</f>
        <v>0.588896024803455</v>
      </c>
      <c r="BD94" s="34" t="n">
        <f aca="false">IF($D94="","",(AsOfDate-$AH94)/DaysPerMonth)</f>
        <v>17.9383983572895</v>
      </c>
      <c r="BE94" s="34" t="n">
        <f aca="false">IF($D94="","",($AI94-AsOfDate)/DaysPerMonth)</f>
        <v>6.07802874743327</v>
      </c>
      <c r="BF94" s="34" t="n">
        <f aca="false">IF($D94="","",($AJ94-AsOfDate)/DaysPerMonth)</f>
        <v>18.0698151950719</v>
      </c>
      <c r="BG94" s="34" t="n">
        <f aca="false">IF($D94="","",MAX(0,$BE94))</f>
        <v>6.07802874743327</v>
      </c>
      <c r="BH94" s="34" t="n">
        <f aca="false">IF($D94="","",MAX(0,$BF94))</f>
        <v>18.0698151950719</v>
      </c>
      <c r="BI94" s="77" t="n">
        <f aca="false">IF($D94="","",YEAR($AI94))</f>
        <v>2027</v>
      </c>
      <c r="BJ94" s="77" t="n">
        <f aca="false">IF($D94="","",YEAR($AJ94))</f>
        <v>2028</v>
      </c>
      <c r="BK94" s="77" t="n">
        <f aca="false">IF($D94="","",YEAR($AH94))</f>
        <v>2024</v>
      </c>
      <c r="BL94" s="78" t="n">
        <v>1925</v>
      </c>
      <c r="BM94" s="44" t="n">
        <f aca="false">IF($AT94=1,$P94+(1000-ROW())/1000000,0)</f>
        <v>28197897.000906</v>
      </c>
    </row>
    <row r="95" customFormat="false" ht="15" hidden="false" customHeight="false" outlineLevel="0" collapsed="false">
      <c r="B95" s="60" t="n">
        <v>91</v>
      </c>
      <c r="C95" s="61" t="n">
        <v>30317</v>
      </c>
      <c r="D95" s="62" t="s">
        <v>506</v>
      </c>
      <c r="E95" s="62" t="s">
        <v>73</v>
      </c>
      <c r="F95" s="62" t="s">
        <v>73</v>
      </c>
      <c r="G95" s="62" t="s">
        <v>85</v>
      </c>
      <c r="H95" s="62" t="s">
        <v>417</v>
      </c>
      <c r="I95" s="63" t="s">
        <v>507</v>
      </c>
      <c r="J95" s="63" t="s">
        <v>508</v>
      </c>
      <c r="K95" s="63" t="s">
        <v>509</v>
      </c>
      <c r="L95" s="60"/>
      <c r="M95" s="60" t="n">
        <v>126</v>
      </c>
      <c r="N95" s="63" t="s">
        <v>510</v>
      </c>
      <c r="O95" s="63" t="s">
        <v>311</v>
      </c>
      <c r="P95" s="64" t="n">
        <v>23500000</v>
      </c>
      <c r="Q95" s="64" t="n">
        <v>0</v>
      </c>
      <c r="R95" s="64" t="n">
        <v>23500000</v>
      </c>
      <c r="S95" s="64" t="n">
        <v>0</v>
      </c>
      <c r="T95" s="64" t="n">
        <v>23500000</v>
      </c>
      <c r="U95" s="64" t="n">
        <v>34900000</v>
      </c>
      <c r="V95" s="64" t="n">
        <v>34900000</v>
      </c>
      <c r="W95" s="65" t="n">
        <v>0.673352435530086</v>
      </c>
      <c r="X95" s="65" t="n">
        <v>0.673352435530086</v>
      </c>
      <c r="Y95" s="57" t="n">
        <v>0.0475</v>
      </c>
      <c r="Z95" s="57" t="n">
        <v>0.035</v>
      </c>
      <c r="AA95" s="57" t="n">
        <v>0</v>
      </c>
      <c r="AB95" s="57" t="n">
        <v>0</v>
      </c>
      <c r="AC95" s="63" t="s">
        <v>308</v>
      </c>
      <c r="AD95" s="57" t="n">
        <v>0.0475</v>
      </c>
      <c r="AE95" s="57" t="n">
        <v>0.05</v>
      </c>
      <c r="AF95" s="66" t="n">
        <v>46813</v>
      </c>
      <c r="AG95" s="63" t="n">
        <v>0</v>
      </c>
      <c r="AH95" s="66" t="n">
        <v>46057</v>
      </c>
      <c r="AI95" s="66" t="n">
        <v>46813</v>
      </c>
      <c r="AJ95" s="66" t="n">
        <v>47178</v>
      </c>
      <c r="AK95" s="62" t="s">
        <v>120</v>
      </c>
      <c r="AL95" s="64" t="n">
        <v>13839056.5828812</v>
      </c>
      <c r="AM95" s="57" t="n">
        <v>0.0207</v>
      </c>
      <c r="AN95" s="62"/>
      <c r="AO95" s="64"/>
      <c r="AP95" s="57"/>
      <c r="AQ95" s="64" t="n">
        <v>9660943.41711881</v>
      </c>
      <c r="AR95" s="65" t="n">
        <v>0.122390320738658</v>
      </c>
      <c r="AT95" s="26" t="n">
        <f aca="false">IF($D95="",0,IF(OR(StratFilter="All Loans",$E95=StratFilter),1,0))</f>
        <v>1</v>
      </c>
      <c r="AU95" s="18" t="str">
        <f aca="false">IF($D95="","",IFERROR(VLOOKUP(TRIM($K95),PropTypeMap,2,FALSE()),"Unmapped"))</f>
        <v>Assisted Living / Memory Care</v>
      </c>
      <c r="AV95" s="21" t="str">
        <f aca="false">IF($D95="","",IFERROR(VLOOKUP($J95,RegionMap,2,FALSE()),"Unmapped"))</f>
        <v>Pacific</v>
      </c>
      <c r="AW95" s="21" t="str">
        <f aca="false">IF($D95="","",IF($AC95="SOFR","Floating (SOFR)","Fixed / All-In"))</f>
        <v>Floating (SOFR)</v>
      </c>
      <c r="AX95" s="24" t="n">
        <f aca="false">IF($D95="","",$AD95+SOFR)</f>
        <v>0.084</v>
      </c>
      <c r="AY95" s="21" t="str">
        <f aca="false">IF($D95="","",IF($AF95="Waived","Waived",IF(ISNUMBER($AF95),IF($AF95&gt;AsOfDate,"In Place","Expired"),"None Reported")))</f>
        <v>In Place</v>
      </c>
      <c r="AZ95" s="21" t="str">
        <f aca="false">IF($D95="","",IF(ISNUMBER($AG95),IF($AG95=0,"None",$AG95&amp;" Months"),IF($AG95="","None Reported",$AG95)))</f>
        <v>None</v>
      </c>
      <c r="BA95" s="18" t="str">
        <f aca="false">IF($D95="","",IF($AK95="","Unlevered",$AK95))</f>
        <v>GS CRE Notes 2025-HC4</v>
      </c>
      <c r="BB95" s="22" t="n">
        <f aca="false">IF($D95="","",SUM($AL95,$AO95))</f>
        <v>13839056.5828812</v>
      </c>
      <c r="BC95" s="23" t="n">
        <f aca="false">IF($D95="","",IF($P95&gt;0,$BB95/$P95,0))</f>
        <v>0.588896024803455</v>
      </c>
      <c r="BD95" s="25" t="n">
        <f aca="false">IF($D95="","",(AsOfDate-$AH95)/DaysPerMonth)</f>
        <v>4.79671457905544</v>
      </c>
      <c r="BE95" s="25" t="n">
        <f aca="false">IF($D95="","",($AI95-AsOfDate)/DaysPerMonth)</f>
        <v>20.041067761807</v>
      </c>
      <c r="BF95" s="25" t="n">
        <f aca="false">IF($D95="","",($AJ95-AsOfDate)/DaysPerMonth)</f>
        <v>32.0328542094456</v>
      </c>
      <c r="BG95" s="25" t="n">
        <f aca="false">IF($D95="","",MAX(0,$BE95))</f>
        <v>20.041067761807</v>
      </c>
      <c r="BH95" s="25" t="n">
        <f aca="false">IF($D95="","",MAX(0,$BF95))</f>
        <v>32.0328542094456</v>
      </c>
      <c r="BI95" s="67" t="n">
        <f aca="false">IF($D95="","",YEAR($AI95))</f>
        <v>2028</v>
      </c>
      <c r="BJ95" s="67" t="n">
        <f aca="false">IF($D95="","",YEAR($AJ95))</f>
        <v>2029</v>
      </c>
      <c r="BK95" s="67" t="n">
        <f aca="false">IF($D95="","",YEAR($AH95))</f>
        <v>2026</v>
      </c>
      <c r="BL95" s="68" t="n">
        <v>2015</v>
      </c>
      <c r="BM95" s="26" t="n">
        <f aca="false">IF($AT95=1,$P95+(1000-ROW())/1000000,0)</f>
        <v>23500000.000905</v>
      </c>
    </row>
    <row r="96" customFormat="false" ht="15" hidden="false" customHeight="false" outlineLevel="0" collapsed="false">
      <c r="B96" s="69" t="n">
        <v>92</v>
      </c>
      <c r="C96" s="70" t="n">
        <v>30320</v>
      </c>
      <c r="D96" s="71" t="s">
        <v>511</v>
      </c>
      <c r="E96" s="71" t="s">
        <v>73</v>
      </c>
      <c r="F96" s="71" t="s">
        <v>73</v>
      </c>
      <c r="G96" s="71" t="s">
        <v>84</v>
      </c>
      <c r="H96" s="71" t="s">
        <v>417</v>
      </c>
      <c r="I96" s="72" t="s">
        <v>102</v>
      </c>
      <c r="J96" s="72" t="s">
        <v>102</v>
      </c>
      <c r="K96" s="72" t="s">
        <v>512</v>
      </c>
      <c r="L96" s="69"/>
      <c r="M96" s="69" t="n">
        <v>238</v>
      </c>
      <c r="N96" s="72" t="s">
        <v>513</v>
      </c>
      <c r="O96" s="72" t="s">
        <v>311</v>
      </c>
      <c r="P96" s="73" t="n">
        <v>22300000</v>
      </c>
      <c r="Q96" s="73" t="n">
        <v>0</v>
      </c>
      <c r="R96" s="73" t="n">
        <v>22300000</v>
      </c>
      <c r="S96" s="73" t="n">
        <v>0</v>
      </c>
      <c r="T96" s="73" t="n">
        <v>22300000</v>
      </c>
      <c r="U96" s="73" t="n">
        <v>32700000</v>
      </c>
      <c r="V96" s="73" t="n">
        <v>32700000</v>
      </c>
      <c r="W96" s="74" t="n">
        <v>0.681957186544343</v>
      </c>
      <c r="X96" s="74" t="n">
        <v>0.681957186544343</v>
      </c>
      <c r="Y96" s="75" t="n">
        <v>0.0435</v>
      </c>
      <c r="Z96" s="75" t="n">
        <v>0.035</v>
      </c>
      <c r="AA96" s="75" t="n">
        <v>0</v>
      </c>
      <c r="AB96" s="75" t="n">
        <v>0</v>
      </c>
      <c r="AC96" s="72" t="s">
        <v>308</v>
      </c>
      <c r="AD96" s="75" t="n">
        <v>0.0435</v>
      </c>
      <c r="AE96" s="75" t="n">
        <v>0.05</v>
      </c>
      <c r="AF96" s="76" t="n">
        <v>46784</v>
      </c>
      <c r="AG96" s="72" t="n">
        <v>0</v>
      </c>
      <c r="AH96" s="76" t="n">
        <v>46050</v>
      </c>
      <c r="AI96" s="76" t="n">
        <v>46813</v>
      </c>
      <c r="AJ96" s="76" t="n">
        <v>47178</v>
      </c>
      <c r="AK96" s="71" t="s">
        <v>120</v>
      </c>
      <c r="AL96" s="73" t="n">
        <v>13132381.3531171</v>
      </c>
      <c r="AM96" s="75" t="n">
        <v>0.0207</v>
      </c>
      <c r="AN96" s="71"/>
      <c r="AO96" s="73"/>
      <c r="AP96" s="75"/>
      <c r="AQ96" s="73" t="n">
        <v>9167618.64688295</v>
      </c>
      <c r="AR96" s="74" t="n">
        <v>0.112660422120948</v>
      </c>
      <c r="AT96" s="44" t="n">
        <f aca="false">IF($D96="",0,IF(OR(StratFilter="All Loans",$E96=StratFilter),1,0))</f>
        <v>1</v>
      </c>
      <c r="AU96" s="27" t="str">
        <f aca="false">IF($D96="","",IFERROR(VLOOKUP(TRIM($K96),PropTypeMap,2,FALSE()),"Unmapped"))</f>
        <v>Mixed SNF / Senior Living</v>
      </c>
      <c r="AV96" s="30" t="str">
        <f aca="false">IF($D96="","",IFERROR(VLOOKUP($J96,RegionMap,2,FALSE()),"Unmapped"))</f>
        <v>Midwest</v>
      </c>
      <c r="AW96" s="30" t="str">
        <f aca="false">IF($D96="","",IF($AC96="SOFR","Floating (SOFR)","Fixed / All-In"))</f>
        <v>Floating (SOFR)</v>
      </c>
      <c r="AX96" s="33" t="n">
        <f aca="false">IF($D96="","",$AD96+SOFR)</f>
        <v>0.08</v>
      </c>
      <c r="AY96" s="30" t="str">
        <f aca="false">IF($D96="","",IF($AF96="Waived","Waived",IF(ISNUMBER($AF96),IF($AF96&gt;AsOfDate,"In Place","Expired"),"None Reported")))</f>
        <v>In Place</v>
      </c>
      <c r="AZ96" s="30" t="str">
        <f aca="false">IF($D96="","",IF(ISNUMBER($AG96),IF($AG96=0,"None",$AG96&amp;" Months"),IF($AG96="","None Reported",$AG96)))</f>
        <v>None</v>
      </c>
      <c r="BA96" s="27" t="str">
        <f aca="false">IF($D96="","",IF($AK96="","Unlevered",$AK96))</f>
        <v>GS CRE Notes 2025-HC4</v>
      </c>
      <c r="BB96" s="31" t="n">
        <f aca="false">IF($D96="","",SUM($AL96,$AO96))</f>
        <v>13132381.3531171</v>
      </c>
      <c r="BC96" s="32" t="n">
        <f aca="false">IF($D96="","",IF($P96&gt;0,$BB96/$P96,0))</f>
        <v>0.588896024803455</v>
      </c>
      <c r="BD96" s="34" t="n">
        <f aca="false">IF($D96="","",(AsOfDate-$AH96)/DaysPerMonth)</f>
        <v>5.02669404517454</v>
      </c>
      <c r="BE96" s="34" t="n">
        <f aca="false">IF($D96="","",($AI96-AsOfDate)/DaysPerMonth)</f>
        <v>20.041067761807</v>
      </c>
      <c r="BF96" s="34" t="n">
        <f aca="false">IF($D96="","",($AJ96-AsOfDate)/DaysPerMonth)</f>
        <v>32.0328542094456</v>
      </c>
      <c r="BG96" s="34" t="n">
        <f aca="false">IF($D96="","",MAX(0,$BE96))</f>
        <v>20.041067761807</v>
      </c>
      <c r="BH96" s="34" t="n">
        <f aca="false">IF($D96="","",MAX(0,$BF96))</f>
        <v>32.0328542094456</v>
      </c>
      <c r="BI96" s="77" t="n">
        <f aca="false">IF($D96="","",YEAR($AI96))</f>
        <v>2028</v>
      </c>
      <c r="BJ96" s="77" t="n">
        <f aca="false">IF($D96="","",YEAR($AJ96))</f>
        <v>2029</v>
      </c>
      <c r="BK96" s="77" t="n">
        <f aca="false">IF($D96="","",YEAR($AH96))</f>
        <v>2026</v>
      </c>
      <c r="BL96" s="78" t="n">
        <v>1964</v>
      </c>
      <c r="BM96" s="44" t="n">
        <f aca="false">IF($AT96=1,$P96+(1000-ROW())/1000000,0)</f>
        <v>22300000.000904</v>
      </c>
    </row>
    <row r="97" customFormat="false" ht="15" hidden="false" customHeight="false" outlineLevel="0" collapsed="false">
      <c r="B97" s="60" t="n">
        <v>93</v>
      </c>
      <c r="C97" s="61" t="n">
        <v>30293</v>
      </c>
      <c r="D97" s="62" t="s">
        <v>514</v>
      </c>
      <c r="E97" s="62" t="s">
        <v>73</v>
      </c>
      <c r="F97" s="62" t="s">
        <v>73</v>
      </c>
      <c r="G97" s="62" t="s">
        <v>87</v>
      </c>
      <c r="H97" s="62" t="s">
        <v>515</v>
      </c>
      <c r="I97" s="63" t="s">
        <v>508</v>
      </c>
      <c r="J97" s="63" t="s">
        <v>508</v>
      </c>
      <c r="K97" s="63" t="s">
        <v>509</v>
      </c>
      <c r="L97" s="60"/>
      <c r="M97" s="60" t="n">
        <v>62</v>
      </c>
      <c r="N97" s="63" t="n">
        <v>1997</v>
      </c>
      <c r="O97" s="63" t="s">
        <v>516</v>
      </c>
      <c r="P97" s="64" t="n">
        <v>16200000</v>
      </c>
      <c r="Q97" s="64" t="n">
        <v>0</v>
      </c>
      <c r="R97" s="64" t="n">
        <v>16200000</v>
      </c>
      <c r="S97" s="64" t="n">
        <v>0</v>
      </c>
      <c r="T97" s="64" t="n">
        <v>16200000</v>
      </c>
      <c r="U97" s="64" t="n">
        <v>20800000</v>
      </c>
      <c r="V97" s="64" t="n">
        <v>20800000</v>
      </c>
      <c r="W97" s="65" t="n">
        <v>0.778846153846154</v>
      </c>
      <c r="X97" s="65" t="n">
        <v>0.778846153846154</v>
      </c>
      <c r="Y97" s="57" t="n">
        <v>0.0445</v>
      </c>
      <c r="Z97" s="57" t="n">
        <v>0.04</v>
      </c>
      <c r="AA97" s="57" t="n">
        <v>0.001</v>
      </c>
      <c r="AB97" s="57" t="n">
        <v>0</v>
      </c>
      <c r="AC97" s="63" t="s">
        <v>308</v>
      </c>
      <c r="AD97" s="57" t="n">
        <v>0.049</v>
      </c>
      <c r="AE97" s="57" t="n">
        <v>0.045</v>
      </c>
      <c r="AF97" s="66" t="n">
        <v>46600</v>
      </c>
      <c r="AG97" s="63" t="n">
        <v>6</v>
      </c>
      <c r="AH97" s="66" t="n">
        <v>45855</v>
      </c>
      <c r="AI97" s="66" t="n">
        <v>46600</v>
      </c>
      <c r="AJ97" s="66" t="n">
        <v>46966</v>
      </c>
      <c r="AK97" s="62" t="s">
        <v>120</v>
      </c>
      <c r="AL97" s="64" t="n">
        <v>9540115.60181597</v>
      </c>
      <c r="AM97" s="57" t="n">
        <v>0.0207</v>
      </c>
      <c r="AN97" s="62"/>
      <c r="AO97" s="64"/>
      <c r="AP97" s="57"/>
      <c r="AQ97" s="64" t="n">
        <v>6659884.39818403</v>
      </c>
      <c r="AR97" s="65" t="n">
        <v>0.126039032720299</v>
      </c>
      <c r="AT97" s="26" t="n">
        <f aca="false">IF($D97="",0,IF(OR(StratFilter="All Loans",$E97=StratFilter),1,0))</f>
        <v>1</v>
      </c>
      <c r="AU97" s="18" t="str">
        <f aca="false">IF($D97="","",IFERROR(VLOOKUP(TRIM($K97),PropTypeMap,2,FALSE()),"Unmapped"))</f>
        <v>Assisted Living / Memory Care</v>
      </c>
      <c r="AV97" s="21" t="str">
        <f aca="false">IF($D97="","",IFERROR(VLOOKUP($J97,RegionMap,2,FALSE()),"Unmapped"))</f>
        <v>Pacific</v>
      </c>
      <c r="AW97" s="21" t="str">
        <f aca="false">IF($D97="","",IF($AC97="SOFR","Floating (SOFR)","Fixed / All-In"))</f>
        <v>Floating (SOFR)</v>
      </c>
      <c r="AX97" s="24" t="n">
        <f aca="false">IF($D97="","",$AD97+SOFR)</f>
        <v>0.0855</v>
      </c>
      <c r="AY97" s="21" t="str">
        <f aca="false">IF($D97="","",IF($AF97="Waived","Waived",IF(ISNUMBER($AF97),IF($AF97&gt;AsOfDate,"In Place","Expired"),"None Reported")))</f>
        <v>In Place</v>
      </c>
      <c r="AZ97" s="21" t="str">
        <f aca="false">IF($D97="","",IF(ISNUMBER($AG97),IF($AG97=0,"None",$AG97&amp;" Months"),IF($AG97="","None Reported",$AG97)))</f>
        <v>6 Months</v>
      </c>
      <c r="BA97" s="18" t="str">
        <f aca="false">IF($D97="","",IF($AK97="","Unlevered",$AK97))</f>
        <v>GS CRE Notes 2025-HC4</v>
      </c>
      <c r="BB97" s="22" t="n">
        <f aca="false">IF($D97="","",SUM($AL97,$AO97))</f>
        <v>9540115.60181597</v>
      </c>
      <c r="BC97" s="23" t="n">
        <f aca="false">IF($D97="","",IF($P97&gt;0,$BB97/$P97,0))</f>
        <v>0.588896024803455</v>
      </c>
      <c r="BD97" s="25" t="n">
        <f aca="false">IF($D97="","",(AsOfDate-$AH97)/DaysPerMonth)</f>
        <v>11.4332648870637</v>
      </c>
      <c r="BE97" s="25" t="n">
        <f aca="false">IF($D97="","",($AI97-AsOfDate)/DaysPerMonth)</f>
        <v>13.0431211498973</v>
      </c>
      <c r="BF97" s="25" t="n">
        <f aca="false">IF($D97="","",($AJ97-AsOfDate)/DaysPerMonth)</f>
        <v>25.0677618069815</v>
      </c>
      <c r="BG97" s="25" t="n">
        <f aca="false">IF($D97="","",MAX(0,$BE97))</f>
        <v>13.0431211498973</v>
      </c>
      <c r="BH97" s="25" t="n">
        <f aca="false">IF($D97="","",MAX(0,$BF97))</f>
        <v>25.0677618069815</v>
      </c>
      <c r="BI97" s="67" t="n">
        <f aca="false">IF($D97="","",YEAR($AI97))</f>
        <v>2027</v>
      </c>
      <c r="BJ97" s="67" t="n">
        <f aca="false">IF($D97="","",YEAR($AJ97))</f>
        <v>2028</v>
      </c>
      <c r="BK97" s="67" t="n">
        <f aca="false">IF($D97="","",YEAR($AH97))</f>
        <v>2025</v>
      </c>
      <c r="BL97" s="68" t="n">
        <v>1997</v>
      </c>
      <c r="BM97" s="26" t="n">
        <f aca="false">IF($AT97=1,$P97+(1000-ROW())/1000000,0)</f>
        <v>16200000.000903</v>
      </c>
    </row>
    <row r="98" customFormat="false" ht="15" hidden="false" customHeight="false" outlineLevel="0" collapsed="false">
      <c r="B98" s="69" t="n">
        <v>94</v>
      </c>
      <c r="C98" s="70" t="n">
        <v>30300</v>
      </c>
      <c r="D98" s="71" t="s">
        <v>517</v>
      </c>
      <c r="E98" s="71" t="s">
        <v>73</v>
      </c>
      <c r="F98" s="71" t="s">
        <v>73</v>
      </c>
      <c r="G98" s="71" t="s">
        <v>88</v>
      </c>
      <c r="H98" s="71" t="s">
        <v>518</v>
      </c>
      <c r="I98" s="72" t="s">
        <v>378</v>
      </c>
      <c r="J98" s="72" t="s">
        <v>378</v>
      </c>
      <c r="K98" s="72" t="s">
        <v>485</v>
      </c>
      <c r="L98" s="69"/>
      <c r="M98" s="69" t="n">
        <v>85</v>
      </c>
      <c r="N98" s="72" t="s">
        <v>519</v>
      </c>
      <c r="O98" s="72" t="s">
        <v>311</v>
      </c>
      <c r="P98" s="73" t="n">
        <v>13500000</v>
      </c>
      <c r="Q98" s="73" t="n">
        <v>0</v>
      </c>
      <c r="R98" s="73" t="n">
        <v>13500000</v>
      </c>
      <c r="S98" s="73" t="n">
        <v>0</v>
      </c>
      <c r="T98" s="73" t="n">
        <v>13500000</v>
      </c>
      <c r="U98" s="73" t="n">
        <v>23400000</v>
      </c>
      <c r="V98" s="73" t="n">
        <v>27200000</v>
      </c>
      <c r="W98" s="74" t="n">
        <v>0.576923076923077</v>
      </c>
      <c r="X98" s="74" t="n">
        <v>0.496323529411765</v>
      </c>
      <c r="Y98" s="75" t="n">
        <v>0.0485</v>
      </c>
      <c r="Z98" s="75" t="n">
        <v>0.04</v>
      </c>
      <c r="AA98" s="75" t="n">
        <v>0</v>
      </c>
      <c r="AB98" s="75" t="n">
        <v>0</v>
      </c>
      <c r="AC98" s="72" t="s">
        <v>308</v>
      </c>
      <c r="AD98" s="75" t="n">
        <v>0.052</v>
      </c>
      <c r="AE98" s="75" t="n">
        <v>0.05</v>
      </c>
      <c r="AF98" s="76" t="n">
        <v>46631</v>
      </c>
      <c r="AG98" s="72" t="n">
        <v>6</v>
      </c>
      <c r="AH98" s="76" t="n">
        <v>45898</v>
      </c>
      <c r="AI98" s="76" t="n">
        <v>46631</v>
      </c>
      <c r="AJ98" s="76" t="n">
        <v>46997</v>
      </c>
      <c r="AK98" s="71" t="s">
        <v>120</v>
      </c>
      <c r="AL98" s="73" t="n">
        <v>7950096.33484664</v>
      </c>
      <c r="AM98" s="75" t="n">
        <v>0.0207</v>
      </c>
      <c r="AN98" s="71"/>
      <c r="AO98" s="73"/>
      <c r="AP98" s="75"/>
      <c r="AQ98" s="73" t="n">
        <v>5549903.66515336</v>
      </c>
      <c r="AR98" s="74" t="n">
        <v>0.133336456683582</v>
      </c>
      <c r="AT98" s="44" t="n">
        <f aca="false">IF($D98="",0,IF(OR(StratFilter="All Loans",$E98=StratFilter),1,0))</f>
        <v>1</v>
      </c>
      <c r="AU98" s="27" t="str">
        <f aca="false">IF($D98="","",IFERROR(VLOOKUP(TRIM($K98),PropTypeMap,2,FALSE()),"Unmapped"))</f>
        <v>Skilled Nursing</v>
      </c>
      <c r="AV98" s="30" t="str">
        <f aca="false">IF($D98="","",IFERROR(VLOOKUP($J98,RegionMap,2,FALSE()),"Unmapped"))</f>
        <v>Mountain</v>
      </c>
      <c r="AW98" s="30" t="str">
        <f aca="false">IF($D98="","",IF($AC98="SOFR","Floating (SOFR)","Fixed / All-In"))</f>
        <v>Floating (SOFR)</v>
      </c>
      <c r="AX98" s="33" t="n">
        <f aca="false">IF($D98="","",$AD98+SOFR)</f>
        <v>0.0885</v>
      </c>
      <c r="AY98" s="30" t="str">
        <f aca="false">IF($D98="","",IF($AF98="Waived","Waived",IF(ISNUMBER($AF98),IF($AF98&gt;AsOfDate,"In Place","Expired"),"None Reported")))</f>
        <v>In Place</v>
      </c>
      <c r="AZ98" s="30" t="str">
        <f aca="false">IF($D98="","",IF(ISNUMBER($AG98),IF($AG98=0,"None",$AG98&amp;" Months"),IF($AG98="","None Reported",$AG98)))</f>
        <v>6 Months</v>
      </c>
      <c r="BA98" s="27" t="str">
        <f aca="false">IF($D98="","",IF($AK98="","Unlevered",$AK98))</f>
        <v>GS CRE Notes 2025-HC4</v>
      </c>
      <c r="BB98" s="31" t="n">
        <f aca="false">IF($D98="","",SUM($AL98,$AO98))</f>
        <v>7950096.33484664</v>
      </c>
      <c r="BC98" s="32" t="n">
        <f aca="false">IF($D98="","",IF($P98&gt;0,$BB98/$P98,0))</f>
        <v>0.588896024803455</v>
      </c>
      <c r="BD98" s="34" t="n">
        <f aca="false">IF($D98="","",(AsOfDate-$AH98)/DaysPerMonth)</f>
        <v>10.0205338809035</v>
      </c>
      <c r="BE98" s="34" t="n">
        <f aca="false">IF($D98="","",($AI98-AsOfDate)/DaysPerMonth)</f>
        <v>14.0616016427105</v>
      </c>
      <c r="BF98" s="34" t="n">
        <f aca="false">IF($D98="","",($AJ98-AsOfDate)/DaysPerMonth)</f>
        <v>26.0862422997947</v>
      </c>
      <c r="BG98" s="34" t="n">
        <f aca="false">IF($D98="","",MAX(0,$BE98))</f>
        <v>14.0616016427105</v>
      </c>
      <c r="BH98" s="34" t="n">
        <f aca="false">IF($D98="","",MAX(0,$BF98))</f>
        <v>26.0862422997947</v>
      </c>
      <c r="BI98" s="77" t="n">
        <f aca="false">IF($D98="","",YEAR($AI98))</f>
        <v>2027</v>
      </c>
      <c r="BJ98" s="77" t="n">
        <f aca="false">IF($D98="","",YEAR($AJ98))</f>
        <v>2028</v>
      </c>
      <c r="BK98" s="77" t="n">
        <f aca="false">IF($D98="","",YEAR($AH98))</f>
        <v>2025</v>
      </c>
      <c r="BL98" s="78" t="n">
        <v>2019</v>
      </c>
      <c r="BM98" s="44" t="n">
        <f aca="false">IF($AT98=1,$P98+(1000-ROW())/1000000,0)</f>
        <v>13500000.000902</v>
      </c>
    </row>
    <row r="99" customFormat="false" ht="15" hidden="false" customHeight="false" outlineLevel="0" collapsed="false">
      <c r="B99" s="60" t="n">
        <v>95</v>
      </c>
      <c r="C99" s="61" t="n">
        <v>30299</v>
      </c>
      <c r="D99" s="62" t="s">
        <v>520</v>
      </c>
      <c r="E99" s="62" t="s">
        <v>73</v>
      </c>
      <c r="F99" s="62" t="s">
        <v>73</v>
      </c>
      <c r="G99" s="62" t="s">
        <v>88</v>
      </c>
      <c r="H99" s="62" t="s">
        <v>417</v>
      </c>
      <c r="I99" s="63" t="s">
        <v>97</v>
      </c>
      <c r="J99" s="63" t="s">
        <v>97</v>
      </c>
      <c r="K99" s="63" t="s">
        <v>521</v>
      </c>
      <c r="L99" s="60"/>
      <c r="M99" s="60" t="n">
        <v>105</v>
      </c>
      <c r="N99" s="63" t="s">
        <v>307</v>
      </c>
      <c r="O99" s="63" t="s">
        <v>311</v>
      </c>
      <c r="P99" s="64" t="n">
        <v>11100000</v>
      </c>
      <c r="Q99" s="64" t="n">
        <v>0</v>
      </c>
      <c r="R99" s="64" t="n">
        <v>11100000</v>
      </c>
      <c r="S99" s="64" t="n">
        <v>0</v>
      </c>
      <c r="T99" s="64" t="n">
        <v>11100000</v>
      </c>
      <c r="U99" s="64" t="n">
        <v>14100000</v>
      </c>
      <c r="V99" s="64" t="n">
        <v>15200000</v>
      </c>
      <c r="W99" s="65" t="n">
        <v>0.787234042553192</v>
      </c>
      <c r="X99" s="65" t="n">
        <v>0.730263157894737</v>
      </c>
      <c r="Y99" s="57" t="n">
        <v>0.0475</v>
      </c>
      <c r="Z99" s="57" t="n">
        <v>0.04</v>
      </c>
      <c r="AA99" s="57" t="n">
        <v>0.001</v>
      </c>
      <c r="AB99" s="57" t="n">
        <v>0</v>
      </c>
      <c r="AC99" s="63" t="s">
        <v>308</v>
      </c>
      <c r="AD99" s="57" t="n">
        <v>0.052</v>
      </c>
      <c r="AE99" s="57" t="n">
        <v>0.05</v>
      </c>
      <c r="AF99" s="66" t="n">
        <v>46631</v>
      </c>
      <c r="AG99" s="63" t="n">
        <v>6</v>
      </c>
      <c r="AH99" s="66" t="n">
        <v>45884</v>
      </c>
      <c r="AI99" s="66" t="n">
        <v>46631</v>
      </c>
      <c r="AJ99" s="66" t="n">
        <v>46997</v>
      </c>
      <c r="AK99" s="62" t="s">
        <v>120</v>
      </c>
      <c r="AL99" s="64" t="n">
        <v>6536745.87531835</v>
      </c>
      <c r="AM99" s="57" t="n">
        <v>0.0207</v>
      </c>
      <c r="AN99" s="62"/>
      <c r="AO99" s="64"/>
      <c r="AP99" s="57"/>
      <c r="AQ99" s="64" t="n">
        <v>4563254.12468165</v>
      </c>
      <c r="AR99" s="65" t="n">
        <v>0.133336456683582</v>
      </c>
      <c r="AT99" s="26" t="n">
        <f aca="false">IF($D99="",0,IF(OR(StratFilter="All Loans",$E99=StratFilter),1,0))</f>
        <v>1</v>
      </c>
      <c r="AU99" s="18" t="str">
        <f aca="false">IF($D99="","",IFERROR(VLOOKUP(TRIM($K99),PropTypeMap,2,FALSE()),"Unmapped"))</f>
        <v>Assisted Living / Memory Care</v>
      </c>
      <c r="AV99" s="21" t="str">
        <f aca="false">IF($D99="","",IFERROR(VLOOKUP($J99,RegionMap,2,FALSE()),"Unmapped"))</f>
        <v>Southeast</v>
      </c>
      <c r="AW99" s="21" t="str">
        <f aca="false">IF($D99="","",IF($AC99="SOFR","Floating (SOFR)","Fixed / All-In"))</f>
        <v>Floating (SOFR)</v>
      </c>
      <c r="AX99" s="24" t="n">
        <f aca="false">IF($D99="","",$AD99+SOFR)</f>
        <v>0.0885</v>
      </c>
      <c r="AY99" s="21" t="str">
        <f aca="false">IF($D99="","",IF($AF99="Waived","Waived",IF(ISNUMBER($AF99),IF($AF99&gt;AsOfDate,"In Place","Expired"),"None Reported")))</f>
        <v>In Place</v>
      </c>
      <c r="AZ99" s="21" t="str">
        <f aca="false">IF($D99="","",IF(ISNUMBER($AG99),IF($AG99=0,"None",$AG99&amp;" Months"),IF($AG99="","None Reported",$AG99)))</f>
        <v>6 Months</v>
      </c>
      <c r="BA99" s="18" t="str">
        <f aca="false">IF($D99="","",IF($AK99="","Unlevered",$AK99))</f>
        <v>GS CRE Notes 2025-HC4</v>
      </c>
      <c r="BB99" s="22" t="n">
        <f aca="false">IF($D99="","",SUM($AL99,$AO99))</f>
        <v>6536745.87531835</v>
      </c>
      <c r="BC99" s="23" t="n">
        <f aca="false">IF($D99="","",IF($P99&gt;0,$BB99/$P99,0))</f>
        <v>0.588896024803455</v>
      </c>
      <c r="BD99" s="25" t="n">
        <f aca="false">IF($D99="","",(AsOfDate-$AH99)/DaysPerMonth)</f>
        <v>10.4804928131417</v>
      </c>
      <c r="BE99" s="25" t="n">
        <f aca="false">IF($D99="","",($AI99-AsOfDate)/DaysPerMonth)</f>
        <v>14.0616016427105</v>
      </c>
      <c r="BF99" s="25" t="n">
        <f aca="false">IF($D99="","",($AJ99-AsOfDate)/DaysPerMonth)</f>
        <v>26.0862422997947</v>
      </c>
      <c r="BG99" s="25" t="n">
        <f aca="false">IF($D99="","",MAX(0,$BE99))</f>
        <v>14.0616016427105</v>
      </c>
      <c r="BH99" s="25" t="n">
        <f aca="false">IF($D99="","",MAX(0,$BF99))</f>
        <v>26.0862422997947</v>
      </c>
      <c r="BI99" s="67" t="n">
        <f aca="false">IF($D99="","",YEAR($AI99))</f>
        <v>2027</v>
      </c>
      <c r="BJ99" s="67" t="n">
        <f aca="false">IF($D99="","",YEAR($AJ99))</f>
        <v>2028</v>
      </c>
      <c r="BK99" s="67" t="n">
        <f aca="false">IF($D99="","",YEAR($AH99))</f>
        <v>2025</v>
      </c>
      <c r="BL99" s="68"/>
      <c r="BM99" s="26" t="n">
        <f aca="false">IF($AT99=1,$P99+(1000-ROW())/1000000,0)</f>
        <v>11100000.000901</v>
      </c>
    </row>
    <row r="100" customFormat="false" ht="15" hidden="false" customHeight="false" outlineLevel="0" collapsed="false">
      <c r="B100" s="69" t="n">
        <v>96</v>
      </c>
      <c r="C100" s="70" t="n">
        <v>30287</v>
      </c>
      <c r="D100" s="71" t="s">
        <v>522</v>
      </c>
      <c r="E100" s="71" t="s">
        <v>73</v>
      </c>
      <c r="F100" s="71" t="s">
        <v>73</v>
      </c>
      <c r="G100" s="71" t="s">
        <v>86</v>
      </c>
      <c r="H100" s="71" t="s">
        <v>523</v>
      </c>
      <c r="I100" s="72" t="s">
        <v>104</v>
      </c>
      <c r="J100" s="72" t="s">
        <v>104</v>
      </c>
      <c r="K100" s="72" t="s">
        <v>509</v>
      </c>
      <c r="L100" s="69"/>
      <c r="M100" s="69" t="n">
        <v>48</v>
      </c>
      <c r="N100" s="72" t="n">
        <v>2001</v>
      </c>
      <c r="O100" s="72" t="s">
        <v>311</v>
      </c>
      <c r="P100" s="73" t="n">
        <v>9700000</v>
      </c>
      <c r="Q100" s="73" t="n">
        <v>0</v>
      </c>
      <c r="R100" s="73" t="n">
        <v>9700000</v>
      </c>
      <c r="S100" s="73" t="n">
        <v>0</v>
      </c>
      <c r="T100" s="73" t="n">
        <v>9700000</v>
      </c>
      <c r="U100" s="73" t="n">
        <v>12400000</v>
      </c>
      <c r="V100" s="73" t="n">
        <v>12400000</v>
      </c>
      <c r="W100" s="74" t="n">
        <v>0.782258064516129</v>
      </c>
      <c r="X100" s="74" t="n">
        <v>0.782258064516129</v>
      </c>
      <c r="Y100" s="75" t="n">
        <v>0.0475</v>
      </c>
      <c r="Z100" s="75" t="n">
        <v>0.04</v>
      </c>
      <c r="AA100" s="75" t="n">
        <v>0.001</v>
      </c>
      <c r="AB100" s="75" t="n">
        <v>0</v>
      </c>
      <c r="AC100" s="72" t="s">
        <v>308</v>
      </c>
      <c r="AD100" s="75" t="n">
        <v>0.052</v>
      </c>
      <c r="AE100" s="75" t="n">
        <v>0.045</v>
      </c>
      <c r="AF100" s="76" t="n">
        <v>46569</v>
      </c>
      <c r="AG100" s="72" t="n">
        <v>6</v>
      </c>
      <c r="AH100" s="76" t="n">
        <v>45834</v>
      </c>
      <c r="AI100" s="76" t="n">
        <v>46569</v>
      </c>
      <c r="AJ100" s="76" t="n">
        <v>46935</v>
      </c>
      <c r="AK100" s="71" t="s">
        <v>120</v>
      </c>
      <c r="AL100" s="73" t="n">
        <v>5712291.44059351</v>
      </c>
      <c r="AM100" s="75" t="n">
        <v>0.0207</v>
      </c>
      <c r="AN100" s="71"/>
      <c r="AO100" s="73"/>
      <c r="AP100" s="75"/>
      <c r="AQ100" s="73" t="n">
        <v>3987708.55940649</v>
      </c>
      <c r="AR100" s="74" t="n">
        <v>0.133336456683582</v>
      </c>
      <c r="AT100" s="44" t="n">
        <f aca="false">IF($D100="",0,IF(OR(StratFilter="All Loans",$E100=StratFilter),1,0))</f>
        <v>1</v>
      </c>
      <c r="AU100" s="27" t="str">
        <f aca="false">IF($D100="","",IFERROR(VLOOKUP(TRIM($K100),PropTypeMap,2,FALSE()),"Unmapped"))</f>
        <v>Assisted Living / Memory Care</v>
      </c>
      <c r="AV100" s="30" t="str">
        <f aca="false">IF($D100="","",IFERROR(VLOOKUP($J100,RegionMap,2,FALSE()),"Unmapped"))</f>
        <v>Pacific</v>
      </c>
      <c r="AW100" s="30" t="str">
        <f aca="false">IF($D100="","",IF($AC100="SOFR","Floating (SOFR)","Fixed / All-In"))</f>
        <v>Floating (SOFR)</v>
      </c>
      <c r="AX100" s="33" t="n">
        <f aca="false">IF($D100="","",$AD100+SOFR)</f>
        <v>0.0885</v>
      </c>
      <c r="AY100" s="30" t="str">
        <f aca="false">IF($D100="","",IF($AF100="Waived","Waived",IF(ISNUMBER($AF100),IF($AF100&gt;AsOfDate,"In Place","Expired"),"None Reported")))</f>
        <v>In Place</v>
      </c>
      <c r="AZ100" s="30" t="str">
        <f aca="false">IF($D100="","",IF(ISNUMBER($AG100),IF($AG100=0,"None",$AG100&amp;" Months"),IF($AG100="","None Reported",$AG100)))</f>
        <v>6 Months</v>
      </c>
      <c r="BA100" s="27" t="str">
        <f aca="false">IF($D100="","",IF($AK100="","Unlevered",$AK100))</f>
        <v>GS CRE Notes 2025-HC4</v>
      </c>
      <c r="BB100" s="31" t="n">
        <f aca="false">IF($D100="","",SUM($AL100,$AO100))</f>
        <v>5712291.44059351</v>
      </c>
      <c r="BC100" s="32" t="n">
        <f aca="false">IF($D100="","",IF($P100&gt;0,$BB100/$P100,0))</f>
        <v>0.588896024803455</v>
      </c>
      <c r="BD100" s="34" t="n">
        <f aca="false">IF($D100="","",(AsOfDate-$AH100)/DaysPerMonth)</f>
        <v>12.1232032854209</v>
      </c>
      <c r="BE100" s="34" t="n">
        <f aca="false">IF($D100="","",($AI100-AsOfDate)/DaysPerMonth)</f>
        <v>12.0246406570842</v>
      </c>
      <c r="BF100" s="34" t="n">
        <f aca="false">IF($D100="","",($AJ100-AsOfDate)/DaysPerMonth)</f>
        <v>24.0492813141684</v>
      </c>
      <c r="BG100" s="34" t="n">
        <f aca="false">IF($D100="","",MAX(0,$BE100))</f>
        <v>12.0246406570842</v>
      </c>
      <c r="BH100" s="34" t="n">
        <f aca="false">IF($D100="","",MAX(0,$BF100))</f>
        <v>24.0492813141684</v>
      </c>
      <c r="BI100" s="77" t="n">
        <f aca="false">IF($D100="","",YEAR($AI100))</f>
        <v>2027</v>
      </c>
      <c r="BJ100" s="77" t="n">
        <f aca="false">IF($D100="","",YEAR($AJ100))</f>
        <v>2028</v>
      </c>
      <c r="BK100" s="77" t="n">
        <f aca="false">IF($D100="","",YEAR($AH100))</f>
        <v>2025</v>
      </c>
      <c r="BL100" s="78" t="n">
        <v>2001</v>
      </c>
      <c r="BM100" s="44" t="n">
        <f aca="false">IF($AT100=1,$P100+(1000-ROW())/1000000,0)</f>
        <v>9700000.0009</v>
      </c>
    </row>
    <row r="101" customFormat="false" ht="15" hidden="false" customHeight="false" outlineLevel="0" collapsed="false">
      <c r="B101" s="60" t="n">
        <v>97</v>
      </c>
      <c r="C101" s="61" t="n">
        <v>30221</v>
      </c>
      <c r="D101" s="62" t="s">
        <v>524</v>
      </c>
      <c r="E101" s="62" t="s">
        <v>73</v>
      </c>
      <c r="F101" s="62" t="s">
        <v>73</v>
      </c>
      <c r="G101" s="62" t="s">
        <v>88</v>
      </c>
      <c r="H101" s="62" t="s">
        <v>525</v>
      </c>
      <c r="I101" s="63" t="s">
        <v>103</v>
      </c>
      <c r="J101" s="63" t="s">
        <v>103</v>
      </c>
      <c r="K101" s="63" t="s">
        <v>526</v>
      </c>
      <c r="L101" s="60"/>
      <c r="M101" s="60" t="n">
        <v>316</v>
      </c>
      <c r="N101" s="63" t="s">
        <v>527</v>
      </c>
      <c r="O101" s="63" t="s">
        <v>528</v>
      </c>
      <c r="P101" s="64" t="n">
        <v>9400000</v>
      </c>
      <c r="Q101" s="64" t="n">
        <v>0</v>
      </c>
      <c r="R101" s="64" t="n">
        <v>9400000</v>
      </c>
      <c r="S101" s="64" t="n">
        <v>0</v>
      </c>
      <c r="T101" s="64" t="n">
        <v>9400000</v>
      </c>
      <c r="U101" s="64" t="n">
        <v>13700000</v>
      </c>
      <c r="V101" s="64" t="n">
        <v>21900000</v>
      </c>
      <c r="W101" s="65" t="n">
        <v>0.686131386861314</v>
      </c>
      <c r="X101" s="65" t="n">
        <v>0.429223744292237</v>
      </c>
      <c r="Y101" s="57" t="n">
        <v>0.0795</v>
      </c>
      <c r="Z101" s="57" t="n">
        <v>0.0533</v>
      </c>
      <c r="AA101" s="57" t="n">
        <v>0.001</v>
      </c>
      <c r="AB101" s="57" t="n">
        <v>0.02</v>
      </c>
      <c r="AC101" s="63" t="s">
        <v>308</v>
      </c>
      <c r="AD101" s="57" t="n">
        <v>0.1173</v>
      </c>
      <c r="AE101" s="57"/>
      <c r="AF101" s="66"/>
      <c r="AG101" s="63" t="n">
        <v>12</v>
      </c>
      <c r="AH101" s="66" t="n">
        <v>45247</v>
      </c>
      <c r="AI101" s="66" t="n">
        <v>45992</v>
      </c>
      <c r="AJ101" s="66" t="n">
        <v>46357</v>
      </c>
      <c r="AK101" s="62" t="s">
        <v>120</v>
      </c>
      <c r="AL101" s="64" t="n">
        <v>5535622.63315248</v>
      </c>
      <c r="AM101" s="57" t="n">
        <v>0.0207</v>
      </c>
      <c r="AN101" s="62"/>
      <c r="AO101" s="64"/>
      <c r="AP101" s="57"/>
      <c r="AQ101" s="64" t="n">
        <v>3864377.36684752</v>
      </c>
      <c r="AR101" s="65" t="n">
        <v>0.2921770516177</v>
      </c>
      <c r="AT101" s="26" t="n">
        <f aca="false">IF($D101="",0,IF(OR(StratFilter="All Loans",$E101=StratFilter),1,0))</f>
        <v>1</v>
      </c>
      <c r="AU101" s="18" t="str">
        <f aca="false">IF($D101="","",IFERROR(VLOOKUP(TRIM($K101),PropTypeMap,2,FALSE()),"Unmapped"))</f>
        <v>Mixed SNF / Senior Living</v>
      </c>
      <c r="AV101" s="21" t="str">
        <f aca="false">IF($D101="","",IFERROR(VLOOKUP($J101,RegionMap,2,FALSE()),"Unmapped"))</f>
        <v>Southeast</v>
      </c>
      <c r="AW101" s="21" t="str">
        <f aca="false">IF($D101="","",IF($AC101="SOFR","Floating (SOFR)","Fixed / All-In"))</f>
        <v>Floating (SOFR)</v>
      </c>
      <c r="AX101" s="24" t="n">
        <f aca="false">IF($D101="","",$AD101+SOFR)</f>
        <v>0.1538</v>
      </c>
      <c r="AY101" s="21" t="str">
        <f aca="false">IF($D101="","",IF($AF101="Waived","Waived",IF(ISNUMBER($AF101),IF($AF101&gt;AsOfDate,"In Place","Expired"),"None Reported")))</f>
        <v>None Reported</v>
      </c>
      <c r="AZ101" s="21" t="str">
        <f aca="false">IF($D101="","",IF(ISNUMBER($AG101),IF($AG101=0,"None",$AG101&amp;" Months"),IF($AG101="","None Reported",$AG101)))</f>
        <v>12 Months</v>
      </c>
      <c r="BA101" s="18" t="str">
        <f aca="false">IF($D101="","",IF($AK101="","Unlevered",$AK101))</f>
        <v>GS CRE Notes 2025-HC4</v>
      </c>
      <c r="BB101" s="22" t="n">
        <f aca="false">IF($D101="","",SUM($AL101,$AO101))</f>
        <v>5535622.63315248</v>
      </c>
      <c r="BC101" s="23" t="n">
        <f aca="false">IF($D101="","",IF($P101&gt;0,$BB101/$P101,0))</f>
        <v>0.588896024803455</v>
      </c>
      <c r="BD101" s="25" t="n">
        <f aca="false">IF($D101="","",(AsOfDate-$AH101)/DaysPerMonth)</f>
        <v>31.4086242299795</v>
      </c>
      <c r="BE101" s="25" t="n">
        <f aca="false">IF($D101="","",($AI101-AsOfDate)/DaysPerMonth)</f>
        <v>-6.93223819301848</v>
      </c>
      <c r="BF101" s="25" t="n">
        <f aca="false">IF($D101="","",($AJ101-AsOfDate)/DaysPerMonth)</f>
        <v>5.05954825462012</v>
      </c>
      <c r="BG101" s="25" t="n">
        <f aca="false">IF($D101="","",MAX(0,$BE101))</f>
        <v>0</v>
      </c>
      <c r="BH101" s="25" t="n">
        <f aca="false">IF($D101="","",MAX(0,$BF101))</f>
        <v>5.05954825462012</v>
      </c>
      <c r="BI101" s="67" t="n">
        <f aca="false">IF($D101="","",YEAR($AI101))</f>
        <v>2025</v>
      </c>
      <c r="BJ101" s="67" t="n">
        <f aca="false">IF($D101="","",YEAR($AJ101))</f>
        <v>2026</v>
      </c>
      <c r="BK101" s="67" t="n">
        <f aca="false">IF($D101="","",YEAR($AH101))</f>
        <v>2023</v>
      </c>
      <c r="BL101" s="68" t="n">
        <v>1959</v>
      </c>
      <c r="BM101" s="26" t="n">
        <f aca="false">IF($AT101=1,$P101+(1000-ROW())/1000000,0)</f>
        <v>9400000.000899</v>
      </c>
    </row>
    <row r="102" customFormat="false" ht="15" hidden="false" customHeight="false" outlineLevel="0" collapsed="false">
      <c r="B102" s="69" t="n">
        <v>98</v>
      </c>
      <c r="C102" s="70" t="n">
        <v>30290</v>
      </c>
      <c r="D102" s="71" t="s">
        <v>529</v>
      </c>
      <c r="E102" s="71" t="s">
        <v>73</v>
      </c>
      <c r="F102" s="71" t="s">
        <v>73</v>
      </c>
      <c r="G102" s="71" t="s">
        <v>85</v>
      </c>
      <c r="H102" s="71" t="s">
        <v>530</v>
      </c>
      <c r="I102" s="72" t="s">
        <v>94</v>
      </c>
      <c r="J102" s="72" t="s">
        <v>94</v>
      </c>
      <c r="K102" s="72" t="s">
        <v>485</v>
      </c>
      <c r="L102" s="69"/>
      <c r="M102" s="69" t="n">
        <v>59</v>
      </c>
      <c r="N102" s="72" t="s">
        <v>531</v>
      </c>
      <c r="O102" s="72" t="s">
        <v>311</v>
      </c>
      <c r="P102" s="73" t="n">
        <v>8850000</v>
      </c>
      <c r="Q102" s="73" t="n">
        <v>0</v>
      </c>
      <c r="R102" s="73" t="n">
        <v>8850000</v>
      </c>
      <c r="S102" s="73" t="n">
        <v>0</v>
      </c>
      <c r="T102" s="73" t="n">
        <v>8850000</v>
      </c>
      <c r="U102" s="73" t="n">
        <v>12000000</v>
      </c>
      <c r="V102" s="73" t="n">
        <v>12000000</v>
      </c>
      <c r="W102" s="74" t="n">
        <v>0.7375</v>
      </c>
      <c r="X102" s="74" t="n">
        <v>0.7375</v>
      </c>
      <c r="Y102" s="75" t="n">
        <v>0.0525</v>
      </c>
      <c r="Z102" s="75" t="n">
        <v>0.04</v>
      </c>
      <c r="AA102" s="75" t="n">
        <v>0.001</v>
      </c>
      <c r="AB102" s="75" t="n">
        <v>0</v>
      </c>
      <c r="AC102" s="72" t="s">
        <v>308</v>
      </c>
      <c r="AD102" s="75" t="n">
        <v>0.057</v>
      </c>
      <c r="AE102" s="75" t="n">
        <v>0.0625</v>
      </c>
      <c r="AF102" s="76" t="n">
        <v>46569</v>
      </c>
      <c r="AG102" s="72" t="n">
        <v>6</v>
      </c>
      <c r="AH102" s="76" t="n">
        <v>45839</v>
      </c>
      <c r="AI102" s="76" t="n">
        <v>46569</v>
      </c>
      <c r="AJ102" s="76" t="n">
        <v>46935</v>
      </c>
      <c r="AK102" s="71" t="s">
        <v>120</v>
      </c>
      <c r="AL102" s="73" t="n">
        <v>5211729.81951058</v>
      </c>
      <c r="AM102" s="75" t="n">
        <v>0.0207</v>
      </c>
      <c r="AN102" s="71"/>
      <c r="AO102" s="73"/>
      <c r="AP102" s="75"/>
      <c r="AQ102" s="73" t="n">
        <v>3638270.18048942</v>
      </c>
      <c r="AR102" s="74" t="n">
        <v>0.145498829955719</v>
      </c>
      <c r="AT102" s="44" t="n">
        <f aca="false">IF($D102="",0,IF(OR(StratFilter="All Loans",$E102=StratFilter),1,0))</f>
        <v>1</v>
      </c>
      <c r="AU102" s="27" t="str">
        <f aca="false">IF($D102="","",IFERROR(VLOOKUP(TRIM($K102),PropTypeMap,2,FALSE()),"Unmapped"))</f>
        <v>Skilled Nursing</v>
      </c>
      <c r="AV102" s="30" t="str">
        <f aca="false">IF($D102="","",IFERROR(VLOOKUP($J102,RegionMap,2,FALSE()),"Unmapped"))</f>
        <v>Pacific</v>
      </c>
      <c r="AW102" s="30" t="str">
        <f aca="false">IF($D102="","",IF($AC102="SOFR","Floating (SOFR)","Fixed / All-In"))</f>
        <v>Floating (SOFR)</v>
      </c>
      <c r="AX102" s="33" t="n">
        <f aca="false">IF($D102="","",$AD102+SOFR)</f>
        <v>0.0935</v>
      </c>
      <c r="AY102" s="30" t="str">
        <f aca="false">IF($D102="","",IF($AF102="Waived","Waived",IF(ISNUMBER($AF102),IF($AF102&gt;AsOfDate,"In Place","Expired"),"None Reported")))</f>
        <v>In Place</v>
      </c>
      <c r="AZ102" s="30" t="str">
        <f aca="false">IF($D102="","",IF(ISNUMBER($AG102),IF($AG102=0,"None",$AG102&amp;" Months"),IF($AG102="","None Reported",$AG102)))</f>
        <v>6 Months</v>
      </c>
      <c r="BA102" s="27" t="str">
        <f aca="false">IF($D102="","",IF($AK102="","Unlevered",$AK102))</f>
        <v>GS CRE Notes 2025-HC4</v>
      </c>
      <c r="BB102" s="31" t="n">
        <f aca="false">IF($D102="","",SUM($AL102,$AO102))</f>
        <v>5211729.81951058</v>
      </c>
      <c r="BC102" s="32" t="n">
        <f aca="false">IF($D102="","",IF($P102&gt;0,$BB102/$P102,0))</f>
        <v>0.588896024803455</v>
      </c>
      <c r="BD102" s="34" t="n">
        <f aca="false">IF($D102="","",(AsOfDate-$AH102)/DaysPerMonth)</f>
        <v>11.958932238193</v>
      </c>
      <c r="BE102" s="34" t="n">
        <f aca="false">IF($D102="","",($AI102-AsOfDate)/DaysPerMonth)</f>
        <v>12.0246406570842</v>
      </c>
      <c r="BF102" s="34" t="n">
        <f aca="false">IF($D102="","",($AJ102-AsOfDate)/DaysPerMonth)</f>
        <v>24.0492813141684</v>
      </c>
      <c r="BG102" s="34" t="n">
        <f aca="false">IF($D102="","",MAX(0,$BE102))</f>
        <v>12.0246406570842</v>
      </c>
      <c r="BH102" s="34" t="n">
        <f aca="false">IF($D102="","",MAX(0,$BF102))</f>
        <v>24.0492813141684</v>
      </c>
      <c r="BI102" s="77" t="n">
        <f aca="false">IF($D102="","",YEAR($AI102))</f>
        <v>2027</v>
      </c>
      <c r="BJ102" s="77" t="n">
        <f aca="false">IF($D102="","",YEAR($AJ102))</f>
        <v>2028</v>
      </c>
      <c r="BK102" s="77" t="n">
        <f aca="false">IF($D102="","",YEAR($AH102))</f>
        <v>2025</v>
      </c>
      <c r="BL102" s="78" t="n">
        <v>1966</v>
      </c>
      <c r="BM102" s="44" t="n">
        <f aca="false">IF($AT102=1,$P102+(1000-ROW())/1000000,0)</f>
        <v>8850000.000898</v>
      </c>
    </row>
    <row r="103" customFormat="false" ht="15" hidden="false" customHeight="false" outlineLevel="0" collapsed="false">
      <c r="B103" s="60" t="n">
        <v>99</v>
      </c>
      <c r="C103" s="61" t="n">
        <v>30223</v>
      </c>
      <c r="D103" s="62" t="s">
        <v>532</v>
      </c>
      <c r="E103" s="62" t="s">
        <v>73</v>
      </c>
      <c r="F103" s="62" t="s">
        <v>73</v>
      </c>
      <c r="G103" s="62" t="s">
        <v>87</v>
      </c>
      <c r="H103" s="62" t="s">
        <v>533</v>
      </c>
      <c r="I103" s="63" t="s">
        <v>534</v>
      </c>
      <c r="J103" s="63" t="s">
        <v>534</v>
      </c>
      <c r="K103" s="63" t="s">
        <v>535</v>
      </c>
      <c r="L103" s="60"/>
      <c r="M103" s="60" t="n">
        <v>95</v>
      </c>
      <c r="N103" s="63" t="s">
        <v>536</v>
      </c>
      <c r="O103" s="63" t="s">
        <v>537</v>
      </c>
      <c r="P103" s="64" t="n">
        <v>8000000</v>
      </c>
      <c r="Q103" s="64" t="n">
        <v>0</v>
      </c>
      <c r="R103" s="64" t="n">
        <v>8000000</v>
      </c>
      <c r="S103" s="64" t="n">
        <v>0</v>
      </c>
      <c r="T103" s="64" t="n">
        <v>8000000</v>
      </c>
      <c r="U103" s="64" t="n">
        <v>13500000</v>
      </c>
      <c r="V103" s="64" t="n">
        <v>13500000</v>
      </c>
      <c r="W103" s="65" t="n">
        <v>0.592592592592593</v>
      </c>
      <c r="X103" s="65" t="n">
        <v>0.592592592592593</v>
      </c>
      <c r="Y103" s="57" t="n">
        <v>0.0485</v>
      </c>
      <c r="Z103" s="57" t="n">
        <v>0.053</v>
      </c>
      <c r="AA103" s="57" t="n">
        <v>0.001</v>
      </c>
      <c r="AB103" s="57" t="n">
        <v>0.01</v>
      </c>
      <c r="AC103" s="63" t="s">
        <v>308</v>
      </c>
      <c r="AD103" s="57" t="n">
        <v>0.076</v>
      </c>
      <c r="AE103" s="57" t="n">
        <v>0.06</v>
      </c>
      <c r="AF103" s="66" t="n">
        <v>46357</v>
      </c>
      <c r="AG103" s="63" t="n">
        <v>6</v>
      </c>
      <c r="AH103" s="66" t="n">
        <v>45261</v>
      </c>
      <c r="AI103" s="66" t="n">
        <v>46023</v>
      </c>
      <c r="AJ103" s="66" t="n">
        <v>46388</v>
      </c>
      <c r="AK103" s="62" t="s">
        <v>120</v>
      </c>
      <c r="AL103" s="64" t="n">
        <v>4711168.19842764</v>
      </c>
      <c r="AM103" s="57" t="n">
        <v>0.0207</v>
      </c>
      <c r="AN103" s="62"/>
      <c r="AO103" s="64"/>
      <c r="AP103" s="57"/>
      <c r="AQ103" s="64" t="n">
        <v>3288831.80157236</v>
      </c>
      <c r="AR103" s="65" t="n">
        <v>0.191715848389843</v>
      </c>
      <c r="AT103" s="26" t="n">
        <f aca="false">IF($D103="",0,IF(OR(StratFilter="All Loans",$E103=StratFilter),1,0))</f>
        <v>1</v>
      </c>
      <c r="AU103" s="18" t="str">
        <f aca="false">IF($D103="","",IFERROR(VLOOKUP(TRIM($K103),PropTypeMap,2,FALSE()),"Unmapped"))</f>
        <v>Mixed SNF / Senior Living</v>
      </c>
      <c r="AV103" s="21" t="str">
        <f aca="false">IF($D103="","",IFERROR(VLOOKUP($J103,RegionMap,2,FALSE()),"Unmapped"))</f>
        <v>Northeast</v>
      </c>
      <c r="AW103" s="21" t="str">
        <f aca="false">IF($D103="","",IF($AC103="SOFR","Floating (SOFR)","Fixed / All-In"))</f>
        <v>Floating (SOFR)</v>
      </c>
      <c r="AX103" s="24" t="n">
        <f aca="false">IF($D103="","",$AD103+SOFR)</f>
        <v>0.1125</v>
      </c>
      <c r="AY103" s="21" t="str">
        <f aca="false">IF($D103="","",IF($AF103="Waived","Waived",IF(ISNUMBER($AF103),IF($AF103&gt;AsOfDate,"In Place","Expired"),"None Reported")))</f>
        <v>In Place</v>
      </c>
      <c r="AZ103" s="21" t="str">
        <f aca="false">IF($D103="","",IF(ISNUMBER($AG103),IF($AG103=0,"None",$AG103&amp;" Months"),IF($AG103="","None Reported",$AG103)))</f>
        <v>6 Months</v>
      </c>
      <c r="BA103" s="18" t="str">
        <f aca="false">IF($D103="","",IF($AK103="","Unlevered",$AK103))</f>
        <v>GS CRE Notes 2025-HC4</v>
      </c>
      <c r="BB103" s="22" t="n">
        <f aca="false">IF($D103="","",SUM($AL103,$AO103))</f>
        <v>4711168.19842764</v>
      </c>
      <c r="BC103" s="23" t="n">
        <f aca="false">IF($D103="","",IF($P103&gt;0,$BB103/$P103,0))</f>
        <v>0.588896024803455</v>
      </c>
      <c r="BD103" s="25" t="n">
        <f aca="false">IF($D103="","",(AsOfDate-$AH103)/DaysPerMonth)</f>
        <v>30.9486652977413</v>
      </c>
      <c r="BE103" s="25" t="n">
        <f aca="false">IF($D103="","",($AI103-AsOfDate)/DaysPerMonth)</f>
        <v>-5.91375770020534</v>
      </c>
      <c r="BF103" s="25" t="n">
        <f aca="false">IF($D103="","",($AJ103-AsOfDate)/DaysPerMonth)</f>
        <v>6.07802874743327</v>
      </c>
      <c r="BG103" s="25" t="n">
        <f aca="false">IF($D103="","",MAX(0,$BE103))</f>
        <v>0</v>
      </c>
      <c r="BH103" s="25" t="n">
        <f aca="false">IF($D103="","",MAX(0,$BF103))</f>
        <v>6.07802874743327</v>
      </c>
      <c r="BI103" s="67" t="n">
        <f aca="false">IF($D103="","",YEAR($AI103))</f>
        <v>2026</v>
      </c>
      <c r="BJ103" s="67" t="n">
        <f aca="false">IF($D103="","",YEAR($AJ103))</f>
        <v>2027</v>
      </c>
      <c r="BK103" s="67" t="n">
        <f aca="false">IF($D103="","",YEAR($AH103))</f>
        <v>2023</v>
      </c>
      <c r="BL103" s="68" t="n">
        <v>1952</v>
      </c>
      <c r="BM103" s="26" t="n">
        <f aca="false">IF($AT103=1,$P103+(1000-ROW())/1000000,0)</f>
        <v>8000000.000897</v>
      </c>
    </row>
    <row r="104" customFormat="false" ht="15" hidden="false" customHeight="false" outlineLevel="0" collapsed="false">
      <c r="B104" s="69" t="n">
        <v>100</v>
      </c>
      <c r="C104" s="70" t="n">
        <v>30283</v>
      </c>
      <c r="D104" s="71" t="s">
        <v>538</v>
      </c>
      <c r="E104" s="71" t="s">
        <v>73</v>
      </c>
      <c r="F104" s="71" t="s">
        <v>73</v>
      </c>
      <c r="G104" s="71" t="s">
        <v>86</v>
      </c>
      <c r="H104" s="71" t="s">
        <v>539</v>
      </c>
      <c r="I104" s="72" t="s">
        <v>94</v>
      </c>
      <c r="J104" s="72" t="s">
        <v>94</v>
      </c>
      <c r="K104" s="72" t="s">
        <v>540</v>
      </c>
      <c r="L104" s="69"/>
      <c r="M104" s="69" t="n">
        <v>78</v>
      </c>
      <c r="N104" s="72" t="n">
        <v>2001</v>
      </c>
      <c r="O104" s="72" t="n">
        <v>2012</v>
      </c>
      <c r="P104" s="73" t="n">
        <v>7400000</v>
      </c>
      <c r="Q104" s="73" t="n">
        <v>0</v>
      </c>
      <c r="R104" s="73" t="n">
        <v>7400000</v>
      </c>
      <c r="S104" s="73" t="n">
        <v>0</v>
      </c>
      <c r="T104" s="73" t="n">
        <v>7400000</v>
      </c>
      <c r="U104" s="73" t="n">
        <v>10700000</v>
      </c>
      <c r="V104" s="73" t="n">
        <v>10800000</v>
      </c>
      <c r="W104" s="74" t="n">
        <v>0.691588785046729</v>
      </c>
      <c r="X104" s="74" t="n">
        <v>0.685185185185185</v>
      </c>
      <c r="Y104" s="75" t="n">
        <v>0.0475</v>
      </c>
      <c r="Z104" s="75" t="n">
        <v>0.04</v>
      </c>
      <c r="AA104" s="75" t="n">
        <v>0.001</v>
      </c>
      <c r="AB104" s="75" t="n">
        <v>0</v>
      </c>
      <c r="AC104" s="72" t="s">
        <v>308</v>
      </c>
      <c r="AD104" s="75" t="n">
        <v>0.052</v>
      </c>
      <c r="AE104" s="75" t="n">
        <v>0.0525</v>
      </c>
      <c r="AF104" s="76" t="n">
        <v>46539</v>
      </c>
      <c r="AG104" s="72" t="n">
        <v>6</v>
      </c>
      <c r="AH104" s="76" t="n">
        <v>45790</v>
      </c>
      <c r="AI104" s="76" t="n">
        <v>46539</v>
      </c>
      <c r="AJ104" s="76" t="n">
        <v>46905</v>
      </c>
      <c r="AK104" s="71" t="s">
        <v>120</v>
      </c>
      <c r="AL104" s="73" t="n">
        <v>4357830.58354557</v>
      </c>
      <c r="AM104" s="75" t="n">
        <v>0.0207</v>
      </c>
      <c r="AN104" s="71"/>
      <c r="AO104" s="73"/>
      <c r="AP104" s="75"/>
      <c r="AQ104" s="73" t="n">
        <v>3042169.41645443</v>
      </c>
      <c r="AR104" s="74" t="n">
        <v>0.133336456683582</v>
      </c>
      <c r="AT104" s="44" t="n">
        <f aca="false">IF($D104="",0,IF(OR(StratFilter="All Loans",$E104=StratFilter),1,0))</f>
        <v>1</v>
      </c>
      <c r="AU104" s="27" t="str">
        <f aca="false">IF($D104="","",IFERROR(VLOOKUP(TRIM($K104),PropTypeMap,2,FALSE()),"Unmapped"))</f>
        <v>Assisted Living / Memory Care</v>
      </c>
      <c r="AV104" s="30" t="str">
        <f aca="false">IF($D104="","",IFERROR(VLOOKUP($J104,RegionMap,2,FALSE()),"Unmapped"))</f>
        <v>Pacific</v>
      </c>
      <c r="AW104" s="30" t="str">
        <f aca="false">IF($D104="","",IF($AC104="SOFR","Floating (SOFR)","Fixed / All-In"))</f>
        <v>Floating (SOFR)</v>
      </c>
      <c r="AX104" s="33" t="n">
        <f aca="false">IF($D104="","",$AD104+SOFR)</f>
        <v>0.0885</v>
      </c>
      <c r="AY104" s="30" t="str">
        <f aca="false">IF($D104="","",IF($AF104="Waived","Waived",IF(ISNUMBER($AF104),IF($AF104&gt;AsOfDate,"In Place","Expired"),"None Reported")))</f>
        <v>In Place</v>
      </c>
      <c r="AZ104" s="30" t="str">
        <f aca="false">IF($D104="","",IF(ISNUMBER($AG104),IF($AG104=0,"None",$AG104&amp;" Months"),IF($AG104="","None Reported",$AG104)))</f>
        <v>6 Months</v>
      </c>
      <c r="BA104" s="27" t="str">
        <f aca="false">IF($D104="","",IF($AK104="","Unlevered",$AK104))</f>
        <v>GS CRE Notes 2025-HC4</v>
      </c>
      <c r="BB104" s="31" t="n">
        <f aca="false">IF($D104="","",SUM($AL104,$AO104))</f>
        <v>4357830.58354557</v>
      </c>
      <c r="BC104" s="32" t="n">
        <f aca="false">IF($D104="","",IF($P104&gt;0,$BB104/$P104,0))</f>
        <v>0.588896024803455</v>
      </c>
      <c r="BD104" s="34" t="n">
        <f aca="false">IF($D104="","",(AsOfDate-$AH104)/DaysPerMonth)</f>
        <v>13.5687885010267</v>
      </c>
      <c r="BE104" s="34" t="n">
        <f aca="false">IF($D104="","",($AI104-AsOfDate)/DaysPerMonth)</f>
        <v>11.0390143737166</v>
      </c>
      <c r="BF104" s="34" t="n">
        <f aca="false">IF($D104="","",($AJ104-AsOfDate)/DaysPerMonth)</f>
        <v>23.0636550308008</v>
      </c>
      <c r="BG104" s="34" t="n">
        <f aca="false">IF($D104="","",MAX(0,$BE104))</f>
        <v>11.0390143737166</v>
      </c>
      <c r="BH104" s="34" t="n">
        <f aca="false">IF($D104="","",MAX(0,$BF104))</f>
        <v>23.0636550308008</v>
      </c>
      <c r="BI104" s="77" t="n">
        <f aca="false">IF($D104="","",YEAR($AI104))</f>
        <v>2027</v>
      </c>
      <c r="BJ104" s="77" t="n">
        <f aca="false">IF($D104="","",YEAR($AJ104))</f>
        <v>2028</v>
      </c>
      <c r="BK104" s="77" t="n">
        <f aca="false">IF($D104="","",YEAR($AH104))</f>
        <v>2025</v>
      </c>
      <c r="BL104" s="78" t="n">
        <v>2001</v>
      </c>
      <c r="BM104" s="44" t="n">
        <f aca="false">IF($AT104=1,$P104+(1000-ROW())/1000000,0)</f>
        <v>7400000.000896</v>
      </c>
    </row>
    <row r="105" customFormat="false" ht="15" hidden="false" customHeight="false" outlineLevel="0" collapsed="false">
      <c r="B105" s="60" t="n">
        <v>101</v>
      </c>
      <c r="C105" s="61" t="n">
        <v>30274</v>
      </c>
      <c r="D105" s="62" t="s">
        <v>541</v>
      </c>
      <c r="E105" s="62" t="s">
        <v>73</v>
      </c>
      <c r="F105" s="62" t="s">
        <v>73</v>
      </c>
      <c r="G105" s="62" t="s">
        <v>88</v>
      </c>
      <c r="H105" s="62" t="s">
        <v>542</v>
      </c>
      <c r="I105" s="63" t="s">
        <v>92</v>
      </c>
      <c r="J105" s="63" t="s">
        <v>92</v>
      </c>
      <c r="K105" s="63" t="s">
        <v>543</v>
      </c>
      <c r="L105" s="60"/>
      <c r="M105" s="60" t="n">
        <v>187</v>
      </c>
      <c r="N105" s="63" t="n">
        <v>2016</v>
      </c>
      <c r="O105" s="63" t="s">
        <v>311</v>
      </c>
      <c r="P105" s="64" t="n">
        <v>7000000</v>
      </c>
      <c r="Q105" s="64" t="n">
        <v>0</v>
      </c>
      <c r="R105" s="64" t="n">
        <v>7000000</v>
      </c>
      <c r="S105" s="64" t="n">
        <v>0</v>
      </c>
      <c r="T105" s="64" t="n">
        <v>7000000</v>
      </c>
      <c r="U105" s="64" t="n">
        <v>9700000</v>
      </c>
      <c r="V105" s="64" t="n">
        <v>10800000</v>
      </c>
      <c r="W105" s="65" t="n">
        <v>0.721018762886598</v>
      </c>
      <c r="X105" s="65" t="n">
        <v>0.648148148148148</v>
      </c>
      <c r="Y105" s="57" t="n">
        <v>0.0475</v>
      </c>
      <c r="Z105" s="57" t="n">
        <v>0.043</v>
      </c>
      <c r="AA105" s="57" t="n">
        <v>0.001</v>
      </c>
      <c r="AB105" s="57" t="n">
        <v>0</v>
      </c>
      <c r="AC105" s="63" t="s">
        <v>308</v>
      </c>
      <c r="AD105" s="57" t="n">
        <v>0.055</v>
      </c>
      <c r="AE105" s="57" t="n">
        <v>0.0525</v>
      </c>
      <c r="AF105" s="66" t="n">
        <v>46419</v>
      </c>
      <c r="AG105" s="63" t="n">
        <v>6</v>
      </c>
      <c r="AH105" s="66" t="n">
        <v>45688</v>
      </c>
      <c r="AI105" s="66" t="n">
        <v>46419</v>
      </c>
      <c r="AJ105" s="66" t="n">
        <v>46784</v>
      </c>
      <c r="AK105" s="62" t="s">
        <v>120</v>
      </c>
      <c r="AL105" s="64" t="n">
        <v>4122272.17362419</v>
      </c>
      <c r="AM105" s="57" t="n">
        <v>0.0207</v>
      </c>
      <c r="AN105" s="62"/>
      <c r="AO105" s="64"/>
      <c r="AP105" s="57"/>
      <c r="AQ105" s="64" t="n">
        <v>2877727.82637582</v>
      </c>
      <c r="AR105" s="65" t="n">
        <v>0.140633880646864</v>
      </c>
      <c r="AT105" s="26" t="n">
        <f aca="false">IF($D105="",0,IF(OR(StratFilter="All Loans",$E105=StratFilter),1,0))</f>
        <v>1</v>
      </c>
      <c r="AU105" s="18" t="str">
        <f aca="false">IF($D105="","",IFERROR(VLOOKUP(TRIM($K105),PropTypeMap,2,FALSE()),"Unmapped"))</f>
        <v>Assisted Living / Memory Care</v>
      </c>
      <c r="AV105" s="21" t="str">
        <f aca="false">IF($D105="","",IFERROR(VLOOKUP($J105,RegionMap,2,FALSE()),"Unmapped"))</f>
        <v>Southwest</v>
      </c>
      <c r="AW105" s="21" t="str">
        <f aca="false">IF($D105="","",IF($AC105="SOFR","Floating (SOFR)","Fixed / All-In"))</f>
        <v>Floating (SOFR)</v>
      </c>
      <c r="AX105" s="24" t="n">
        <f aca="false">IF($D105="","",$AD105+SOFR)</f>
        <v>0.0915</v>
      </c>
      <c r="AY105" s="21" t="str">
        <f aca="false">IF($D105="","",IF($AF105="Waived","Waived",IF(ISNUMBER($AF105),IF($AF105&gt;AsOfDate,"In Place","Expired"),"None Reported")))</f>
        <v>In Place</v>
      </c>
      <c r="AZ105" s="21" t="str">
        <f aca="false">IF($D105="","",IF(ISNUMBER($AG105),IF($AG105=0,"None",$AG105&amp;" Months"),IF($AG105="","None Reported",$AG105)))</f>
        <v>6 Months</v>
      </c>
      <c r="BA105" s="18" t="str">
        <f aca="false">IF($D105="","",IF($AK105="","Unlevered",$AK105))</f>
        <v>GS CRE Notes 2025-HC4</v>
      </c>
      <c r="BB105" s="22" t="n">
        <f aca="false">IF($D105="","",SUM($AL105,$AO105))</f>
        <v>4122272.17362419</v>
      </c>
      <c r="BC105" s="23" t="n">
        <f aca="false">IF($D105="","",IF($P105&gt;0,$BB105/$P105,0))</f>
        <v>0.588896024803455</v>
      </c>
      <c r="BD105" s="25" t="n">
        <f aca="false">IF($D105="","",(AsOfDate-$AH105)/DaysPerMonth)</f>
        <v>16.9199178644764</v>
      </c>
      <c r="BE105" s="25" t="n">
        <f aca="false">IF($D105="","",($AI105-AsOfDate)/DaysPerMonth)</f>
        <v>7.09650924024641</v>
      </c>
      <c r="BF105" s="25" t="n">
        <f aca="false">IF($D105="","",($AJ105-AsOfDate)/DaysPerMonth)</f>
        <v>19.088295687885</v>
      </c>
      <c r="BG105" s="25" t="n">
        <f aca="false">IF($D105="","",MAX(0,$BE105))</f>
        <v>7.09650924024641</v>
      </c>
      <c r="BH105" s="25" t="n">
        <f aca="false">IF($D105="","",MAX(0,$BF105))</f>
        <v>19.088295687885</v>
      </c>
      <c r="BI105" s="67" t="n">
        <f aca="false">IF($D105="","",YEAR($AI105))</f>
        <v>2027</v>
      </c>
      <c r="BJ105" s="67" t="n">
        <f aca="false">IF($D105="","",YEAR($AJ105))</f>
        <v>2028</v>
      </c>
      <c r="BK105" s="67" t="n">
        <f aca="false">IF($D105="","",YEAR($AH105))</f>
        <v>2025</v>
      </c>
      <c r="BL105" s="68" t="n">
        <v>2016</v>
      </c>
      <c r="BM105" s="26" t="n">
        <f aca="false">IF($AT105=1,$P105+(1000-ROW())/1000000,0)</f>
        <v>7000000.000895</v>
      </c>
    </row>
    <row r="106" customFormat="false" ht="15" hidden="false" customHeight="false" outlineLevel="0" collapsed="false">
      <c r="B106" s="69" t="n">
        <v>102</v>
      </c>
      <c r="C106" s="70" t="n">
        <v>30304</v>
      </c>
      <c r="D106" s="71" t="s">
        <v>544</v>
      </c>
      <c r="E106" s="71" t="s">
        <v>73</v>
      </c>
      <c r="F106" s="71" t="s">
        <v>73</v>
      </c>
      <c r="G106" s="71" t="s">
        <v>84</v>
      </c>
      <c r="H106" s="71" t="s">
        <v>417</v>
      </c>
      <c r="I106" s="72" t="s">
        <v>96</v>
      </c>
      <c r="J106" s="72" t="s">
        <v>96</v>
      </c>
      <c r="K106" s="72" t="s">
        <v>545</v>
      </c>
      <c r="L106" s="69"/>
      <c r="M106" s="69" t="n">
        <v>153</v>
      </c>
      <c r="N106" s="72" t="s">
        <v>546</v>
      </c>
      <c r="O106" s="72" t="s">
        <v>311</v>
      </c>
      <c r="P106" s="73" t="n">
        <v>46650000</v>
      </c>
      <c r="Q106" s="73" t="n">
        <v>0</v>
      </c>
      <c r="R106" s="73" t="n">
        <v>46650000</v>
      </c>
      <c r="S106" s="73" t="n">
        <v>0</v>
      </c>
      <c r="T106" s="73" t="n">
        <v>46650000</v>
      </c>
      <c r="U106" s="73" t="n">
        <v>76400000</v>
      </c>
      <c r="V106" s="73" t="n">
        <v>76400000</v>
      </c>
      <c r="W106" s="74" t="n">
        <v>0.610602094240838</v>
      </c>
      <c r="X106" s="74" t="n">
        <v>0.610602094240838</v>
      </c>
      <c r="Y106" s="75" t="n">
        <v>0.0485</v>
      </c>
      <c r="Z106" s="75" t="n">
        <v>0.04</v>
      </c>
      <c r="AA106" s="75" t="n">
        <v>0</v>
      </c>
      <c r="AB106" s="75" t="n">
        <v>0</v>
      </c>
      <c r="AC106" s="72" t="s">
        <v>308</v>
      </c>
      <c r="AD106" s="75" t="n">
        <v>0.052</v>
      </c>
      <c r="AE106" s="75" t="n">
        <v>0.055</v>
      </c>
      <c r="AF106" s="76" t="n">
        <v>46844</v>
      </c>
      <c r="AG106" s="72" t="n">
        <v>6</v>
      </c>
      <c r="AH106" s="76" t="n">
        <v>46091</v>
      </c>
      <c r="AI106" s="76" t="n">
        <v>46844</v>
      </c>
      <c r="AJ106" s="76" t="n">
        <v>47209</v>
      </c>
      <c r="AK106" s="71" t="s">
        <v>123</v>
      </c>
      <c r="AL106" s="73" t="n">
        <v>37320000</v>
      </c>
      <c r="AM106" s="75" t="n">
        <v>0.03</v>
      </c>
      <c r="AN106" s="71"/>
      <c r="AO106" s="73"/>
      <c r="AP106" s="75"/>
      <c r="AQ106" s="73" t="n">
        <v>9330000</v>
      </c>
      <c r="AR106" s="74" t="n">
        <v>0.1765</v>
      </c>
      <c r="AT106" s="44" t="n">
        <f aca="false">IF($D106="",0,IF(OR(StratFilter="All Loans",$E106=StratFilter),1,0))</f>
        <v>1</v>
      </c>
      <c r="AU106" s="27" t="str">
        <f aca="false">IF($D106="","",IFERROR(VLOOKUP(TRIM($K106),PropTypeMap,2,FALSE()),"Unmapped"))</f>
        <v>Assisted Living / Memory Care</v>
      </c>
      <c r="AV106" s="30" t="str">
        <f aca="false">IF($D106="","",IFERROR(VLOOKUP($J106,RegionMap,2,FALSE()),"Unmapped"))</f>
        <v>Midwest</v>
      </c>
      <c r="AW106" s="30" t="str">
        <f aca="false">IF($D106="","",IF($AC106="SOFR","Floating (SOFR)","Fixed / All-In"))</f>
        <v>Floating (SOFR)</v>
      </c>
      <c r="AX106" s="33" t="n">
        <f aca="false">IF($D106="","",$AD106+SOFR)</f>
        <v>0.0885</v>
      </c>
      <c r="AY106" s="30" t="str">
        <f aca="false">IF($D106="","",IF($AF106="Waived","Waived",IF(ISNUMBER($AF106),IF($AF106&gt;AsOfDate,"In Place","Expired"),"None Reported")))</f>
        <v>In Place</v>
      </c>
      <c r="AZ106" s="30" t="str">
        <f aca="false">IF($D106="","",IF(ISNUMBER($AG106),IF($AG106=0,"None",$AG106&amp;" Months"),IF($AG106="","None Reported",$AG106)))</f>
        <v>6 Months</v>
      </c>
      <c r="BA106" s="27" t="str">
        <f aca="false">IF($D106="","",IF($AK106="","Unlevered",$AK106))</f>
        <v>Huntington Bank</v>
      </c>
      <c r="BB106" s="31" t="n">
        <f aca="false">IF($D106="","",SUM($AL106,$AO106))</f>
        <v>37320000</v>
      </c>
      <c r="BC106" s="32" t="n">
        <f aca="false">IF($D106="","",IF($P106&gt;0,$BB106/$P106,0))</f>
        <v>0.8</v>
      </c>
      <c r="BD106" s="34" t="n">
        <f aca="false">IF($D106="","",(AsOfDate-$AH106)/DaysPerMonth)</f>
        <v>3.67967145790554</v>
      </c>
      <c r="BE106" s="34" t="n">
        <f aca="false">IF($D106="","",($AI106-AsOfDate)/DaysPerMonth)</f>
        <v>21.0595482546201</v>
      </c>
      <c r="BF106" s="34" t="n">
        <f aca="false">IF($D106="","",($AJ106-AsOfDate)/DaysPerMonth)</f>
        <v>33.0513347022587</v>
      </c>
      <c r="BG106" s="34" t="n">
        <f aca="false">IF($D106="","",MAX(0,$BE106))</f>
        <v>21.0595482546201</v>
      </c>
      <c r="BH106" s="34" t="n">
        <f aca="false">IF($D106="","",MAX(0,$BF106))</f>
        <v>33.0513347022587</v>
      </c>
      <c r="BI106" s="77" t="n">
        <f aca="false">IF($D106="","",YEAR($AI106))</f>
        <v>2028</v>
      </c>
      <c r="BJ106" s="77" t="n">
        <f aca="false">IF($D106="","",YEAR($AJ106))</f>
        <v>2029</v>
      </c>
      <c r="BK106" s="77" t="n">
        <f aca="false">IF($D106="","",YEAR($AH106))</f>
        <v>2026</v>
      </c>
      <c r="BL106" s="78" t="n">
        <v>2017</v>
      </c>
      <c r="BM106" s="44" t="n">
        <f aca="false">IF($AT106=1,$P106+(1000-ROW())/1000000,0)</f>
        <v>46650000.000894</v>
      </c>
    </row>
    <row r="107" customFormat="false" ht="15" hidden="false" customHeight="false" outlineLevel="0" collapsed="false">
      <c r="B107" s="60" t="n">
        <v>103</v>
      </c>
      <c r="C107" s="61" t="n">
        <v>30348</v>
      </c>
      <c r="D107" s="62" t="s">
        <v>547</v>
      </c>
      <c r="E107" s="62" t="s">
        <v>73</v>
      </c>
      <c r="F107" s="62" t="s">
        <v>73</v>
      </c>
      <c r="G107" s="62" t="s">
        <v>84</v>
      </c>
      <c r="H107" s="62" t="s">
        <v>548</v>
      </c>
      <c r="I107" s="63" t="s">
        <v>93</v>
      </c>
      <c r="J107" s="63" t="s">
        <v>93</v>
      </c>
      <c r="K107" s="63" t="s">
        <v>485</v>
      </c>
      <c r="L107" s="60"/>
      <c r="M107" s="60" t="n">
        <v>188</v>
      </c>
      <c r="N107" s="63" t="n">
        <v>1967</v>
      </c>
      <c r="O107" s="63" t="s">
        <v>311</v>
      </c>
      <c r="P107" s="64" t="n">
        <v>29300000</v>
      </c>
      <c r="Q107" s="64" t="n">
        <v>0</v>
      </c>
      <c r="R107" s="64" t="n">
        <v>29300000</v>
      </c>
      <c r="S107" s="64" t="n">
        <v>0</v>
      </c>
      <c r="T107" s="64" t="n">
        <v>29300000</v>
      </c>
      <c r="U107" s="64" t="n">
        <v>50000000</v>
      </c>
      <c r="V107" s="64" t="n">
        <v>50000000</v>
      </c>
      <c r="W107" s="65" t="n">
        <v>0.586</v>
      </c>
      <c r="X107" s="65" t="n">
        <v>0.586</v>
      </c>
      <c r="Y107" s="57" t="n">
        <v>0.04</v>
      </c>
      <c r="Z107" s="57" t="n">
        <v>0.035</v>
      </c>
      <c r="AA107" s="57" t="n">
        <v>0</v>
      </c>
      <c r="AB107" s="57" t="n">
        <v>0</v>
      </c>
      <c r="AC107" s="63" t="s">
        <v>308</v>
      </c>
      <c r="AD107" s="57" t="n">
        <v>0.04</v>
      </c>
      <c r="AE107" s="57" t="n">
        <v>0.06</v>
      </c>
      <c r="AF107" s="66" t="n">
        <v>46902</v>
      </c>
      <c r="AG107" s="63" t="n">
        <v>6</v>
      </c>
      <c r="AH107" s="66" t="n">
        <v>46183</v>
      </c>
      <c r="AI107" s="66" t="n">
        <v>46908</v>
      </c>
      <c r="AJ107" s="66" t="n">
        <v>47299</v>
      </c>
      <c r="AK107" s="62" t="s">
        <v>123</v>
      </c>
      <c r="AL107" s="64" t="n">
        <v>23440000</v>
      </c>
      <c r="AM107" s="57" t="n">
        <v>0.0225</v>
      </c>
      <c r="AN107" s="62"/>
      <c r="AO107" s="64"/>
      <c r="AP107" s="57"/>
      <c r="AQ107" s="64" t="n">
        <v>5860000</v>
      </c>
      <c r="AR107" s="65" t="n">
        <v>0.1465</v>
      </c>
      <c r="AT107" s="26" t="n">
        <f aca="false">IF($D107="",0,IF(OR(StratFilter="All Loans",$E107=StratFilter),1,0))</f>
        <v>1</v>
      </c>
      <c r="AU107" s="18" t="str">
        <f aca="false">IF($D107="","",IFERROR(VLOOKUP(TRIM($K107),PropTypeMap,2,FALSE()),"Unmapped"))</f>
        <v>Skilled Nursing</v>
      </c>
      <c r="AV107" s="21" t="str">
        <f aca="false">IF($D107="","",IFERROR(VLOOKUP($J107,RegionMap,2,FALSE()),"Unmapped"))</f>
        <v>Northeast</v>
      </c>
      <c r="AW107" s="21" t="str">
        <f aca="false">IF($D107="","",IF($AC107="SOFR","Floating (SOFR)","Fixed / All-In"))</f>
        <v>Floating (SOFR)</v>
      </c>
      <c r="AX107" s="24" t="n">
        <f aca="false">IF($D107="","",$AD107+SOFR)</f>
        <v>0.0765</v>
      </c>
      <c r="AY107" s="21" t="str">
        <f aca="false">IF($D107="","",IF($AF107="Waived","Waived",IF(ISNUMBER($AF107),IF($AF107&gt;AsOfDate,"In Place","Expired"),"None Reported")))</f>
        <v>In Place</v>
      </c>
      <c r="AZ107" s="21" t="str">
        <f aca="false">IF($D107="","",IF(ISNUMBER($AG107),IF($AG107=0,"None",$AG107&amp;" Months"),IF($AG107="","None Reported",$AG107)))</f>
        <v>6 Months</v>
      </c>
      <c r="BA107" s="18" t="str">
        <f aca="false">IF($D107="","",IF($AK107="","Unlevered",$AK107))</f>
        <v>Huntington Bank</v>
      </c>
      <c r="BB107" s="22" t="n">
        <f aca="false">IF($D107="","",SUM($AL107,$AO107))</f>
        <v>23440000</v>
      </c>
      <c r="BC107" s="23" t="n">
        <f aca="false">IF($D107="","",IF($P107&gt;0,$BB107/$P107,0))</f>
        <v>0.8</v>
      </c>
      <c r="BD107" s="25" t="n">
        <f aca="false">IF($D107="","",(AsOfDate-$AH107)/DaysPerMonth)</f>
        <v>0.657084188911704</v>
      </c>
      <c r="BE107" s="25" t="n">
        <f aca="false">IF($D107="","",($AI107-AsOfDate)/DaysPerMonth)</f>
        <v>23.1622176591376</v>
      </c>
      <c r="BF107" s="25" t="n">
        <f aca="false">IF($D107="","",($AJ107-AsOfDate)/DaysPerMonth)</f>
        <v>36.0082135523614</v>
      </c>
      <c r="BG107" s="25" t="n">
        <f aca="false">IF($D107="","",MAX(0,$BE107))</f>
        <v>23.1622176591376</v>
      </c>
      <c r="BH107" s="25" t="n">
        <f aca="false">IF($D107="","",MAX(0,$BF107))</f>
        <v>36.0082135523614</v>
      </c>
      <c r="BI107" s="67" t="n">
        <f aca="false">IF($D107="","",YEAR($AI107))</f>
        <v>2028</v>
      </c>
      <c r="BJ107" s="67" t="n">
        <f aca="false">IF($D107="","",YEAR($AJ107))</f>
        <v>2029</v>
      </c>
      <c r="BK107" s="67" t="n">
        <f aca="false">IF($D107="","",YEAR($AH107))</f>
        <v>2026</v>
      </c>
      <c r="BL107" s="68" t="n">
        <v>1967</v>
      </c>
      <c r="BM107" s="26" t="n">
        <f aca="false">IF($AT107=1,$P107+(1000-ROW())/1000000,0)</f>
        <v>29300000.000893</v>
      </c>
    </row>
    <row r="108" customFormat="false" ht="15" hidden="false" customHeight="false" outlineLevel="0" collapsed="false">
      <c r="B108" s="69" t="n">
        <v>104</v>
      </c>
      <c r="C108" s="70" t="n">
        <v>30331</v>
      </c>
      <c r="D108" s="71" t="s">
        <v>549</v>
      </c>
      <c r="E108" s="71" t="s">
        <v>73</v>
      </c>
      <c r="F108" s="71" t="s">
        <v>73</v>
      </c>
      <c r="G108" s="71" t="s">
        <v>84</v>
      </c>
      <c r="H108" s="71" t="s">
        <v>417</v>
      </c>
      <c r="I108" s="72" t="s">
        <v>94</v>
      </c>
      <c r="J108" s="72" t="s">
        <v>94</v>
      </c>
      <c r="K108" s="72" t="s">
        <v>550</v>
      </c>
      <c r="L108" s="69"/>
      <c r="M108" s="69" t="n">
        <v>102</v>
      </c>
      <c r="N108" s="72" t="s">
        <v>551</v>
      </c>
      <c r="O108" s="72" t="s">
        <v>552</v>
      </c>
      <c r="P108" s="73" t="n">
        <v>28810000</v>
      </c>
      <c r="Q108" s="73" t="n">
        <v>0</v>
      </c>
      <c r="R108" s="73" t="n">
        <v>28810000</v>
      </c>
      <c r="S108" s="73" t="n">
        <v>6190000</v>
      </c>
      <c r="T108" s="73" t="n">
        <v>35000000</v>
      </c>
      <c r="U108" s="73" t="n">
        <v>58300000</v>
      </c>
      <c r="V108" s="73" t="n">
        <v>65200000</v>
      </c>
      <c r="W108" s="74" t="n">
        <v>0.600343053173242</v>
      </c>
      <c r="X108" s="74" t="n">
        <v>0.53680981595092</v>
      </c>
      <c r="Y108" s="75" t="n">
        <v>0.0425</v>
      </c>
      <c r="Z108" s="75" t="n">
        <v>0.025</v>
      </c>
      <c r="AA108" s="75" t="n">
        <v>0</v>
      </c>
      <c r="AB108" s="75" t="n">
        <v>0</v>
      </c>
      <c r="AC108" s="72" t="s">
        <v>308</v>
      </c>
      <c r="AD108" s="75" t="n">
        <v>0.0425</v>
      </c>
      <c r="AE108" s="75" t="n">
        <v>0.06</v>
      </c>
      <c r="AF108" s="76" t="n">
        <v>47086</v>
      </c>
      <c r="AG108" s="72" t="n">
        <v>0</v>
      </c>
      <c r="AH108" s="76" t="n">
        <v>46162</v>
      </c>
      <c r="AI108" s="76" t="n">
        <v>47088</v>
      </c>
      <c r="AJ108" s="76" t="n">
        <v>47270</v>
      </c>
      <c r="AK108" s="71" t="s">
        <v>123</v>
      </c>
      <c r="AL108" s="73" t="n">
        <v>23048000</v>
      </c>
      <c r="AM108" s="75" t="n">
        <v>0.0225</v>
      </c>
      <c r="AN108" s="71"/>
      <c r="AO108" s="73"/>
      <c r="AP108" s="75"/>
      <c r="AQ108" s="73" t="n">
        <v>5762000</v>
      </c>
      <c r="AR108" s="74" t="n">
        <v>0.159</v>
      </c>
      <c r="AT108" s="44" t="n">
        <f aca="false">IF($D108="",0,IF(OR(StratFilter="All Loans",$E108=StratFilter),1,0))</f>
        <v>1</v>
      </c>
      <c r="AU108" s="27" t="str">
        <f aca="false">IF($D108="","",IFERROR(VLOOKUP(TRIM($K108),PropTypeMap,2,FALSE()),"Unmapped"))</f>
        <v>Assisted Living / Memory Care</v>
      </c>
      <c r="AV108" s="30" t="str">
        <f aca="false">IF($D108="","",IFERROR(VLOOKUP($J108,RegionMap,2,FALSE()),"Unmapped"))</f>
        <v>Pacific</v>
      </c>
      <c r="AW108" s="30" t="str">
        <f aca="false">IF($D108="","",IF($AC108="SOFR","Floating (SOFR)","Fixed / All-In"))</f>
        <v>Floating (SOFR)</v>
      </c>
      <c r="AX108" s="33" t="n">
        <f aca="false">IF($D108="","",$AD108+SOFR)</f>
        <v>0.079</v>
      </c>
      <c r="AY108" s="30" t="str">
        <f aca="false">IF($D108="","",IF($AF108="Waived","Waived",IF(ISNUMBER($AF108),IF($AF108&gt;AsOfDate,"In Place","Expired"),"None Reported")))</f>
        <v>In Place</v>
      </c>
      <c r="AZ108" s="30" t="str">
        <f aca="false">IF($D108="","",IF(ISNUMBER($AG108),IF($AG108=0,"None",$AG108&amp;" Months"),IF($AG108="","None Reported",$AG108)))</f>
        <v>None</v>
      </c>
      <c r="BA108" s="27" t="str">
        <f aca="false">IF($D108="","",IF($AK108="","Unlevered",$AK108))</f>
        <v>Huntington Bank</v>
      </c>
      <c r="BB108" s="31" t="n">
        <f aca="false">IF($D108="","",SUM($AL108,$AO108))</f>
        <v>23048000</v>
      </c>
      <c r="BC108" s="32" t="n">
        <f aca="false">IF($D108="","",IF($P108&gt;0,$BB108/$P108,0))</f>
        <v>0.8</v>
      </c>
      <c r="BD108" s="34" t="n">
        <f aca="false">IF($D108="","",(AsOfDate-$AH108)/DaysPerMonth)</f>
        <v>1.34702258726899</v>
      </c>
      <c r="BE108" s="34" t="n">
        <f aca="false">IF($D108="","",($AI108-AsOfDate)/DaysPerMonth)</f>
        <v>29.0759753593429</v>
      </c>
      <c r="BF108" s="34" t="n">
        <f aca="false">IF($D108="","",($AJ108-AsOfDate)/DaysPerMonth)</f>
        <v>35.0554414784394</v>
      </c>
      <c r="BG108" s="34" t="n">
        <f aca="false">IF($D108="","",MAX(0,$BE108))</f>
        <v>29.0759753593429</v>
      </c>
      <c r="BH108" s="34" t="n">
        <f aca="false">IF($D108="","",MAX(0,$BF108))</f>
        <v>35.0554414784394</v>
      </c>
      <c r="BI108" s="77" t="n">
        <f aca="false">IF($D108="","",YEAR($AI108))</f>
        <v>2028</v>
      </c>
      <c r="BJ108" s="77" t="n">
        <f aca="false">IF($D108="","",YEAR($AJ108))</f>
        <v>2029</v>
      </c>
      <c r="BK108" s="77" t="n">
        <f aca="false">IF($D108="","",YEAR($AH108))</f>
        <v>2026</v>
      </c>
      <c r="BL108" s="78" t="n">
        <v>1967</v>
      </c>
      <c r="BM108" s="44" t="n">
        <f aca="false">IF($AT108=1,$P108+(1000-ROW())/1000000,0)</f>
        <v>28810000.000892</v>
      </c>
    </row>
    <row r="109" customFormat="false" ht="15" hidden="false" customHeight="false" outlineLevel="0" collapsed="false">
      <c r="B109" s="60" t="n">
        <v>105</v>
      </c>
      <c r="C109" s="61" t="n">
        <v>30341</v>
      </c>
      <c r="D109" s="62" t="s">
        <v>553</v>
      </c>
      <c r="E109" s="62" t="s">
        <v>73</v>
      </c>
      <c r="F109" s="62" t="s">
        <v>73</v>
      </c>
      <c r="G109" s="62" t="s">
        <v>84</v>
      </c>
      <c r="H109" s="62" t="s">
        <v>554</v>
      </c>
      <c r="I109" s="63" t="s">
        <v>390</v>
      </c>
      <c r="J109" s="63" t="s">
        <v>390</v>
      </c>
      <c r="K109" s="63" t="s">
        <v>478</v>
      </c>
      <c r="L109" s="60"/>
      <c r="M109" s="60" t="n">
        <v>92</v>
      </c>
      <c r="N109" s="63" t="n">
        <v>1990</v>
      </c>
      <c r="O109" s="63" t="n">
        <v>2005</v>
      </c>
      <c r="P109" s="64" t="n">
        <v>21424500</v>
      </c>
      <c r="Q109" s="64" t="n">
        <v>0</v>
      </c>
      <c r="R109" s="64" t="n">
        <v>21424500</v>
      </c>
      <c r="S109" s="64" t="n">
        <v>0</v>
      </c>
      <c r="T109" s="64" t="n">
        <v>21424500</v>
      </c>
      <c r="U109" s="64" t="n">
        <v>26300000</v>
      </c>
      <c r="V109" s="64" t="n">
        <v>27700000</v>
      </c>
      <c r="W109" s="65" t="n">
        <v>0.814619771863118</v>
      </c>
      <c r="X109" s="65" t="n">
        <v>0.773447653429603</v>
      </c>
      <c r="Y109" s="57" t="n">
        <v>0.04</v>
      </c>
      <c r="Z109" s="57" t="n">
        <v>0.035</v>
      </c>
      <c r="AA109" s="57" t="n">
        <v>0</v>
      </c>
      <c r="AB109" s="57" t="n">
        <v>0</v>
      </c>
      <c r="AC109" s="63" t="s">
        <v>308</v>
      </c>
      <c r="AD109" s="57" t="n">
        <v>0.04</v>
      </c>
      <c r="AE109" s="57" t="n">
        <v>0.05</v>
      </c>
      <c r="AF109" s="66" t="n">
        <v>47070</v>
      </c>
      <c r="AG109" s="63" t="n">
        <v>0</v>
      </c>
      <c r="AH109" s="66" t="n">
        <v>46155</v>
      </c>
      <c r="AI109" s="66" t="n">
        <v>47088</v>
      </c>
      <c r="AJ109" s="66" t="n">
        <v>47270</v>
      </c>
      <c r="AK109" s="62" t="s">
        <v>123</v>
      </c>
      <c r="AL109" s="64" t="n">
        <v>17139600</v>
      </c>
      <c r="AM109" s="57" t="n">
        <v>0.0225</v>
      </c>
      <c r="AN109" s="62"/>
      <c r="AO109" s="64"/>
      <c r="AP109" s="57"/>
      <c r="AQ109" s="64" t="n">
        <v>4284900</v>
      </c>
      <c r="AR109" s="65" t="n">
        <v>0.1465</v>
      </c>
      <c r="AT109" s="26" t="n">
        <f aca="false">IF($D109="",0,IF(OR(StratFilter="All Loans",$E109=StratFilter),1,0))</f>
        <v>1</v>
      </c>
      <c r="AU109" s="18" t="str">
        <f aca="false">IF($D109="","",IFERROR(VLOOKUP(TRIM($K109),PropTypeMap,2,FALSE()),"Unmapped"))</f>
        <v>Assisted Living / Memory Care</v>
      </c>
      <c r="AV109" s="21" t="str">
        <f aca="false">IF($D109="","",IFERROR(VLOOKUP($J109,RegionMap,2,FALSE()),"Unmapped"))</f>
        <v>Midwest</v>
      </c>
      <c r="AW109" s="21" t="str">
        <f aca="false">IF($D109="","",IF($AC109="SOFR","Floating (SOFR)","Fixed / All-In"))</f>
        <v>Floating (SOFR)</v>
      </c>
      <c r="AX109" s="24" t="n">
        <f aca="false">IF($D109="","",$AD109+SOFR)</f>
        <v>0.0765</v>
      </c>
      <c r="AY109" s="21" t="str">
        <f aca="false">IF($D109="","",IF($AF109="Waived","Waived",IF(ISNUMBER($AF109),IF($AF109&gt;AsOfDate,"In Place","Expired"),"None Reported")))</f>
        <v>In Place</v>
      </c>
      <c r="AZ109" s="21" t="str">
        <f aca="false">IF($D109="","",IF(ISNUMBER($AG109),IF($AG109=0,"None",$AG109&amp;" Months"),IF($AG109="","None Reported",$AG109)))</f>
        <v>None</v>
      </c>
      <c r="BA109" s="18" t="str">
        <f aca="false">IF($D109="","",IF($AK109="","Unlevered",$AK109))</f>
        <v>Huntington Bank</v>
      </c>
      <c r="BB109" s="22" t="n">
        <f aca="false">IF($D109="","",SUM($AL109,$AO109))</f>
        <v>17139600</v>
      </c>
      <c r="BC109" s="23" t="n">
        <f aca="false">IF($D109="","",IF($P109&gt;0,$BB109/$P109,0))</f>
        <v>0.8</v>
      </c>
      <c r="BD109" s="25" t="n">
        <f aca="false">IF($D109="","",(AsOfDate-$AH109)/DaysPerMonth)</f>
        <v>1.57700205338809</v>
      </c>
      <c r="BE109" s="25" t="n">
        <f aca="false">IF($D109="","",($AI109-AsOfDate)/DaysPerMonth)</f>
        <v>29.0759753593429</v>
      </c>
      <c r="BF109" s="25" t="n">
        <f aca="false">IF($D109="","",($AJ109-AsOfDate)/DaysPerMonth)</f>
        <v>35.0554414784394</v>
      </c>
      <c r="BG109" s="25" t="n">
        <f aca="false">IF($D109="","",MAX(0,$BE109))</f>
        <v>29.0759753593429</v>
      </c>
      <c r="BH109" s="25" t="n">
        <f aca="false">IF($D109="","",MAX(0,$BF109))</f>
        <v>35.0554414784394</v>
      </c>
      <c r="BI109" s="67" t="n">
        <f aca="false">IF($D109="","",YEAR($AI109))</f>
        <v>2028</v>
      </c>
      <c r="BJ109" s="67" t="n">
        <f aca="false">IF($D109="","",YEAR($AJ109))</f>
        <v>2029</v>
      </c>
      <c r="BK109" s="67" t="n">
        <f aca="false">IF($D109="","",YEAR($AH109))</f>
        <v>2026</v>
      </c>
      <c r="BL109" s="68" t="n">
        <v>1990</v>
      </c>
      <c r="BM109" s="26" t="n">
        <f aca="false">IF($AT109=1,$P109+(1000-ROW())/1000000,0)</f>
        <v>21424500.000891</v>
      </c>
    </row>
    <row r="110" customFormat="false" ht="15" hidden="false" customHeight="false" outlineLevel="0" collapsed="false">
      <c r="B110" s="69" t="n">
        <v>106</v>
      </c>
      <c r="C110" s="70" t="n">
        <v>30301</v>
      </c>
      <c r="D110" s="71" t="s">
        <v>555</v>
      </c>
      <c r="E110" s="71" t="s">
        <v>73</v>
      </c>
      <c r="F110" s="71" t="s">
        <v>73</v>
      </c>
      <c r="G110" s="71" t="s">
        <v>84</v>
      </c>
      <c r="H110" s="71" t="s">
        <v>556</v>
      </c>
      <c r="I110" s="72" t="s">
        <v>92</v>
      </c>
      <c r="J110" s="72" t="s">
        <v>92</v>
      </c>
      <c r="K110" s="72" t="s">
        <v>545</v>
      </c>
      <c r="L110" s="69"/>
      <c r="M110" s="69" t="n">
        <v>106</v>
      </c>
      <c r="N110" s="72" t="n">
        <v>2001</v>
      </c>
      <c r="O110" s="72" t="s">
        <v>311</v>
      </c>
      <c r="P110" s="73" t="n">
        <v>19200000</v>
      </c>
      <c r="Q110" s="73" t="n">
        <v>0</v>
      </c>
      <c r="R110" s="73" t="n">
        <v>19200000</v>
      </c>
      <c r="S110" s="73" t="n">
        <v>0</v>
      </c>
      <c r="T110" s="73" t="n">
        <v>19200000</v>
      </c>
      <c r="U110" s="73" t="n">
        <v>25300000</v>
      </c>
      <c r="V110" s="73" t="n">
        <v>26200000</v>
      </c>
      <c r="W110" s="74" t="n">
        <v>0.758893280632411</v>
      </c>
      <c r="X110" s="74" t="n">
        <v>0.732824427480916</v>
      </c>
      <c r="Y110" s="75" t="n">
        <v>0.0435</v>
      </c>
      <c r="Z110" s="75" t="n">
        <v>0.035</v>
      </c>
      <c r="AA110" s="75" t="n">
        <v>0</v>
      </c>
      <c r="AB110" s="75" t="n">
        <v>0</v>
      </c>
      <c r="AC110" s="72" t="s">
        <v>308</v>
      </c>
      <c r="AD110" s="75" t="n">
        <v>0.0435</v>
      </c>
      <c r="AE110" s="75" t="n">
        <v>0.045</v>
      </c>
      <c r="AF110" s="76" t="n">
        <v>47016</v>
      </c>
      <c r="AG110" s="72" t="n">
        <v>6</v>
      </c>
      <c r="AH110" s="76" t="n">
        <v>46101</v>
      </c>
      <c r="AI110" s="76" t="n">
        <v>47016</v>
      </c>
      <c r="AJ110" s="76" t="n">
        <v>47197</v>
      </c>
      <c r="AK110" s="71" t="s">
        <v>123</v>
      </c>
      <c r="AL110" s="73" t="n">
        <v>15360000</v>
      </c>
      <c r="AM110" s="75" t="n">
        <v>0.03</v>
      </c>
      <c r="AN110" s="71"/>
      <c r="AO110" s="73"/>
      <c r="AP110" s="75"/>
      <c r="AQ110" s="73" t="n">
        <v>3840000</v>
      </c>
      <c r="AR110" s="74" t="n">
        <v>0.134</v>
      </c>
      <c r="AT110" s="44" t="n">
        <f aca="false">IF($D110="",0,IF(OR(StratFilter="All Loans",$E110=StratFilter),1,0))</f>
        <v>1</v>
      </c>
      <c r="AU110" s="27" t="str">
        <f aca="false">IF($D110="","",IFERROR(VLOOKUP(TRIM($K110),PropTypeMap,2,FALSE()),"Unmapped"))</f>
        <v>Assisted Living / Memory Care</v>
      </c>
      <c r="AV110" s="30" t="str">
        <f aca="false">IF($D110="","",IFERROR(VLOOKUP($J110,RegionMap,2,FALSE()),"Unmapped"))</f>
        <v>Southwest</v>
      </c>
      <c r="AW110" s="30" t="str">
        <f aca="false">IF($D110="","",IF($AC110="SOFR","Floating (SOFR)","Fixed / All-In"))</f>
        <v>Floating (SOFR)</v>
      </c>
      <c r="AX110" s="33" t="n">
        <f aca="false">IF($D110="","",$AD110+SOFR)</f>
        <v>0.08</v>
      </c>
      <c r="AY110" s="30" t="str">
        <f aca="false">IF($D110="","",IF($AF110="Waived","Waived",IF(ISNUMBER($AF110),IF($AF110&gt;AsOfDate,"In Place","Expired"),"None Reported")))</f>
        <v>In Place</v>
      </c>
      <c r="AZ110" s="30" t="str">
        <f aca="false">IF($D110="","",IF(ISNUMBER($AG110),IF($AG110=0,"None",$AG110&amp;" Months"),IF($AG110="","None Reported",$AG110)))</f>
        <v>6 Months</v>
      </c>
      <c r="BA110" s="27" t="str">
        <f aca="false">IF($D110="","",IF($AK110="","Unlevered",$AK110))</f>
        <v>Huntington Bank</v>
      </c>
      <c r="BB110" s="31" t="n">
        <f aca="false">IF($D110="","",SUM($AL110,$AO110))</f>
        <v>15360000</v>
      </c>
      <c r="BC110" s="32" t="n">
        <f aca="false">IF($D110="","",IF($P110&gt;0,$BB110/$P110,0))</f>
        <v>0.8</v>
      </c>
      <c r="BD110" s="34" t="n">
        <f aca="false">IF($D110="","",(AsOfDate-$AH110)/DaysPerMonth)</f>
        <v>3.35112936344969</v>
      </c>
      <c r="BE110" s="34" t="n">
        <f aca="false">IF($D110="","",($AI110-AsOfDate)/DaysPerMonth)</f>
        <v>26.7104722792608</v>
      </c>
      <c r="BF110" s="34" t="n">
        <f aca="false">IF($D110="","",($AJ110-AsOfDate)/DaysPerMonth)</f>
        <v>32.6570841889117</v>
      </c>
      <c r="BG110" s="34" t="n">
        <f aca="false">IF($D110="","",MAX(0,$BE110))</f>
        <v>26.7104722792608</v>
      </c>
      <c r="BH110" s="34" t="n">
        <f aca="false">IF($D110="","",MAX(0,$BF110))</f>
        <v>32.6570841889117</v>
      </c>
      <c r="BI110" s="77" t="n">
        <f aca="false">IF($D110="","",YEAR($AI110))</f>
        <v>2028</v>
      </c>
      <c r="BJ110" s="77" t="n">
        <f aca="false">IF($D110="","",YEAR($AJ110))</f>
        <v>2029</v>
      </c>
      <c r="BK110" s="77" t="n">
        <f aca="false">IF($D110="","",YEAR($AH110))</f>
        <v>2026</v>
      </c>
      <c r="BL110" s="78" t="n">
        <v>2001</v>
      </c>
      <c r="BM110" s="44" t="n">
        <f aca="false">IF($AT110=1,$P110+(1000-ROW())/1000000,0)</f>
        <v>19200000.00089</v>
      </c>
    </row>
    <row r="111" customFormat="false" ht="15" hidden="false" customHeight="false" outlineLevel="0" collapsed="false">
      <c r="B111" s="60" t="n">
        <v>107</v>
      </c>
      <c r="C111" s="61" t="n">
        <v>30347</v>
      </c>
      <c r="D111" s="62" t="s">
        <v>557</v>
      </c>
      <c r="E111" s="62" t="s">
        <v>73</v>
      </c>
      <c r="F111" s="62" t="s">
        <v>73</v>
      </c>
      <c r="G111" s="62" t="s">
        <v>84</v>
      </c>
      <c r="H111" s="62" t="s">
        <v>417</v>
      </c>
      <c r="I111" s="63" t="s">
        <v>558</v>
      </c>
      <c r="J111" s="63" t="s">
        <v>558</v>
      </c>
      <c r="K111" s="63" t="s">
        <v>559</v>
      </c>
      <c r="L111" s="60"/>
      <c r="M111" s="60" t="n">
        <v>257</v>
      </c>
      <c r="N111" s="63" t="s">
        <v>560</v>
      </c>
      <c r="O111" s="63" t="s">
        <v>311</v>
      </c>
      <c r="P111" s="64" t="n">
        <v>15000000</v>
      </c>
      <c r="Q111" s="64" t="n">
        <v>0</v>
      </c>
      <c r="R111" s="64" t="n">
        <v>15000000</v>
      </c>
      <c r="S111" s="64" t="n">
        <v>0</v>
      </c>
      <c r="T111" s="64" t="n">
        <v>15000000</v>
      </c>
      <c r="U111" s="64" t="n">
        <v>35500000</v>
      </c>
      <c r="V111" s="64" t="n">
        <v>38100000</v>
      </c>
      <c r="W111" s="65" t="n">
        <v>0.422535211267606</v>
      </c>
      <c r="X111" s="65" t="n">
        <v>0.393700787401575</v>
      </c>
      <c r="Y111" s="57" t="n">
        <v>0.05</v>
      </c>
      <c r="Z111" s="57" t="n">
        <v>0.035</v>
      </c>
      <c r="AA111" s="57" t="n">
        <v>0</v>
      </c>
      <c r="AB111" s="57" t="n">
        <v>0</v>
      </c>
      <c r="AC111" s="63" t="s">
        <v>308</v>
      </c>
      <c r="AD111" s="57" t="n">
        <v>0.05</v>
      </c>
      <c r="AE111" s="57" t="n">
        <v>0.06</v>
      </c>
      <c r="AF111" s="66" t="n">
        <v>46886</v>
      </c>
      <c r="AG111" s="63" t="n">
        <v>0</v>
      </c>
      <c r="AH111" s="66" t="n">
        <v>46155</v>
      </c>
      <c r="AI111" s="66" t="n">
        <v>46905</v>
      </c>
      <c r="AJ111" s="66" t="n">
        <v>47270</v>
      </c>
      <c r="AK111" s="62" t="s">
        <v>123</v>
      </c>
      <c r="AL111" s="64" t="n">
        <v>12000000</v>
      </c>
      <c r="AM111" s="57" t="n">
        <v>0.0225</v>
      </c>
      <c r="AN111" s="62"/>
      <c r="AO111" s="64"/>
      <c r="AP111" s="57"/>
      <c r="AQ111" s="64" t="n">
        <v>3000000</v>
      </c>
      <c r="AR111" s="65" t="n">
        <v>0.1965</v>
      </c>
      <c r="AT111" s="26" t="n">
        <f aca="false">IF($D111="",0,IF(OR(StratFilter="All Loans",$E111=StratFilter),1,0))</f>
        <v>1</v>
      </c>
      <c r="AU111" s="18" t="str">
        <f aca="false">IF($D111="","",IFERROR(VLOOKUP(TRIM($K111),PropTypeMap,2,FALSE()),"Unmapped"))</f>
        <v>Mixed SNF / Senior Living</v>
      </c>
      <c r="AV111" s="21" t="str">
        <f aca="false">IF($D111="","",IFERROR(VLOOKUP($J111,RegionMap,2,FALSE()),"Unmapped"))</f>
        <v>Midwest</v>
      </c>
      <c r="AW111" s="21" t="str">
        <f aca="false">IF($D111="","",IF($AC111="SOFR","Floating (SOFR)","Fixed / All-In"))</f>
        <v>Floating (SOFR)</v>
      </c>
      <c r="AX111" s="24" t="n">
        <f aca="false">IF($D111="","",$AD111+SOFR)</f>
        <v>0.0865</v>
      </c>
      <c r="AY111" s="21" t="str">
        <f aca="false">IF($D111="","",IF($AF111="Waived","Waived",IF(ISNUMBER($AF111),IF($AF111&gt;AsOfDate,"In Place","Expired"),"None Reported")))</f>
        <v>In Place</v>
      </c>
      <c r="AZ111" s="21" t="str">
        <f aca="false">IF($D111="","",IF(ISNUMBER($AG111),IF($AG111=0,"None",$AG111&amp;" Months"),IF($AG111="","None Reported",$AG111)))</f>
        <v>None</v>
      </c>
      <c r="BA111" s="18" t="str">
        <f aca="false">IF($D111="","",IF($AK111="","Unlevered",$AK111))</f>
        <v>Huntington Bank</v>
      </c>
      <c r="BB111" s="22" t="n">
        <f aca="false">IF($D111="","",SUM($AL111,$AO111))</f>
        <v>12000000</v>
      </c>
      <c r="BC111" s="23" t="n">
        <f aca="false">IF($D111="","",IF($P111&gt;0,$BB111/$P111,0))</f>
        <v>0.8</v>
      </c>
      <c r="BD111" s="25" t="n">
        <f aca="false">IF($D111="","",(AsOfDate-$AH111)/DaysPerMonth)</f>
        <v>1.57700205338809</v>
      </c>
      <c r="BE111" s="25" t="n">
        <f aca="false">IF($D111="","",($AI111-AsOfDate)/DaysPerMonth)</f>
        <v>23.0636550308008</v>
      </c>
      <c r="BF111" s="25" t="n">
        <f aca="false">IF($D111="","",($AJ111-AsOfDate)/DaysPerMonth)</f>
        <v>35.0554414784394</v>
      </c>
      <c r="BG111" s="25" t="n">
        <f aca="false">IF($D111="","",MAX(0,$BE111))</f>
        <v>23.0636550308008</v>
      </c>
      <c r="BH111" s="25" t="n">
        <f aca="false">IF($D111="","",MAX(0,$BF111))</f>
        <v>35.0554414784394</v>
      </c>
      <c r="BI111" s="67" t="n">
        <f aca="false">IF($D111="","",YEAR($AI111))</f>
        <v>2028</v>
      </c>
      <c r="BJ111" s="67" t="n">
        <f aca="false">IF($D111="","",YEAR($AJ111))</f>
        <v>2029</v>
      </c>
      <c r="BK111" s="67" t="n">
        <f aca="false">IF($D111="","",YEAR($AH111))</f>
        <v>2026</v>
      </c>
      <c r="BL111" s="68" t="n">
        <v>1956</v>
      </c>
      <c r="BM111" s="26" t="n">
        <f aca="false">IF($AT111=1,$P111+(1000-ROW())/1000000,0)</f>
        <v>15000000.000889</v>
      </c>
    </row>
    <row r="112" customFormat="false" ht="15" hidden="false" customHeight="false" outlineLevel="0" collapsed="false">
      <c r="B112" s="69" t="n">
        <v>108</v>
      </c>
      <c r="C112" s="70" t="n">
        <v>30275</v>
      </c>
      <c r="D112" s="71" t="s">
        <v>561</v>
      </c>
      <c r="E112" s="71" t="s">
        <v>73</v>
      </c>
      <c r="F112" s="71" t="s">
        <v>73</v>
      </c>
      <c r="G112" s="71" t="s">
        <v>89</v>
      </c>
      <c r="H112" s="71" t="s">
        <v>417</v>
      </c>
      <c r="I112" s="72" t="s">
        <v>92</v>
      </c>
      <c r="J112" s="72" t="s">
        <v>92</v>
      </c>
      <c r="K112" s="72" t="s">
        <v>485</v>
      </c>
      <c r="L112" s="69"/>
      <c r="M112" s="69" t="n">
        <v>196</v>
      </c>
      <c r="N112" s="72" t="s">
        <v>562</v>
      </c>
      <c r="O112" s="72" t="s">
        <v>563</v>
      </c>
      <c r="P112" s="73" t="n">
        <v>11846000</v>
      </c>
      <c r="Q112" s="73" t="n">
        <v>0</v>
      </c>
      <c r="R112" s="73" t="n">
        <v>11846000</v>
      </c>
      <c r="S112" s="73" t="n">
        <v>0</v>
      </c>
      <c r="T112" s="73" t="n">
        <v>11846000</v>
      </c>
      <c r="U112" s="73" t="n">
        <v>17890000</v>
      </c>
      <c r="V112" s="73" t="n">
        <v>17890000</v>
      </c>
      <c r="W112" s="74" t="n">
        <v>0.658673840134153</v>
      </c>
      <c r="X112" s="74" t="n">
        <v>0.662157629960872</v>
      </c>
      <c r="Y112" s="75" t="n">
        <v>0.047</v>
      </c>
      <c r="Z112" s="75" t="n">
        <v>0.04</v>
      </c>
      <c r="AA112" s="75" t="n">
        <v>0.001</v>
      </c>
      <c r="AB112" s="75" t="n">
        <v>0</v>
      </c>
      <c r="AC112" s="72" t="s">
        <v>308</v>
      </c>
      <c r="AD112" s="75" t="n">
        <v>0.0515</v>
      </c>
      <c r="AE112" s="75" t="n">
        <v>0.055</v>
      </c>
      <c r="AF112" s="76" t="n">
        <v>46447</v>
      </c>
      <c r="AG112" s="72" t="n">
        <v>6</v>
      </c>
      <c r="AH112" s="76" t="n">
        <v>45707</v>
      </c>
      <c r="AI112" s="76" t="n">
        <v>46447</v>
      </c>
      <c r="AJ112" s="76" t="n">
        <v>46813</v>
      </c>
      <c r="AK112" s="71" t="s">
        <v>123</v>
      </c>
      <c r="AL112" s="73" t="n">
        <v>9476800</v>
      </c>
      <c r="AM112" s="75" t="n">
        <v>0.03</v>
      </c>
      <c r="AN112" s="71"/>
      <c r="AO112" s="73"/>
      <c r="AP112" s="75"/>
      <c r="AQ112" s="73" t="n">
        <v>2369200</v>
      </c>
      <c r="AR112" s="74" t="n">
        <v>0.174</v>
      </c>
      <c r="AT112" s="44" t="n">
        <f aca="false">IF($D112="",0,IF(OR(StratFilter="All Loans",$E112=StratFilter),1,0))</f>
        <v>1</v>
      </c>
      <c r="AU112" s="27" t="str">
        <f aca="false">IF($D112="","",IFERROR(VLOOKUP(TRIM($K112),PropTypeMap,2,FALSE()),"Unmapped"))</f>
        <v>Skilled Nursing</v>
      </c>
      <c r="AV112" s="30" t="str">
        <f aca="false">IF($D112="","",IFERROR(VLOOKUP($J112,RegionMap,2,FALSE()),"Unmapped"))</f>
        <v>Southwest</v>
      </c>
      <c r="AW112" s="30" t="str">
        <f aca="false">IF($D112="","",IF($AC112="SOFR","Floating (SOFR)","Fixed / All-In"))</f>
        <v>Floating (SOFR)</v>
      </c>
      <c r="AX112" s="33" t="n">
        <f aca="false">IF($D112="","",$AD112+SOFR)</f>
        <v>0.088</v>
      </c>
      <c r="AY112" s="30" t="str">
        <f aca="false">IF($D112="","",IF($AF112="Waived","Waived",IF(ISNUMBER($AF112),IF($AF112&gt;AsOfDate,"In Place","Expired"),"None Reported")))</f>
        <v>In Place</v>
      </c>
      <c r="AZ112" s="30" t="str">
        <f aca="false">IF($D112="","",IF(ISNUMBER($AG112),IF($AG112=0,"None",$AG112&amp;" Months"),IF($AG112="","None Reported",$AG112)))</f>
        <v>6 Months</v>
      </c>
      <c r="BA112" s="27" t="str">
        <f aca="false">IF($D112="","",IF($AK112="","Unlevered",$AK112))</f>
        <v>Huntington Bank</v>
      </c>
      <c r="BB112" s="31" t="n">
        <f aca="false">IF($D112="","",SUM($AL112,$AO112))</f>
        <v>9476800</v>
      </c>
      <c r="BC112" s="32" t="n">
        <f aca="false">IF($D112="","",IF($P112&gt;0,$BB112/$P112,0))</f>
        <v>0.8</v>
      </c>
      <c r="BD112" s="34" t="n">
        <f aca="false">IF($D112="","",(AsOfDate-$AH112)/DaysPerMonth)</f>
        <v>16.2956878850103</v>
      </c>
      <c r="BE112" s="34" t="n">
        <f aca="false">IF($D112="","",($AI112-AsOfDate)/DaysPerMonth)</f>
        <v>8.01642710472279</v>
      </c>
      <c r="BF112" s="34" t="n">
        <f aca="false">IF($D112="","",($AJ112-AsOfDate)/DaysPerMonth)</f>
        <v>20.041067761807</v>
      </c>
      <c r="BG112" s="34" t="n">
        <f aca="false">IF($D112="","",MAX(0,$BE112))</f>
        <v>8.01642710472279</v>
      </c>
      <c r="BH112" s="34" t="n">
        <f aca="false">IF($D112="","",MAX(0,$BF112))</f>
        <v>20.041067761807</v>
      </c>
      <c r="BI112" s="77" t="n">
        <f aca="false">IF($D112="","",YEAR($AI112))</f>
        <v>2027</v>
      </c>
      <c r="BJ112" s="77" t="n">
        <f aca="false">IF($D112="","",YEAR($AJ112))</f>
        <v>2028</v>
      </c>
      <c r="BK112" s="77" t="n">
        <f aca="false">IF($D112="","",YEAR($AH112))</f>
        <v>2025</v>
      </c>
      <c r="BL112" s="78" t="n">
        <v>1940</v>
      </c>
      <c r="BM112" s="44" t="n">
        <f aca="false">IF($AT112=1,$P112+(1000-ROW())/1000000,0)</f>
        <v>11846000.000888</v>
      </c>
    </row>
    <row r="113" customFormat="false" ht="15" hidden="false" customHeight="false" outlineLevel="0" collapsed="false">
      <c r="B113" s="60" t="n">
        <v>109</v>
      </c>
      <c r="C113" s="61" t="n">
        <v>30337</v>
      </c>
      <c r="D113" s="62" t="s">
        <v>564</v>
      </c>
      <c r="E113" s="62" t="s">
        <v>73</v>
      </c>
      <c r="F113" s="62" t="s">
        <v>73</v>
      </c>
      <c r="G113" s="62" t="s">
        <v>84</v>
      </c>
      <c r="H113" s="62" t="s">
        <v>417</v>
      </c>
      <c r="I113" s="63" t="s">
        <v>558</v>
      </c>
      <c r="J113" s="63" t="s">
        <v>558</v>
      </c>
      <c r="K113" s="63" t="s">
        <v>565</v>
      </c>
      <c r="L113" s="60"/>
      <c r="M113" s="60" t="n">
        <v>119</v>
      </c>
      <c r="N113" s="63" t="s">
        <v>566</v>
      </c>
      <c r="O113" s="63" t="s">
        <v>311</v>
      </c>
      <c r="P113" s="64" t="n">
        <v>9800000</v>
      </c>
      <c r="Q113" s="64" t="n">
        <v>0</v>
      </c>
      <c r="R113" s="64" t="n">
        <v>9800000</v>
      </c>
      <c r="S113" s="64" t="n">
        <v>0</v>
      </c>
      <c r="T113" s="64" t="n">
        <v>9800000</v>
      </c>
      <c r="U113" s="64" t="n">
        <v>17060000</v>
      </c>
      <c r="V113" s="64" t="n">
        <v>17060000</v>
      </c>
      <c r="W113" s="65" t="n">
        <v>0.574443141852286</v>
      </c>
      <c r="X113" s="65" t="n">
        <v>0.574443141852286</v>
      </c>
      <c r="Y113" s="57" t="n">
        <v>0.049</v>
      </c>
      <c r="Z113" s="57" t="n">
        <v>0.035</v>
      </c>
      <c r="AA113" s="57" t="n">
        <v>0</v>
      </c>
      <c r="AB113" s="57" t="n">
        <v>0</v>
      </c>
      <c r="AC113" s="63" t="s">
        <v>308</v>
      </c>
      <c r="AD113" s="57" t="n">
        <v>0.049</v>
      </c>
      <c r="AE113" s="57" t="n">
        <v>0.06</v>
      </c>
      <c r="AF113" s="66" t="n">
        <v>46902</v>
      </c>
      <c r="AG113" s="63" t="n">
        <v>6</v>
      </c>
      <c r="AH113" s="66" t="n">
        <v>46171</v>
      </c>
      <c r="AI113" s="66" t="n">
        <v>46935</v>
      </c>
      <c r="AJ113" s="66" t="n">
        <v>47300</v>
      </c>
      <c r="AK113" s="62" t="s">
        <v>123</v>
      </c>
      <c r="AL113" s="64" t="n">
        <v>7840000</v>
      </c>
      <c r="AM113" s="57" t="n">
        <v>0.0225</v>
      </c>
      <c r="AN113" s="62"/>
      <c r="AO113" s="64"/>
      <c r="AP113" s="57"/>
      <c r="AQ113" s="64" t="n">
        <v>1960000</v>
      </c>
      <c r="AR113" s="65" t="n">
        <v>0.1915</v>
      </c>
      <c r="AT113" s="26" t="n">
        <f aca="false">IF($D113="",0,IF(OR(StratFilter="All Loans",$E113=StratFilter),1,0))</f>
        <v>1</v>
      </c>
      <c r="AU113" s="18" t="str">
        <f aca="false">IF($D113="","",IFERROR(VLOOKUP(TRIM($K113),PropTypeMap,2,FALSE()),"Unmapped"))</f>
        <v>Mixed SNF / Senior Living</v>
      </c>
      <c r="AV113" s="21" t="str">
        <f aca="false">IF($D113="","",IFERROR(VLOOKUP($J113,RegionMap,2,FALSE()),"Unmapped"))</f>
        <v>Midwest</v>
      </c>
      <c r="AW113" s="21" t="str">
        <f aca="false">IF($D113="","",IF($AC113="SOFR","Floating (SOFR)","Fixed / All-In"))</f>
        <v>Floating (SOFR)</v>
      </c>
      <c r="AX113" s="24" t="n">
        <f aca="false">IF($D113="","",$AD113+SOFR)</f>
        <v>0.0855</v>
      </c>
      <c r="AY113" s="21" t="str">
        <f aca="false">IF($D113="","",IF($AF113="Waived","Waived",IF(ISNUMBER($AF113),IF($AF113&gt;AsOfDate,"In Place","Expired"),"None Reported")))</f>
        <v>In Place</v>
      </c>
      <c r="AZ113" s="21" t="str">
        <f aca="false">IF($D113="","",IF(ISNUMBER($AG113),IF($AG113=0,"None",$AG113&amp;" Months"),IF($AG113="","None Reported",$AG113)))</f>
        <v>6 Months</v>
      </c>
      <c r="BA113" s="18" t="str">
        <f aca="false">IF($D113="","",IF($AK113="","Unlevered",$AK113))</f>
        <v>Huntington Bank</v>
      </c>
      <c r="BB113" s="22" t="n">
        <f aca="false">IF($D113="","",SUM($AL113,$AO113))</f>
        <v>7840000</v>
      </c>
      <c r="BC113" s="23" t="n">
        <f aca="false">IF($D113="","",IF($P113&gt;0,$BB113/$P113,0))</f>
        <v>0.8</v>
      </c>
      <c r="BD113" s="25" t="n">
        <f aca="false">IF($D113="","",(AsOfDate-$AH113)/DaysPerMonth)</f>
        <v>1.05133470225873</v>
      </c>
      <c r="BE113" s="25" t="n">
        <f aca="false">IF($D113="","",($AI113-AsOfDate)/DaysPerMonth)</f>
        <v>24.0492813141684</v>
      </c>
      <c r="BF113" s="25" t="n">
        <f aca="false">IF($D113="","",($AJ113-AsOfDate)/DaysPerMonth)</f>
        <v>36.041067761807</v>
      </c>
      <c r="BG113" s="25" t="n">
        <f aca="false">IF($D113="","",MAX(0,$BE113))</f>
        <v>24.0492813141684</v>
      </c>
      <c r="BH113" s="25" t="n">
        <f aca="false">IF($D113="","",MAX(0,$BF113))</f>
        <v>36.041067761807</v>
      </c>
      <c r="BI113" s="67" t="n">
        <f aca="false">IF($D113="","",YEAR($AI113))</f>
        <v>2028</v>
      </c>
      <c r="BJ113" s="67" t="n">
        <f aca="false">IF($D113="","",YEAR($AJ113))</f>
        <v>2029</v>
      </c>
      <c r="BK113" s="67" t="n">
        <f aca="false">IF($D113="","",YEAR($AH113))</f>
        <v>2026</v>
      </c>
      <c r="BL113" s="68" t="n">
        <v>1966</v>
      </c>
      <c r="BM113" s="26" t="n">
        <f aca="false">IF($AT113=1,$P113+(1000-ROW())/1000000,0)</f>
        <v>9800000.000887</v>
      </c>
    </row>
    <row r="114" customFormat="false" ht="15" hidden="false" customHeight="false" outlineLevel="0" collapsed="false">
      <c r="B114" s="69" t="n">
        <v>110</v>
      </c>
      <c r="C114" s="70" t="n">
        <v>30332</v>
      </c>
      <c r="D114" s="71" t="s">
        <v>567</v>
      </c>
      <c r="E114" s="71" t="s">
        <v>73</v>
      </c>
      <c r="F114" s="71" t="s">
        <v>73</v>
      </c>
      <c r="G114" s="71" t="s">
        <v>84</v>
      </c>
      <c r="H114" s="71" t="s">
        <v>568</v>
      </c>
      <c r="I114" s="72" t="s">
        <v>508</v>
      </c>
      <c r="J114" s="72" t="s">
        <v>508</v>
      </c>
      <c r="K114" s="72" t="s">
        <v>545</v>
      </c>
      <c r="L114" s="69"/>
      <c r="M114" s="69" t="n">
        <v>87</v>
      </c>
      <c r="N114" s="72" t="s">
        <v>569</v>
      </c>
      <c r="O114" s="72" t="s">
        <v>570</v>
      </c>
      <c r="P114" s="73" t="n">
        <v>8750000</v>
      </c>
      <c r="Q114" s="73" t="n">
        <v>0</v>
      </c>
      <c r="R114" s="73" t="n">
        <v>8750000</v>
      </c>
      <c r="S114" s="73" t="n">
        <v>0</v>
      </c>
      <c r="T114" s="73" t="n">
        <v>8750000</v>
      </c>
      <c r="U114" s="73" t="n">
        <v>15800000</v>
      </c>
      <c r="V114" s="73" t="n">
        <v>17500000</v>
      </c>
      <c r="W114" s="74" t="n">
        <v>0.55379746835443</v>
      </c>
      <c r="X114" s="74" t="n">
        <v>0.5</v>
      </c>
      <c r="Y114" s="75" t="n">
        <v>0.0475</v>
      </c>
      <c r="Z114" s="75" t="n">
        <v>0.035</v>
      </c>
      <c r="AA114" s="75" t="n">
        <v>0</v>
      </c>
      <c r="AB114" s="75" t="n">
        <v>0</v>
      </c>
      <c r="AC114" s="72" t="s">
        <v>308</v>
      </c>
      <c r="AD114" s="75" t="n">
        <v>0.0475</v>
      </c>
      <c r="AE114" s="75" t="n">
        <v>0.06</v>
      </c>
      <c r="AF114" s="76" t="n">
        <v>46507</v>
      </c>
      <c r="AG114" s="72" t="n">
        <v>0</v>
      </c>
      <c r="AH114" s="76" t="n">
        <v>46142</v>
      </c>
      <c r="AI114" s="76" t="n">
        <v>46874</v>
      </c>
      <c r="AJ114" s="76" t="n">
        <v>47239</v>
      </c>
      <c r="AK114" s="71" t="s">
        <v>123</v>
      </c>
      <c r="AL114" s="73" t="n">
        <v>7000000</v>
      </c>
      <c r="AM114" s="75" t="n">
        <v>0.0225</v>
      </c>
      <c r="AN114" s="71"/>
      <c r="AO114" s="73"/>
      <c r="AP114" s="75"/>
      <c r="AQ114" s="73" t="n">
        <v>1750000</v>
      </c>
      <c r="AR114" s="74" t="n">
        <v>0.184</v>
      </c>
      <c r="AT114" s="44" t="n">
        <f aca="false">IF($D114="",0,IF(OR(StratFilter="All Loans",$E114=StratFilter),1,0))</f>
        <v>1</v>
      </c>
      <c r="AU114" s="27" t="str">
        <f aca="false">IF($D114="","",IFERROR(VLOOKUP(TRIM($K114),PropTypeMap,2,FALSE()),"Unmapped"))</f>
        <v>Assisted Living / Memory Care</v>
      </c>
      <c r="AV114" s="30" t="str">
        <f aca="false">IF($D114="","",IFERROR(VLOOKUP($J114,RegionMap,2,FALSE()),"Unmapped"))</f>
        <v>Pacific</v>
      </c>
      <c r="AW114" s="30" t="str">
        <f aca="false">IF($D114="","",IF($AC114="SOFR","Floating (SOFR)","Fixed / All-In"))</f>
        <v>Floating (SOFR)</v>
      </c>
      <c r="AX114" s="33" t="n">
        <f aca="false">IF($D114="","",$AD114+SOFR)</f>
        <v>0.084</v>
      </c>
      <c r="AY114" s="30" t="str">
        <f aca="false">IF($D114="","",IF($AF114="Waived","Waived",IF(ISNUMBER($AF114),IF($AF114&gt;AsOfDate,"In Place","Expired"),"None Reported")))</f>
        <v>In Place</v>
      </c>
      <c r="AZ114" s="30" t="str">
        <f aca="false">IF($D114="","",IF(ISNUMBER($AG114),IF($AG114=0,"None",$AG114&amp;" Months"),IF($AG114="","None Reported",$AG114)))</f>
        <v>None</v>
      </c>
      <c r="BA114" s="27" t="str">
        <f aca="false">IF($D114="","",IF($AK114="","Unlevered",$AK114))</f>
        <v>Huntington Bank</v>
      </c>
      <c r="BB114" s="31" t="n">
        <f aca="false">IF($D114="","",SUM($AL114,$AO114))</f>
        <v>7000000</v>
      </c>
      <c r="BC114" s="32" t="n">
        <f aca="false">IF($D114="","",IF($P114&gt;0,$BB114/$P114,0))</f>
        <v>0.8</v>
      </c>
      <c r="BD114" s="34" t="n">
        <f aca="false">IF($D114="","",(AsOfDate-$AH114)/DaysPerMonth)</f>
        <v>2.0041067761807</v>
      </c>
      <c r="BE114" s="34" t="n">
        <f aca="false">IF($D114="","",($AI114-AsOfDate)/DaysPerMonth)</f>
        <v>22.0451745379877</v>
      </c>
      <c r="BF114" s="34" t="n">
        <f aca="false">IF($D114="","",($AJ114-AsOfDate)/DaysPerMonth)</f>
        <v>34.0369609856263</v>
      </c>
      <c r="BG114" s="34" t="n">
        <f aca="false">IF($D114="","",MAX(0,$BE114))</f>
        <v>22.0451745379877</v>
      </c>
      <c r="BH114" s="34" t="n">
        <f aca="false">IF($D114="","",MAX(0,$BF114))</f>
        <v>34.0369609856263</v>
      </c>
      <c r="BI114" s="77" t="n">
        <f aca="false">IF($D114="","",YEAR($AI114))</f>
        <v>2028</v>
      </c>
      <c r="BJ114" s="77" t="n">
        <f aca="false">IF($D114="","",YEAR($AJ114))</f>
        <v>2029</v>
      </c>
      <c r="BK114" s="77" t="n">
        <f aca="false">IF($D114="","",YEAR($AH114))</f>
        <v>2026</v>
      </c>
      <c r="BL114" s="78" t="n">
        <v>1988</v>
      </c>
      <c r="BM114" s="44" t="n">
        <f aca="false">IF($AT114=1,$P114+(1000-ROW())/1000000,0)</f>
        <v>8750000.000886</v>
      </c>
    </row>
    <row r="115" customFormat="false" ht="15" hidden="false" customHeight="false" outlineLevel="0" collapsed="false">
      <c r="B115" s="60" t="n">
        <v>111</v>
      </c>
      <c r="C115" s="61" t="n">
        <v>30321</v>
      </c>
      <c r="D115" s="62" t="s">
        <v>571</v>
      </c>
      <c r="E115" s="62" t="s">
        <v>73</v>
      </c>
      <c r="F115" s="62" t="s">
        <v>73</v>
      </c>
      <c r="G115" s="62" t="s">
        <v>84</v>
      </c>
      <c r="H115" s="62" t="s">
        <v>572</v>
      </c>
      <c r="I115" s="63" t="s">
        <v>92</v>
      </c>
      <c r="J115" s="63" t="s">
        <v>92</v>
      </c>
      <c r="K115" s="63" t="s">
        <v>545</v>
      </c>
      <c r="L115" s="60"/>
      <c r="M115" s="60" t="n">
        <v>102</v>
      </c>
      <c r="N115" s="63" t="n">
        <v>1998</v>
      </c>
      <c r="O115" s="63" t="s">
        <v>311</v>
      </c>
      <c r="P115" s="64" t="n">
        <v>7300000</v>
      </c>
      <c r="Q115" s="64" t="n">
        <v>0</v>
      </c>
      <c r="R115" s="64" t="n">
        <v>7300000</v>
      </c>
      <c r="S115" s="64" t="n">
        <v>0</v>
      </c>
      <c r="T115" s="64" t="n">
        <v>7300000</v>
      </c>
      <c r="U115" s="64" t="n">
        <v>9700000</v>
      </c>
      <c r="V115" s="64" t="n">
        <v>9700000</v>
      </c>
      <c r="W115" s="65" t="n">
        <v>0.752577319587629</v>
      </c>
      <c r="X115" s="65" t="n">
        <v>0.752577319587629</v>
      </c>
      <c r="Y115" s="57" t="n">
        <v>0.0475</v>
      </c>
      <c r="Z115" s="57" t="n">
        <v>0.035</v>
      </c>
      <c r="AA115" s="57" t="n">
        <v>0</v>
      </c>
      <c r="AB115" s="57" t="n">
        <v>0</v>
      </c>
      <c r="AC115" s="63" t="s">
        <v>308</v>
      </c>
      <c r="AD115" s="57" t="n">
        <v>0.0475</v>
      </c>
      <c r="AE115" s="57" t="n">
        <v>0.04</v>
      </c>
      <c r="AF115" s="66" t="n">
        <v>46844</v>
      </c>
      <c r="AG115" s="63" t="n">
        <v>6</v>
      </c>
      <c r="AH115" s="66" t="n">
        <v>46111</v>
      </c>
      <c r="AI115" s="66" t="n">
        <v>46844</v>
      </c>
      <c r="AJ115" s="66" t="n">
        <v>47209</v>
      </c>
      <c r="AK115" s="62" t="s">
        <v>123</v>
      </c>
      <c r="AL115" s="64" t="n">
        <v>5840000</v>
      </c>
      <c r="AM115" s="57" t="n">
        <v>0.0225</v>
      </c>
      <c r="AN115" s="62"/>
      <c r="AO115" s="64"/>
      <c r="AP115" s="57"/>
      <c r="AQ115" s="64" t="n">
        <v>1460000</v>
      </c>
      <c r="AR115" s="65" t="n">
        <v>0.184</v>
      </c>
      <c r="AT115" s="26" t="n">
        <f aca="false">IF($D115="",0,IF(OR(StratFilter="All Loans",$E115=StratFilter),1,0))</f>
        <v>1</v>
      </c>
      <c r="AU115" s="18" t="str">
        <f aca="false">IF($D115="","",IFERROR(VLOOKUP(TRIM($K115),PropTypeMap,2,FALSE()),"Unmapped"))</f>
        <v>Assisted Living / Memory Care</v>
      </c>
      <c r="AV115" s="21" t="str">
        <f aca="false">IF($D115="","",IFERROR(VLOOKUP($J115,RegionMap,2,FALSE()),"Unmapped"))</f>
        <v>Southwest</v>
      </c>
      <c r="AW115" s="21" t="str">
        <f aca="false">IF($D115="","",IF($AC115="SOFR","Floating (SOFR)","Fixed / All-In"))</f>
        <v>Floating (SOFR)</v>
      </c>
      <c r="AX115" s="24" t="n">
        <f aca="false">IF($D115="","",$AD115+SOFR)</f>
        <v>0.084</v>
      </c>
      <c r="AY115" s="21" t="str">
        <f aca="false">IF($D115="","",IF($AF115="Waived","Waived",IF(ISNUMBER($AF115),IF($AF115&gt;AsOfDate,"In Place","Expired"),"None Reported")))</f>
        <v>In Place</v>
      </c>
      <c r="AZ115" s="21" t="str">
        <f aca="false">IF($D115="","",IF(ISNUMBER($AG115),IF($AG115=0,"None",$AG115&amp;" Months"),IF($AG115="","None Reported",$AG115)))</f>
        <v>6 Months</v>
      </c>
      <c r="BA115" s="18" t="str">
        <f aca="false">IF($D115="","",IF($AK115="","Unlevered",$AK115))</f>
        <v>Huntington Bank</v>
      </c>
      <c r="BB115" s="22" t="n">
        <f aca="false">IF($D115="","",SUM($AL115,$AO115))</f>
        <v>5840000</v>
      </c>
      <c r="BC115" s="23" t="n">
        <f aca="false">IF($D115="","",IF($P115&gt;0,$BB115/$P115,0))</f>
        <v>0.8</v>
      </c>
      <c r="BD115" s="25" t="n">
        <f aca="false">IF($D115="","",(AsOfDate-$AH115)/DaysPerMonth)</f>
        <v>3.02258726899384</v>
      </c>
      <c r="BE115" s="25" t="n">
        <f aca="false">IF($D115="","",($AI115-AsOfDate)/DaysPerMonth)</f>
        <v>21.0595482546201</v>
      </c>
      <c r="BF115" s="25" t="n">
        <f aca="false">IF($D115="","",($AJ115-AsOfDate)/DaysPerMonth)</f>
        <v>33.0513347022587</v>
      </c>
      <c r="BG115" s="25" t="n">
        <f aca="false">IF($D115="","",MAX(0,$BE115))</f>
        <v>21.0595482546201</v>
      </c>
      <c r="BH115" s="25" t="n">
        <f aca="false">IF($D115="","",MAX(0,$BF115))</f>
        <v>33.0513347022587</v>
      </c>
      <c r="BI115" s="67" t="n">
        <f aca="false">IF($D115="","",YEAR($AI115))</f>
        <v>2028</v>
      </c>
      <c r="BJ115" s="67" t="n">
        <f aca="false">IF($D115="","",YEAR($AJ115))</f>
        <v>2029</v>
      </c>
      <c r="BK115" s="67" t="n">
        <f aca="false">IF($D115="","",YEAR($AH115))</f>
        <v>2026</v>
      </c>
      <c r="BL115" s="68" t="n">
        <v>1998</v>
      </c>
      <c r="BM115" s="26" t="n">
        <f aca="false">IF($AT115=1,$P115+(1000-ROW())/1000000,0)</f>
        <v>7300000.000885</v>
      </c>
    </row>
    <row r="116" customFormat="false" ht="15" hidden="false" customHeight="false" outlineLevel="0" collapsed="false">
      <c r="B116" s="69" t="n">
        <v>112</v>
      </c>
      <c r="C116" s="70" t="n">
        <v>30279</v>
      </c>
      <c r="D116" s="71" t="s">
        <v>573</v>
      </c>
      <c r="E116" s="71" t="s">
        <v>73</v>
      </c>
      <c r="F116" s="71" t="s">
        <v>73</v>
      </c>
      <c r="G116" s="71" t="s">
        <v>89</v>
      </c>
      <c r="H116" s="71" t="s">
        <v>417</v>
      </c>
      <c r="I116" s="72" t="s">
        <v>96</v>
      </c>
      <c r="J116" s="72" t="s">
        <v>96</v>
      </c>
      <c r="K116" s="72" t="s">
        <v>521</v>
      </c>
      <c r="L116" s="69"/>
      <c r="M116" s="69" t="n">
        <v>518</v>
      </c>
      <c r="N116" s="72" t="s">
        <v>574</v>
      </c>
      <c r="O116" s="72" t="s">
        <v>311</v>
      </c>
      <c r="P116" s="73" t="n">
        <v>41000000</v>
      </c>
      <c r="Q116" s="73" t="n">
        <v>0</v>
      </c>
      <c r="R116" s="73" t="n">
        <v>41000000</v>
      </c>
      <c r="S116" s="73" t="n">
        <v>0</v>
      </c>
      <c r="T116" s="73" t="n">
        <v>41000000</v>
      </c>
      <c r="U116" s="73" t="n">
        <v>77410000</v>
      </c>
      <c r="V116" s="73" t="n">
        <v>77810000</v>
      </c>
      <c r="W116" s="74" t="n">
        <v>0.52780325539336</v>
      </c>
      <c r="X116" s="74" t="n">
        <v>0.526924559825215</v>
      </c>
      <c r="Y116" s="75" t="n">
        <v>0.0475</v>
      </c>
      <c r="Z116" s="75" t="n">
        <v>0.0431</v>
      </c>
      <c r="AA116" s="75" t="n">
        <v>0.001</v>
      </c>
      <c r="AB116" s="75" t="n">
        <v>0</v>
      </c>
      <c r="AC116" s="72" t="s">
        <v>308</v>
      </c>
      <c r="AD116" s="75" t="n">
        <v>0.0551</v>
      </c>
      <c r="AE116" s="75" t="n">
        <v>0.065</v>
      </c>
      <c r="AF116" s="76" t="n">
        <v>46844</v>
      </c>
      <c r="AG116" s="72" t="n">
        <v>6</v>
      </c>
      <c r="AH116" s="76" t="n">
        <v>45736</v>
      </c>
      <c r="AI116" s="76" t="n">
        <v>46478</v>
      </c>
      <c r="AJ116" s="76" t="n">
        <v>46844</v>
      </c>
      <c r="AK116" s="71"/>
      <c r="AL116" s="73"/>
      <c r="AM116" s="75"/>
      <c r="AN116" s="71"/>
      <c r="AO116" s="73"/>
      <c r="AP116" s="75"/>
      <c r="AQ116" s="73" t="n">
        <v>41000000</v>
      </c>
      <c r="AR116" s="74" t="n">
        <v>0.0916</v>
      </c>
      <c r="AT116" s="44" t="n">
        <f aca="false">IF($D116="",0,IF(OR(StratFilter="All Loans",$E116=StratFilter),1,0))</f>
        <v>1</v>
      </c>
      <c r="AU116" s="27" t="str">
        <f aca="false">IF($D116="","",IFERROR(VLOOKUP(TRIM($K116),PropTypeMap,2,FALSE()),"Unmapped"))</f>
        <v>Assisted Living / Memory Care</v>
      </c>
      <c r="AV116" s="30" t="str">
        <f aca="false">IF($D116="","",IFERROR(VLOOKUP($J116,RegionMap,2,FALSE()),"Unmapped"))</f>
        <v>Midwest</v>
      </c>
      <c r="AW116" s="30" t="str">
        <f aca="false">IF($D116="","",IF($AC116="SOFR","Floating (SOFR)","Fixed / All-In"))</f>
        <v>Floating (SOFR)</v>
      </c>
      <c r="AX116" s="33" t="n">
        <f aca="false">IF($D116="","",$AD116+SOFR)</f>
        <v>0.0916</v>
      </c>
      <c r="AY116" s="30" t="str">
        <f aca="false">IF($D116="","",IF($AF116="Waived","Waived",IF(ISNUMBER($AF116),IF($AF116&gt;AsOfDate,"In Place","Expired"),"None Reported")))</f>
        <v>In Place</v>
      </c>
      <c r="AZ116" s="30" t="str">
        <f aca="false">IF($D116="","",IF(ISNUMBER($AG116),IF($AG116=0,"None",$AG116&amp;" Months"),IF($AG116="","None Reported",$AG116)))</f>
        <v>6 Months</v>
      </c>
      <c r="BA116" s="27" t="str">
        <f aca="false">IF($D116="","",IF($AK116="","Unlevered",$AK116))</f>
        <v>Unlevered</v>
      </c>
      <c r="BB116" s="31" t="n">
        <f aca="false">IF($D116="","",SUM($AL116,$AO116))</f>
        <v>0</v>
      </c>
      <c r="BC116" s="32" t="n">
        <f aca="false">IF($D116="","",IF($P116&gt;0,$BB116/$P116,0))</f>
        <v>0</v>
      </c>
      <c r="BD116" s="34" t="n">
        <f aca="false">IF($D116="","",(AsOfDate-$AH116)/DaysPerMonth)</f>
        <v>15.3429158110883</v>
      </c>
      <c r="BE116" s="34" t="n">
        <f aca="false">IF($D116="","",($AI116-AsOfDate)/DaysPerMonth)</f>
        <v>9.03490759753593</v>
      </c>
      <c r="BF116" s="34" t="n">
        <f aca="false">IF($D116="","",($AJ116-AsOfDate)/DaysPerMonth)</f>
        <v>21.0595482546201</v>
      </c>
      <c r="BG116" s="34" t="n">
        <f aca="false">IF($D116="","",MAX(0,$BE116))</f>
        <v>9.03490759753593</v>
      </c>
      <c r="BH116" s="34" t="n">
        <f aca="false">IF($D116="","",MAX(0,$BF116))</f>
        <v>21.0595482546201</v>
      </c>
      <c r="BI116" s="77" t="n">
        <f aca="false">IF($D116="","",YEAR($AI116))</f>
        <v>2027</v>
      </c>
      <c r="BJ116" s="77" t="n">
        <f aca="false">IF($D116="","",YEAR($AJ116))</f>
        <v>2028</v>
      </c>
      <c r="BK116" s="77" t="n">
        <f aca="false">IF($D116="","",YEAR($AH116))</f>
        <v>2025</v>
      </c>
      <c r="BL116" s="78" t="n">
        <v>1985</v>
      </c>
      <c r="BM116" s="44" t="n">
        <f aca="false">IF($AT116=1,$P116+(1000-ROW())/1000000,0)</f>
        <v>41000000.000884</v>
      </c>
    </row>
    <row r="117" customFormat="false" ht="15" hidden="false" customHeight="false" outlineLevel="0" collapsed="false">
      <c r="B117" s="60" t="n">
        <v>113</v>
      </c>
      <c r="C117" s="61" t="n">
        <v>1002</v>
      </c>
      <c r="D117" s="62" t="s">
        <v>575</v>
      </c>
      <c r="E117" s="62" t="s">
        <v>73</v>
      </c>
      <c r="F117" s="62" t="s">
        <v>73</v>
      </c>
      <c r="G117" s="62" t="s">
        <v>89</v>
      </c>
      <c r="H117" s="62" t="s">
        <v>417</v>
      </c>
      <c r="I117" s="63" t="s">
        <v>576</v>
      </c>
      <c r="J117" s="63" t="s">
        <v>534</v>
      </c>
      <c r="K117" s="63" t="s">
        <v>485</v>
      </c>
      <c r="L117" s="60"/>
      <c r="M117" s="60" t="n">
        <v>536</v>
      </c>
      <c r="N117" s="63" t="s">
        <v>417</v>
      </c>
      <c r="O117" s="63" t="s">
        <v>417</v>
      </c>
      <c r="P117" s="64" t="n">
        <v>7500000</v>
      </c>
      <c r="Q117" s="64" t="n">
        <v>400000</v>
      </c>
      <c r="R117" s="64" t="n">
        <v>7900000</v>
      </c>
      <c r="S117" s="64" t="n">
        <v>0</v>
      </c>
      <c r="T117" s="64" t="n">
        <v>40000000</v>
      </c>
      <c r="U117" s="64" t="n">
        <v>38500000</v>
      </c>
      <c r="V117" s="64" t="n">
        <v>41860000</v>
      </c>
      <c r="W117" s="65"/>
      <c r="X117" s="65"/>
      <c r="Y117" s="57" t="n">
        <v>0.09</v>
      </c>
      <c r="Z117" s="57"/>
      <c r="AA117" s="57" t="n">
        <v>0</v>
      </c>
      <c r="AB117" s="57" t="n">
        <v>0</v>
      </c>
      <c r="AC117" s="63"/>
      <c r="AD117" s="57" t="n">
        <v>0.09</v>
      </c>
      <c r="AE117" s="57"/>
      <c r="AF117" s="66"/>
      <c r="AG117" s="63" t="s">
        <v>140</v>
      </c>
      <c r="AH117" s="66" t="n">
        <v>43768</v>
      </c>
      <c r="AI117" s="66" t="n">
        <v>45597</v>
      </c>
      <c r="AJ117" s="66" t="n">
        <v>45960</v>
      </c>
      <c r="AK117" s="62"/>
      <c r="AL117" s="64"/>
      <c r="AM117" s="57"/>
      <c r="AN117" s="62"/>
      <c r="AO117" s="64"/>
      <c r="AP117" s="57"/>
      <c r="AQ117" s="64" t="n">
        <v>7500000</v>
      </c>
      <c r="AR117" s="65" t="n">
        <v>0.1265</v>
      </c>
      <c r="AT117" s="26" t="n">
        <f aca="false">IF($D117="",0,IF(OR(StratFilter="All Loans",$E117=StratFilter),1,0))</f>
        <v>1</v>
      </c>
      <c r="AU117" s="18" t="str">
        <f aca="false">IF($D117="","",IFERROR(VLOOKUP(TRIM($K117),PropTypeMap,2,FALSE()),"Unmapped"))</f>
        <v>Skilled Nursing</v>
      </c>
      <c r="AV117" s="21" t="str">
        <f aca="false">IF($D117="","",IFERROR(VLOOKUP($J117,RegionMap,2,FALSE()),"Unmapped"))</f>
        <v>Northeast</v>
      </c>
      <c r="AW117" s="21" t="str">
        <f aca="false">IF($D117="","",IF($AC117="SOFR","Floating (SOFR)","Fixed / All-In"))</f>
        <v>Fixed / All-In</v>
      </c>
      <c r="AX117" s="24" t="n">
        <f aca="false">IF($D117="","",$AD117+SOFR)</f>
        <v>0.1265</v>
      </c>
      <c r="AY117" s="21" t="str">
        <f aca="false">IF($D117="","",IF($AF117="Waived","Waived",IF(ISNUMBER($AF117),IF($AF117&gt;AsOfDate,"In Place","Expired"),"None Reported")))</f>
        <v>None Reported</v>
      </c>
      <c r="AZ117" s="21" t="str">
        <f aca="false">IF($D117="","",IF(ISNUMBER($AG117),IF($AG117=0,"None",$AG117&amp;" Months"),IF($AG117="","None Reported",$AG117)))</f>
        <v>None</v>
      </c>
      <c r="BA117" s="18" t="str">
        <f aca="false">IF($D117="","",IF($AK117="","Unlevered",$AK117))</f>
        <v>Unlevered</v>
      </c>
      <c r="BB117" s="22" t="n">
        <f aca="false">IF($D117="","",SUM($AL117,$AO117))</f>
        <v>0</v>
      </c>
      <c r="BC117" s="23" t="n">
        <f aca="false">IF($D117="","",IF($P117&gt;0,$BB117/$P117,0))</f>
        <v>0</v>
      </c>
      <c r="BD117" s="25" t="n">
        <f aca="false">IF($D117="","",(AsOfDate-$AH117)/DaysPerMonth)</f>
        <v>80</v>
      </c>
      <c r="BE117" s="25" t="n">
        <f aca="false">IF($D117="","",($AI117-AsOfDate)/DaysPerMonth)</f>
        <v>-19.9096509240246</v>
      </c>
      <c r="BF117" s="25" t="n">
        <f aca="false">IF($D117="","",($AJ117-AsOfDate)/DaysPerMonth)</f>
        <v>-7.98357289527721</v>
      </c>
      <c r="BG117" s="25" t="n">
        <f aca="false">IF($D117="","",MAX(0,$BE117))</f>
        <v>0</v>
      </c>
      <c r="BH117" s="25" t="n">
        <f aca="false">IF($D117="","",MAX(0,$BF117))</f>
        <v>0</v>
      </c>
      <c r="BI117" s="67" t="n">
        <f aca="false">IF($D117="","",YEAR($AI117))</f>
        <v>2024</v>
      </c>
      <c r="BJ117" s="67" t="n">
        <f aca="false">IF($D117="","",YEAR($AJ117))</f>
        <v>2025</v>
      </c>
      <c r="BK117" s="67" t="n">
        <f aca="false">IF($D117="","",YEAR($AH117))</f>
        <v>2019</v>
      </c>
      <c r="BL117" s="68"/>
      <c r="BM117" s="26" t="n">
        <f aca="false">IF($AT117=1,$P117+(1000-ROW())/1000000,0)</f>
        <v>7500000.000883</v>
      </c>
    </row>
    <row r="118" customFormat="false" ht="15" hidden="false" customHeight="false" outlineLevel="0" collapsed="false">
      <c r="B118" s="69" t="n">
        <v>114</v>
      </c>
      <c r="C118" s="70" t="n">
        <v>30267</v>
      </c>
      <c r="D118" s="71" t="s">
        <v>577</v>
      </c>
      <c r="E118" s="71" t="s">
        <v>73</v>
      </c>
      <c r="F118" s="71" t="s">
        <v>73</v>
      </c>
      <c r="G118" s="71" t="s">
        <v>85</v>
      </c>
      <c r="H118" s="71" t="s">
        <v>578</v>
      </c>
      <c r="I118" s="72" t="s">
        <v>92</v>
      </c>
      <c r="J118" s="72" t="s">
        <v>92</v>
      </c>
      <c r="K118" s="72" t="s">
        <v>485</v>
      </c>
      <c r="L118" s="69"/>
      <c r="M118" s="69" t="n">
        <v>190</v>
      </c>
      <c r="N118" s="72" t="s">
        <v>579</v>
      </c>
      <c r="O118" s="72" t="s">
        <v>580</v>
      </c>
      <c r="P118" s="73" t="n">
        <v>30000000</v>
      </c>
      <c r="Q118" s="73" t="n">
        <v>0</v>
      </c>
      <c r="R118" s="73" t="n">
        <v>30000000</v>
      </c>
      <c r="S118" s="73" t="n">
        <v>3000000</v>
      </c>
      <c r="T118" s="73" t="n">
        <v>33000000</v>
      </c>
      <c r="U118" s="73" t="n">
        <v>49500000</v>
      </c>
      <c r="V118" s="73" t="n">
        <v>49500000</v>
      </c>
      <c r="W118" s="74" t="n">
        <v>0.606060606060606</v>
      </c>
      <c r="X118" s="74" t="n">
        <v>0.666666666666667</v>
      </c>
      <c r="Y118" s="75" t="n">
        <v>0.0525</v>
      </c>
      <c r="Z118" s="75" t="n">
        <v>0.035</v>
      </c>
      <c r="AA118" s="75" t="n">
        <v>0.001</v>
      </c>
      <c r="AB118" s="75" t="n">
        <v>0</v>
      </c>
      <c r="AC118" s="72" t="s">
        <v>308</v>
      </c>
      <c r="AD118" s="75" t="n">
        <v>0.0535</v>
      </c>
      <c r="AE118" s="75" t="n">
        <v>0.06</v>
      </c>
      <c r="AF118" s="76" t="n">
        <v>46569</v>
      </c>
      <c r="AG118" s="72" t="n">
        <v>6</v>
      </c>
      <c r="AH118" s="76" t="n">
        <v>45649</v>
      </c>
      <c r="AI118" s="76" t="n">
        <v>46569</v>
      </c>
      <c r="AJ118" s="76" t="n">
        <v>46753</v>
      </c>
      <c r="AK118" s="71"/>
      <c r="AL118" s="73"/>
      <c r="AM118" s="75"/>
      <c r="AN118" s="71"/>
      <c r="AO118" s="73"/>
      <c r="AP118" s="75"/>
      <c r="AQ118" s="73" t="n">
        <v>30000000</v>
      </c>
      <c r="AR118" s="74" t="n">
        <v>0.09</v>
      </c>
      <c r="AT118" s="44" t="n">
        <f aca="false">IF($D118="",0,IF(OR(StratFilter="All Loans",$E118=StratFilter),1,0))</f>
        <v>1</v>
      </c>
      <c r="AU118" s="27" t="str">
        <f aca="false">IF($D118="","",IFERROR(VLOOKUP(TRIM($K118),PropTypeMap,2,FALSE()),"Unmapped"))</f>
        <v>Skilled Nursing</v>
      </c>
      <c r="AV118" s="30" t="str">
        <f aca="false">IF($D118="","",IFERROR(VLOOKUP($J118,RegionMap,2,FALSE()),"Unmapped"))</f>
        <v>Southwest</v>
      </c>
      <c r="AW118" s="30" t="str">
        <f aca="false">IF($D118="","",IF($AC118="SOFR","Floating (SOFR)","Fixed / All-In"))</f>
        <v>Floating (SOFR)</v>
      </c>
      <c r="AX118" s="33" t="n">
        <f aca="false">IF($D118="","",$AD118+SOFR)</f>
        <v>0.09</v>
      </c>
      <c r="AY118" s="30" t="str">
        <f aca="false">IF($D118="","",IF($AF118="Waived","Waived",IF(ISNUMBER($AF118),IF($AF118&gt;AsOfDate,"In Place","Expired"),"None Reported")))</f>
        <v>In Place</v>
      </c>
      <c r="AZ118" s="30" t="str">
        <f aca="false">IF($D118="","",IF(ISNUMBER($AG118),IF($AG118=0,"None",$AG118&amp;" Months"),IF($AG118="","None Reported",$AG118)))</f>
        <v>6 Months</v>
      </c>
      <c r="BA118" s="27" t="str">
        <f aca="false">IF($D118="","",IF($AK118="","Unlevered",$AK118))</f>
        <v>Unlevered</v>
      </c>
      <c r="BB118" s="31" t="n">
        <f aca="false">IF($D118="","",SUM($AL118,$AO118))</f>
        <v>0</v>
      </c>
      <c r="BC118" s="32" t="n">
        <f aca="false">IF($D118="","",IF($P118&gt;0,$BB118/$P118,0))</f>
        <v>0</v>
      </c>
      <c r="BD118" s="34" t="n">
        <f aca="false">IF($D118="","",(AsOfDate-$AH118)/DaysPerMonth)</f>
        <v>18.2012320328542</v>
      </c>
      <c r="BE118" s="34" t="n">
        <f aca="false">IF($D118="","",($AI118-AsOfDate)/DaysPerMonth)</f>
        <v>12.0246406570842</v>
      </c>
      <c r="BF118" s="34" t="n">
        <f aca="false">IF($D118="","",($AJ118-AsOfDate)/DaysPerMonth)</f>
        <v>18.0698151950719</v>
      </c>
      <c r="BG118" s="34" t="n">
        <f aca="false">IF($D118="","",MAX(0,$BE118))</f>
        <v>12.0246406570842</v>
      </c>
      <c r="BH118" s="34" t="n">
        <f aca="false">IF($D118="","",MAX(0,$BF118))</f>
        <v>18.0698151950719</v>
      </c>
      <c r="BI118" s="77" t="n">
        <f aca="false">IF($D118="","",YEAR($AI118))</f>
        <v>2027</v>
      </c>
      <c r="BJ118" s="77" t="n">
        <f aca="false">IF($D118="","",YEAR($AJ118))</f>
        <v>2028</v>
      </c>
      <c r="BK118" s="77" t="n">
        <f aca="false">IF($D118="","",YEAR($AH118))</f>
        <v>2024</v>
      </c>
      <c r="BL118" s="78" t="n">
        <v>1980</v>
      </c>
      <c r="BM118" s="44" t="n">
        <f aca="false">IF($AT118=1,$P118+(1000-ROW())/1000000,0)</f>
        <v>30000000.000882</v>
      </c>
    </row>
    <row r="119" customFormat="false" ht="15" hidden="false" customHeight="false" outlineLevel="0" collapsed="false">
      <c r="B119" s="60" t="n">
        <v>115</v>
      </c>
      <c r="C119" s="61" t="n">
        <v>30253</v>
      </c>
      <c r="D119" s="62" t="s">
        <v>581</v>
      </c>
      <c r="E119" s="62" t="s">
        <v>73</v>
      </c>
      <c r="F119" s="62" t="s">
        <v>73</v>
      </c>
      <c r="G119" s="62" t="s">
        <v>85</v>
      </c>
      <c r="H119" s="62" t="s">
        <v>417</v>
      </c>
      <c r="I119" s="63" t="s">
        <v>97</v>
      </c>
      <c r="J119" s="63" t="s">
        <v>97</v>
      </c>
      <c r="K119" s="63" t="s">
        <v>485</v>
      </c>
      <c r="L119" s="60"/>
      <c r="M119" s="60" t="n">
        <v>260</v>
      </c>
      <c r="N119" s="63" t="s">
        <v>582</v>
      </c>
      <c r="O119" s="63" t="s">
        <v>583</v>
      </c>
      <c r="P119" s="64" t="n">
        <v>25852827</v>
      </c>
      <c r="Q119" s="64" t="n">
        <v>0</v>
      </c>
      <c r="R119" s="64" t="n">
        <v>25852827</v>
      </c>
      <c r="S119" s="64" t="n">
        <v>6940000</v>
      </c>
      <c r="T119" s="64" t="n">
        <v>36115000</v>
      </c>
      <c r="U119" s="64" t="n">
        <v>45800000</v>
      </c>
      <c r="V119" s="64" t="n">
        <v>45800000</v>
      </c>
      <c r="W119" s="65" t="n">
        <v>0.637008733624454</v>
      </c>
      <c r="X119" s="65" t="n">
        <v>0.78853711790393</v>
      </c>
      <c r="Y119" s="57" t="n">
        <v>0.0415</v>
      </c>
      <c r="Z119" s="57" t="n">
        <v>0.04</v>
      </c>
      <c r="AA119" s="57" t="n">
        <v>0.001</v>
      </c>
      <c r="AB119" s="57" t="n">
        <v>0</v>
      </c>
      <c r="AC119" s="63" t="s">
        <v>308</v>
      </c>
      <c r="AD119" s="57" t="n">
        <v>0.046</v>
      </c>
      <c r="AE119" s="57" t="n">
        <v>0.045</v>
      </c>
      <c r="AF119" s="66" t="n">
        <v>46235</v>
      </c>
      <c r="AG119" s="63" t="n">
        <v>12</v>
      </c>
      <c r="AH119" s="66" t="n">
        <v>45504</v>
      </c>
      <c r="AI119" s="66" t="n">
        <v>46235</v>
      </c>
      <c r="AJ119" s="66" t="n">
        <v>46600</v>
      </c>
      <c r="AK119" s="62"/>
      <c r="AL119" s="64"/>
      <c r="AM119" s="57"/>
      <c r="AN119" s="62"/>
      <c r="AO119" s="64"/>
      <c r="AP119" s="57"/>
      <c r="AQ119" s="64" t="n">
        <v>25852827</v>
      </c>
      <c r="AR119" s="65" t="n">
        <v>0.0825</v>
      </c>
      <c r="AT119" s="26" t="n">
        <f aca="false">IF($D119="",0,IF(OR(StratFilter="All Loans",$E119=StratFilter),1,0))</f>
        <v>1</v>
      </c>
      <c r="AU119" s="18" t="str">
        <f aca="false">IF($D119="","",IFERROR(VLOOKUP(TRIM($K119),PropTypeMap,2,FALSE()),"Unmapped"))</f>
        <v>Skilled Nursing</v>
      </c>
      <c r="AV119" s="21" t="str">
        <f aca="false">IF($D119="","",IFERROR(VLOOKUP($J119,RegionMap,2,FALSE()),"Unmapped"))</f>
        <v>Southeast</v>
      </c>
      <c r="AW119" s="21" t="str">
        <f aca="false">IF($D119="","",IF($AC119="SOFR","Floating (SOFR)","Fixed / All-In"))</f>
        <v>Floating (SOFR)</v>
      </c>
      <c r="AX119" s="24" t="n">
        <f aca="false">IF($D119="","",$AD119+SOFR)</f>
        <v>0.0825</v>
      </c>
      <c r="AY119" s="21" t="str">
        <f aca="false">IF($D119="","",IF($AF119="Waived","Waived",IF(ISNUMBER($AF119),IF($AF119&gt;AsOfDate,"In Place","Expired"),"None Reported")))</f>
        <v>In Place</v>
      </c>
      <c r="AZ119" s="21" t="str">
        <f aca="false">IF($D119="","",IF(ISNUMBER($AG119),IF($AG119=0,"None",$AG119&amp;" Months"),IF($AG119="","None Reported",$AG119)))</f>
        <v>12 Months</v>
      </c>
      <c r="BA119" s="18" t="str">
        <f aca="false">IF($D119="","",IF($AK119="","Unlevered",$AK119))</f>
        <v>Unlevered</v>
      </c>
      <c r="BB119" s="22" t="n">
        <f aca="false">IF($D119="","",SUM($AL119,$AO119))</f>
        <v>0</v>
      </c>
      <c r="BC119" s="23" t="n">
        <f aca="false">IF($D119="","",IF($P119&gt;0,$BB119/$P119,0))</f>
        <v>0</v>
      </c>
      <c r="BD119" s="25" t="n">
        <f aca="false">IF($D119="","",(AsOfDate-$AH119)/DaysPerMonth)</f>
        <v>22.9650924024641</v>
      </c>
      <c r="BE119" s="25" t="n">
        <f aca="false">IF($D119="","",($AI119-AsOfDate)/DaysPerMonth)</f>
        <v>1.05133470225873</v>
      </c>
      <c r="BF119" s="25" t="n">
        <f aca="false">IF($D119="","",($AJ119-AsOfDate)/DaysPerMonth)</f>
        <v>13.0431211498973</v>
      </c>
      <c r="BG119" s="25" t="n">
        <f aca="false">IF($D119="","",MAX(0,$BE119))</f>
        <v>1.05133470225873</v>
      </c>
      <c r="BH119" s="25" t="n">
        <f aca="false">IF($D119="","",MAX(0,$BF119))</f>
        <v>13.0431211498973</v>
      </c>
      <c r="BI119" s="67" t="n">
        <f aca="false">IF($D119="","",YEAR($AI119))</f>
        <v>2026</v>
      </c>
      <c r="BJ119" s="67" t="n">
        <f aca="false">IF($D119="","",YEAR($AJ119))</f>
        <v>2027</v>
      </c>
      <c r="BK119" s="67" t="n">
        <f aca="false">IF($D119="","",YEAR($AH119))</f>
        <v>2024</v>
      </c>
      <c r="BL119" s="68" t="n">
        <v>1980</v>
      </c>
      <c r="BM119" s="26" t="n">
        <f aca="false">IF($AT119=1,$P119+(1000-ROW())/1000000,0)</f>
        <v>25852827.000881</v>
      </c>
    </row>
    <row r="120" customFormat="false" ht="15" hidden="false" customHeight="false" outlineLevel="0" collapsed="false">
      <c r="B120" s="69" t="n">
        <v>116</v>
      </c>
      <c r="C120" s="70" t="n">
        <v>30086</v>
      </c>
      <c r="D120" s="71" t="s">
        <v>584</v>
      </c>
      <c r="E120" s="71" t="s">
        <v>73</v>
      </c>
      <c r="F120" s="71" t="s">
        <v>73</v>
      </c>
      <c r="G120" s="71" t="s">
        <v>89</v>
      </c>
      <c r="H120" s="71" t="s">
        <v>585</v>
      </c>
      <c r="I120" s="72" t="s">
        <v>97</v>
      </c>
      <c r="J120" s="72" t="s">
        <v>97</v>
      </c>
      <c r="K120" s="72" t="s">
        <v>543</v>
      </c>
      <c r="L120" s="69"/>
      <c r="M120" s="69" t="n">
        <v>120</v>
      </c>
      <c r="N120" s="72" t="n">
        <v>1985</v>
      </c>
      <c r="O120" s="72" t="n">
        <v>2018</v>
      </c>
      <c r="P120" s="73" t="n">
        <v>23000000</v>
      </c>
      <c r="Q120" s="73" t="n">
        <v>0</v>
      </c>
      <c r="R120" s="73" t="n">
        <v>23000000</v>
      </c>
      <c r="S120" s="73" t="n">
        <v>0</v>
      </c>
      <c r="T120" s="73" t="n">
        <v>23000000</v>
      </c>
      <c r="U120" s="73" t="n">
        <v>33800000</v>
      </c>
      <c r="V120" s="73" t="n">
        <v>34400000</v>
      </c>
      <c r="W120" s="74" t="n">
        <v>0.679737928994083</v>
      </c>
      <c r="X120" s="74" t="n">
        <v>0.668604651162791</v>
      </c>
      <c r="Y120" s="75" t="n">
        <v>0.054</v>
      </c>
      <c r="Z120" s="75" t="n">
        <v>0.005</v>
      </c>
      <c r="AA120" s="75" t="n">
        <v>0.001</v>
      </c>
      <c r="AB120" s="75" t="n">
        <v>0</v>
      </c>
      <c r="AC120" s="72" t="s">
        <v>308</v>
      </c>
      <c r="AD120" s="75" t="n">
        <v>0.055</v>
      </c>
      <c r="AE120" s="75"/>
      <c r="AF120" s="76"/>
      <c r="AG120" s="72" t="n">
        <v>6</v>
      </c>
      <c r="AH120" s="76" t="n">
        <v>44448</v>
      </c>
      <c r="AI120" s="76" t="n">
        <v>45200</v>
      </c>
      <c r="AJ120" s="76" t="n">
        <v>45839</v>
      </c>
      <c r="AK120" s="71"/>
      <c r="AL120" s="73"/>
      <c r="AM120" s="75"/>
      <c r="AN120" s="71"/>
      <c r="AO120" s="73"/>
      <c r="AP120" s="75"/>
      <c r="AQ120" s="73" t="n">
        <v>23000000</v>
      </c>
      <c r="AR120" s="74" t="n">
        <v>0.0915</v>
      </c>
      <c r="AT120" s="44" t="n">
        <f aca="false">IF($D120="",0,IF(OR(StratFilter="All Loans",$E120=StratFilter),1,0))</f>
        <v>1</v>
      </c>
      <c r="AU120" s="27" t="str">
        <f aca="false">IF($D120="","",IFERROR(VLOOKUP(TRIM($K120),PropTypeMap,2,FALSE()),"Unmapped"))</f>
        <v>Assisted Living / Memory Care</v>
      </c>
      <c r="AV120" s="30" t="str">
        <f aca="false">IF($D120="","",IFERROR(VLOOKUP($J120,RegionMap,2,FALSE()),"Unmapped"))</f>
        <v>Southeast</v>
      </c>
      <c r="AW120" s="30" t="str">
        <f aca="false">IF($D120="","",IF($AC120="SOFR","Floating (SOFR)","Fixed / All-In"))</f>
        <v>Floating (SOFR)</v>
      </c>
      <c r="AX120" s="33" t="n">
        <f aca="false">IF($D120="","",$AD120+SOFR)</f>
        <v>0.0915</v>
      </c>
      <c r="AY120" s="30" t="str">
        <f aca="false">IF($D120="","",IF($AF120="Waived","Waived",IF(ISNUMBER($AF120),IF($AF120&gt;AsOfDate,"In Place","Expired"),"None Reported")))</f>
        <v>None Reported</v>
      </c>
      <c r="AZ120" s="30" t="str">
        <f aca="false">IF($D120="","",IF(ISNUMBER($AG120),IF($AG120=0,"None",$AG120&amp;" Months"),IF($AG120="","None Reported",$AG120)))</f>
        <v>6 Months</v>
      </c>
      <c r="BA120" s="27" t="str">
        <f aca="false">IF($D120="","",IF($AK120="","Unlevered",$AK120))</f>
        <v>Unlevered</v>
      </c>
      <c r="BB120" s="31" t="n">
        <f aca="false">IF($D120="","",SUM($AL120,$AO120))</f>
        <v>0</v>
      </c>
      <c r="BC120" s="32" t="n">
        <f aca="false">IF($D120="","",IF($P120&gt;0,$BB120/$P120,0))</f>
        <v>0</v>
      </c>
      <c r="BD120" s="34" t="n">
        <f aca="false">IF($D120="","",(AsOfDate-$AH120)/DaysPerMonth)</f>
        <v>57.6591375770021</v>
      </c>
      <c r="BE120" s="34" t="n">
        <f aca="false">IF($D120="","",($AI120-AsOfDate)/DaysPerMonth)</f>
        <v>-32.952772073922</v>
      </c>
      <c r="BF120" s="34" t="n">
        <f aca="false">IF($D120="","",($AJ120-AsOfDate)/DaysPerMonth)</f>
        <v>-11.958932238193</v>
      </c>
      <c r="BG120" s="34" t="n">
        <f aca="false">IF($D120="","",MAX(0,$BE120))</f>
        <v>0</v>
      </c>
      <c r="BH120" s="34" t="n">
        <f aca="false">IF($D120="","",MAX(0,$BF120))</f>
        <v>0</v>
      </c>
      <c r="BI120" s="77" t="n">
        <f aca="false">IF($D120="","",YEAR($AI120))</f>
        <v>2023</v>
      </c>
      <c r="BJ120" s="77" t="n">
        <f aca="false">IF($D120="","",YEAR($AJ120))</f>
        <v>2025</v>
      </c>
      <c r="BK120" s="77" t="n">
        <f aca="false">IF($D120="","",YEAR($AH120))</f>
        <v>2021</v>
      </c>
      <c r="BL120" s="78" t="n">
        <v>1985</v>
      </c>
      <c r="BM120" s="44" t="n">
        <f aca="false">IF($AT120=1,$P120+(1000-ROW())/1000000,0)</f>
        <v>23000000.00088</v>
      </c>
    </row>
    <row r="121" customFormat="false" ht="15" hidden="false" customHeight="false" outlineLevel="0" collapsed="false">
      <c r="B121" s="60" t="n">
        <v>117</v>
      </c>
      <c r="C121" s="61" t="n">
        <v>30143</v>
      </c>
      <c r="D121" s="62" t="s">
        <v>586</v>
      </c>
      <c r="E121" s="62" t="s">
        <v>73</v>
      </c>
      <c r="F121" s="62" t="s">
        <v>73</v>
      </c>
      <c r="G121" s="62" t="s">
        <v>89</v>
      </c>
      <c r="H121" s="62" t="s">
        <v>417</v>
      </c>
      <c r="I121" s="63" t="s">
        <v>93</v>
      </c>
      <c r="J121" s="63" t="s">
        <v>93</v>
      </c>
      <c r="K121" s="63" t="s">
        <v>485</v>
      </c>
      <c r="L121" s="60"/>
      <c r="M121" s="60" t="n">
        <v>182</v>
      </c>
      <c r="N121" s="63" t="s">
        <v>587</v>
      </c>
      <c r="O121" s="63" t="n">
        <v>2012</v>
      </c>
      <c r="P121" s="64" t="n">
        <v>19700000</v>
      </c>
      <c r="Q121" s="64" t="n">
        <v>0</v>
      </c>
      <c r="R121" s="64" t="n">
        <v>19700000</v>
      </c>
      <c r="S121" s="64" t="n">
        <v>0</v>
      </c>
      <c r="T121" s="64" t="n">
        <v>19700000</v>
      </c>
      <c r="U121" s="64" t="n">
        <v>24800000</v>
      </c>
      <c r="V121" s="64" t="n">
        <v>24800000</v>
      </c>
      <c r="W121" s="65" t="n">
        <v>0.784753629032258</v>
      </c>
      <c r="X121" s="65" t="n">
        <v>0.794354838709677</v>
      </c>
      <c r="Y121" s="57" t="n">
        <v>0.0545</v>
      </c>
      <c r="Z121" s="57" t="n">
        <v>0.005</v>
      </c>
      <c r="AA121" s="57" t="n">
        <v>0.001</v>
      </c>
      <c r="AB121" s="57" t="n">
        <v>0.01</v>
      </c>
      <c r="AC121" s="63" t="s">
        <v>308</v>
      </c>
      <c r="AD121" s="57" t="n">
        <v>0.0655</v>
      </c>
      <c r="AE121" s="57" t="n">
        <v>0.04</v>
      </c>
      <c r="AF121" s="66" t="n">
        <v>46113</v>
      </c>
      <c r="AG121" s="63" t="n">
        <v>6</v>
      </c>
      <c r="AH121" s="66" t="n">
        <v>44636</v>
      </c>
      <c r="AI121" s="66" t="n">
        <v>45383</v>
      </c>
      <c r="AJ121" s="66" t="n">
        <v>46113</v>
      </c>
      <c r="AK121" s="62"/>
      <c r="AL121" s="64"/>
      <c r="AM121" s="57"/>
      <c r="AN121" s="62"/>
      <c r="AO121" s="64"/>
      <c r="AP121" s="57"/>
      <c r="AQ121" s="64" t="n">
        <v>19700000</v>
      </c>
      <c r="AR121" s="65" t="n">
        <v>0.102</v>
      </c>
      <c r="AT121" s="26" t="n">
        <f aca="false">IF($D121="",0,IF(OR(StratFilter="All Loans",$E121=StratFilter),1,0))</f>
        <v>1</v>
      </c>
      <c r="AU121" s="18" t="str">
        <f aca="false">IF($D121="","",IFERROR(VLOOKUP(TRIM($K121),PropTypeMap,2,FALSE()),"Unmapped"))</f>
        <v>Skilled Nursing</v>
      </c>
      <c r="AV121" s="21" t="str">
        <f aca="false">IF($D121="","",IFERROR(VLOOKUP($J121,RegionMap,2,FALSE()),"Unmapped"))</f>
        <v>Northeast</v>
      </c>
      <c r="AW121" s="21" t="str">
        <f aca="false">IF($D121="","",IF($AC121="SOFR","Floating (SOFR)","Fixed / All-In"))</f>
        <v>Floating (SOFR)</v>
      </c>
      <c r="AX121" s="24" t="n">
        <f aca="false">IF($D121="","",$AD121+SOFR)</f>
        <v>0.102</v>
      </c>
      <c r="AY121" s="21" t="str">
        <f aca="false">IF($D121="","",IF($AF121="Waived","Waived",IF(ISNUMBER($AF121),IF($AF121&gt;AsOfDate,"In Place","Expired"),"None Reported")))</f>
        <v>Expired</v>
      </c>
      <c r="AZ121" s="21" t="str">
        <f aca="false">IF($D121="","",IF(ISNUMBER($AG121),IF($AG121=0,"None",$AG121&amp;" Months"),IF($AG121="","None Reported",$AG121)))</f>
        <v>6 Months</v>
      </c>
      <c r="BA121" s="18" t="str">
        <f aca="false">IF($D121="","",IF($AK121="","Unlevered",$AK121))</f>
        <v>Unlevered</v>
      </c>
      <c r="BB121" s="22" t="n">
        <f aca="false">IF($D121="","",SUM($AL121,$AO121))</f>
        <v>0</v>
      </c>
      <c r="BC121" s="23" t="n">
        <f aca="false">IF($D121="","",IF($P121&gt;0,$BB121/$P121,0))</f>
        <v>0</v>
      </c>
      <c r="BD121" s="25" t="n">
        <f aca="false">IF($D121="","",(AsOfDate-$AH121)/DaysPerMonth)</f>
        <v>51.482546201232</v>
      </c>
      <c r="BE121" s="25" t="n">
        <f aca="false">IF($D121="","",($AI121-AsOfDate)/DaysPerMonth)</f>
        <v>-26.9404517453799</v>
      </c>
      <c r="BF121" s="25" t="n">
        <f aca="false">IF($D121="","",($AJ121-AsOfDate)/DaysPerMonth)</f>
        <v>-2.95687885010267</v>
      </c>
      <c r="BG121" s="25" t="n">
        <f aca="false">IF($D121="","",MAX(0,$BE121))</f>
        <v>0</v>
      </c>
      <c r="BH121" s="25" t="n">
        <f aca="false">IF($D121="","",MAX(0,$BF121))</f>
        <v>0</v>
      </c>
      <c r="BI121" s="67" t="n">
        <f aca="false">IF($D121="","",YEAR($AI121))</f>
        <v>2024</v>
      </c>
      <c r="BJ121" s="67" t="n">
        <f aca="false">IF($D121="","",YEAR($AJ121))</f>
        <v>2026</v>
      </c>
      <c r="BK121" s="67" t="n">
        <f aca="false">IF($D121="","",YEAR($AH121))</f>
        <v>2022</v>
      </c>
      <c r="BL121" s="68" t="n">
        <v>1965</v>
      </c>
      <c r="BM121" s="26" t="n">
        <f aca="false">IF($AT121=1,$P121+(1000-ROW())/1000000,0)</f>
        <v>19700000.000879</v>
      </c>
    </row>
    <row r="122" customFormat="false" ht="15" hidden="false" customHeight="false" outlineLevel="0" collapsed="false">
      <c r="B122" s="69" t="n">
        <v>118</v>
      </c>
      <c r="C122" s="70" t="n">
        <v>30322</v>
      </c>
      <c r="D122" s="71" t="s">
        <v>588</v>
      </c>
      <c r="E122" s="71" t="s">
        <v>73</v>
      </c>
      <c r="F122" s="71" t="s">
        <v>73</v>
      </c>
      <c r="G122" s="71" t="s">
        <v>84</v>
      </c>
      <c r="H122" s="71" t="s">
        <v>589</v>
      </c>
      <c r="I122" s="72" t="s">
        <v>92</v>
      </c>
      <c r="J122" s="72" t="s">
        <v>92</v>
      </c>
      <c r="K122" s="72" t="s">
        <v>485</v>
      </c>
      <c r="L122" s="69"/>
      <c r="M122" s="69" t="n">
        <v>104</v>
      </c>
      <c r="N122" s="72" t="n">
        <v>2019</v>
      </c>
      <c r="O122" s="72" t="s">
        <v>311</v>
      </c>
      <c r="P122" s="73" t="n">
        <v>17000000</v>
      </c>
      <c r="Q122" s="73" t="n">
        <v>0</v>
      </c>
      <c r="R122" s="73" t="n">
        <v>17000000</v>
      </c>
      <c r="S122" s="73" t="n">
        <v>0</v>
      </c>
      <c r="T122" s="73" t="n">
        <v>17000000</v>
      </c>
      <c r="U122" s="73" t="n">
        <v>21300000</v>
      </c>
      <c r="V122" s="73" t="n">
        <v>21300000</v>
      </c>
      <c r="W122" s="74" t="n">
        <v>0.7981220657277</v>
      </c>
      <c r="X122" s="74" t="n">
        <v>0.7981220657277</v>
      </c>
      <c r="Y122" s="75" t="n">
        <v>0.0425</v>
      </c>
      <c r="Z122" s="75" t="n">
        <v>0.035</v>
      </c>
      <c r="AA122" s="75" t="n">
        <v>0</v>
      </c>
      <c r="AB122" s="75" t="n">
        <v>0</v>
      </c>
      <c r="AC122" s="72" t="s">
        <v>308</v>
      </c>
      <c r="AD122" s="75" t="n">
        <v>0.0425</v>
      </c>
      <c r="AE122" s="75" t="n">
        <v>0.05</v>
      </c>
      <c r="AF122" s="76" t="n">
        <v>46813</v>
      </c>
      <c r="AG122" s="72" t="n">
        <v>6</v>
      </c>
      <c r="AH122" s="76" t="n">
        <v>46070</v>
      </c>
      <c r="AI122" s="76" t="n">
        <v>46813</v>
      </c>
      <c r="AJ122" s="76" t="n">
        <v>47178</v>
      </c>
      <c r="AK122" s="71"/>
      <c r="AL122" s="73"/>
      <c r="AM122" s="75"/>
      <c r="AN122" s="71"/>
      <c r="AO122" s="73"/>
      <c r="AP122" s="75"/>
      <c r="AQ122" s="73" t="n">
        <v>17000000</v>
      </c>
      <c r="AR122" s="74" t="n">
        <v>0.079</v>
      </c>
      <c r="AT122" s="44" t="n">
        <f aca="false">IF($D122="",0,IF(OR(StratFilter="All Loans",$E122=StratFilter),1,0))</f>
        <v>1</v>
      </c>
      <c r="AU122" s="27" t="str">
        <f aca="false">IF($D122="","",IFERROR(VLOOKUP(TRIM($K122),PropTypeMap,2,FALSE()),"Unmapped"))</f>
        <v>Skilled Nursing</v>
      </c>
      <c r="AV122" s="30" t="str">
        <f aca="false">IF($D122="","",IFERROR(VLOOKUP($J122,RegionMap,2,FALSE()),"Unmapped"))</f>
        <v>Southwest</v>
      </c>
      <c r="AW122" s="30" t="str">
        <f aca="false">IF($D122="","",IF($AC122="SOFR","Floating (SOFR)","Fixed / All-In"))</f>
        <v>Floating (SOFR)</v>
      </c>
      <c r="AX122" s="33" t="n">
        <f aca="false">IF($D122="","",$AD122+SOFR)</f>
        <v>0.079</v>
      </c>
      <c r="AY122" s="30" t="str">
        <f aca="false">IF($D122="","",IF($AF122="Waived","Waived",IF(ISNUMBER($AF122),IF($AF122&gt;AsOfDate,"In Place","Expired"),"None Reported")))</f>
        <v>In Place</v>
      </c>
      <c r="AZ122" s="30" t="str">
        <f aca="false">IF($D122="","",IF(ISNUMBER($AG122),IF($AG122=0,"None",$AG122&amp;" Months"),IF($AG122="","None Reported",$AG122)))</f>
        <v>6 Months</v>
      </c>
      <c r="BA122" s="27" t="str">
        <f aca="false">IF($D122="","",IF($AK122="","Unlevered",$AK122))</f>
        <v>Unlevered</v>
      </c>
      <c r="BB122" s="31" t="n">
        <f aca="false">IF($D122="","",SUM($AL122,$AO122))</f>
        <v>0</v>
      </c>
      <c r="BC122" s="32" t="n">
        <f aca="false">IF($D122="","",IF($P122&gt;0,$BB122/$P122,0))</f>
        <v>0</v>
      </c>
      <c r="BD122" s="34" t="n">
        <f aca="false">IF($D122="","",(AsOfDate-$AH122)/DaysPerMonth)</f>
        <v>4.36960985626283</v>
      </c>
      <c r="BE122" s="34" t="n">
        <f aca="false">IF($D122="","",($AI122-AsOfDate)/DaysPerMonth)</f>
        <v>20.041067761807</v>
      </c>
      <c r="BF122" s="34" t="n">
        <f aca="false">IF($D122="","",($AJ122-AsOfDate)/DaysPerMonth)</f>
        <v>32.0328542094456</v>
      </c>
      <c r="BG122" s="34" t="n">
        <f aca="false">IF($D122="","",MAX(0,$BE122))</f>
        <v>20.041067761807</v>
      </c>
      <c r="BH122" s="34" t="n">
        <f aca="false">IF($D122="","",MAX(0,$BF122))</f>
        <v>32.0328542094456</v>
      </c>
      <c r="BI122" s="77" t="n">
        <f aca="false">IF($D122="","",YEAR($AI122))</f>
        <v>2028</v>
      </c>
      <c r="BJ122" s="77" t="n">
        <f aca="false">IF($D122="","",YEAR($AJ122))</f>
        <v>2029</v>
      </c>
      <c r="BK122" s="77" t="n">
        <f aca="false">IF($D122="","",YEAR($AH122))</f>
        <v>2026</v>
      </c>
      <c r="BL122" s="78" t="n">
        <v>2019</v>
      </c>
      <c r="BM122" s="44" t="n">
        <f aca="false">IF($AT122=1,$P122+(1000-ROW())/1000000,0)</f>
        <v>17000000.000878</v>
      </c>
    </row>
    <row r="123" customFormat="false" ht="15" hidden="false" customHeight="false" outlineLevel="0" collapsed="false">
      <c r="B123" s="60" t="n">
        <v>119</v>
      </c>
      <c r="C123" s="61" t="n">
        <v>30157</v>
      </c>
      <c r="D123" s="62" t="s">
        <v>590</v>
      </c>
      <c r="E123" s="62" t="s">
        <v>73</v>
      </c>
      <c r="F123" s="62" t="s">
        <v>73</v>
      </c>
      <c r="G123" s="62" t="s">
        <v>89</v>
      </c>
      <c r="H123" s="62" t="s">
        <v>591</v>
      </c>
      <c r="I123" s="63" t="s">
        <v>93</v>
      </c>
      <c r="J123" s="63" t="s">
        <v>93</v>
      </c>
      <c r="K123" s="63" t="s">
        <v>485</v>
      </c>
      <c r="L123" s="60"/>
      <c r="M123" s="60" t="n">
        <v>120</v>
      </c>
      <c r="N123" s="63" t="n">
        <v>1971</v>
      </c>
      <c r="O123" s="63" t="s">
        <v>592</v>
      </c>
      <c r="P123" s="64" t="n">
        <v>13501915.54</v>
      </c>
      <c r="Q123" s="64" t="n">
        <v>0</v>
      </c>
      <c r="R123" s="64" t="n">
        <v>13501915.54</v>
      </c>
      <c r="S123" s="64" t="n">
        <v>18084.46</v>
      </c>
      <c r="T123" s="64" t="n">
        <v>13520000</v>
      </c>
      <c r="U123" s="64" t="n">
        <v>15900000</v>
      </c>
      <c r="V123" s="64" t="n">
        <v>17200000</v>
      </c>
      <c r="W123" s="65" t="n">
        <v>0.787421383647799</v>
      </c>
      <c r="X123" s="65" t="n">
        <v>0.786046511627907</v>
      </c>
      <c r="Y123" s="57" t="n">
        <v>0.0545</v>
      </c>
      <c r="Z123" s="57" t="n">
        <v>0.005</v>
      </c>
      <c r="AA123" s="57" t="n">
        <v>0.001</v>
      </c>
      <c r="AB123" s="57" t="n">
        <v>0.01</v>
      </c>
      <c r="AC123" s="63" t="s">
        <v>308</v>
      </c>
      <c r="AD123" s="57" t="n">
        <v>0.0655</v>
      </c>
      <c r="AE123" s="57"/>
      <c r="AF123" s="66"/>
      <c r="AG123" s="63" t="n">
        <v>6</v>
      </c>
      <c r="AH123" s="66" t="n">
        <v>44692</v>
      </c>
      <c r="AI123" s="66" t="n">
        <v>45444</v>
      </c>
      <c r="AJ123" s="66" t="n">
        <v>46022</v>
      </c>
      <c r="AK123" s="62"/>
      <c r="AL123" s="64"/>
      <c r="AM123" s="57"/>
      <c r="AN123" s="62"/>
      <c r="AO123" s="64"/>
      <c r="AP123" s="57"/>
      <c r="AQ123" s="64" t="n">
        <v>13501915.54</v>
      </c>
      <c r="AR123" s="65" t="n">
        <v>0.102</v>
      </c>
      <c r="AT123" s="26" t="n">
        <f aca="false">IF($D123="",0,IF(OR(StratFilter="All Loans",$E123=StratFilter),1,0))</f>
        <v>1</v>
      </c>
      <c r="AU123" s="18" t="str">
        <f aca="false">IF($D123="","",IFERROR(VLOOKUP(TRIM($K123),PropTypeMap,2,FALSE()),"Unmapped"))</f>
        <v>Skilled Nursing</v>
      </c>
      <c r="AV123" s="21" t="str">
        <f aca="false">IF($D123="","",IFERROR(VLOOKUP($J123,RegionMap,2,FALSE()),"Unmapped"))</f>
        <v>Northeast</v>
      </c>
      <c r="AW123" s="21" t="str">
        <f aca="false">IF($D123="","",IF($AC123="SOFR","Floating (SOFR)","Fixed / All-In"))</f>
        <v>Floating (SOFR)</v>
      </c>
      <c r="AX123" s="24" t="n">
        <f aca="false">IF($D123="","",$AD123+SOFR)</f>
        <v>0.102</v>
      </c>
      <c r="AY123" s="21" t="str">
        <f aca="false">IF($D123="","",IF($AF123="Waived","Waived",IF(ISNUMBER($AF123),IF($AF123&gt;AsOfDate,"In Place","Expired"),"None Reported")))</f>
        <v>None Reported</v>
      </c>
      <c r="AZ123" s="21" t="str">
        <f aca="false">IF($D123="","",IF(ISNUMBER($AG123),IF($AG123=0,"None",$AG123&amp;" Months"),IF($AG123="","None Reported",$AG123)))</f>
        <v>6 Months</v>
      </c>
      <c r="BA123" s="18" t="str">
        <f aca="false">IF($D123="","",IF($AK123="","Unlevered",$AK123))</f>
        <v>Unlevered</v>
      </c>
      <c r="BB123" s="22" t="n">
        <f aca="false">IF($D123="","",SUM($AL123,$AO123))</f>
        <v>0</v>
      </c>
      <c r="BC123" s="23" t="n">
        <f aca="false">IF($D123="","",IF($P123&gt;0,$BB123/$P123,0))</f>
        <v>0</v>
      </c>
      <c r="BD123" s="25" t="n">
        <f aca="false">IF($D123="","",(AsOfDate-$AH123)/DaysPerMonth)</f>
        <v>49.6427104722793</v>
      </c>
      <c r="BE123" s="25" t="n">
        <f aca="false">IF($D123="","",($AI123-AsOfDate)/DaysPerMonth)</f>
        <v>-24.9363449691992</v>
      </c>
      <c r="BF123" s="25" t="n">
        <f aca="false">IF($D123="","",($AJ123-AsOfDate)/DaysPerMonth)</f>
        <v>-5.94661190965092</v>
      </c>
      <c r="BG123" s="25" t="n">
        <f aca="false">IF($D123="","",MAX(0,$BE123))</f>
        <v>0</v>
      </c>
      <c r="BH123" s="25" t="n">
        <f aca="false">IF($D123="","",MAX(0,$BF123))</f>
        <v>0</v>
      </c>
      <c r="BI123" s="67" t="n">
        <f aca="false">IF($D123="","",YEAR($AI123))</f>
        <v>2024</v>
      </c>
      <c r="BJ123" s="67" t="n">
        <f aca="false">IF($D123="","",YEAR($AJ123))</f>
        <v>2025</v>
      </c>
      <c r="BK123" s="67" t="n">
        <f aca="false">IF($D123="","",YEAR($AH123))</f>
        <v>2022</v>
      </c>
      <c r="BL123" s="68" t="n">
        <v>1971</v>
      </c>
      <c r="BM123" s="26" t="n">
        <f aca="false">IF($AT123=1,$P123+(1000-ROW())/1000000,0)</f>
        <v>13501915.540877</v>
      </c>
    </row>
    <row r="124" customFormat="false" ht="15" hidden="false" customHeight="false" outlineLevel="0" collapsed="false">
      <c r="B124" s="69" t="n">
        <v>120</v>
      </c>
      <c r="C124" s="70" t="n">
        <v>30352</v>
      </c>
      <c r="D124" s="71" t="s">
        <v>593</v>
      </c>
      <c r="E124" s="71" t="s">
        <v>73</v>
      </c>
      <c r="F124" s="71" t="s">
        <v>73</v>
      </c>
      <c r="G124" s="71" t="s">
        <v>84</v>
      </c>
      <c r="H124" s="71" t="s">
        <v>594</v>
      </c>
      <c r="I124" s="72" t="s">
        <v>480</v>
      </c>
      <c r="J124" s="72" t="s">
        <v>480</v>
      </c>
      <c r="K124" s="72" t="s">
        <v>485</v>
      </c>
      <c r="L124" s="69"/>
      <c r="M124" s="69" t="n">
        <v>53</v>
      </c>
      <c r="N124" s="72" t="s">
        <v>595</v>
      </c>
      <c r="O124" s="72" t="s">
        <v>311</v>
      </c>
      <c r="P124" s="73" t="n">
        <v>3740000</v>
      </c>
      <c r="Q124" s="73" t="n">
        <v>0</v>
      </c>
      <c r="R124" s="73" t="n">
        <v>3740000</v>
      </c>
      <c r="S124" s="73" t="n">
        <v>0</v>
      </c>
      <c r="T124" s="73" t="n">
        <v>3740000</v>
      </c>
      <c r="U124" s="73" t="n">
        <v>4700000</v>
      </c>
      <c r="V124" s="73" t="n">
        <v>4700000</v>
      </c>
      <c r="W124" s="74" t="n">
        <v>0.795744680851064</v>
      </c>
      <c r="X124" s="74" t="n">
        <v>0.795744680851064</v>
      </c>
      <c r="Y124" s="75" t="n">
        <v>0.0475</v>
      </c>
      <c r="Z124" s="75" t="n">
        <v>0.035</v>
      </c>
      <c r="AA124" s="75"/>
      <c r="AB124" s="75"/>
      <c r="AC124" s="72" t="s">
        <v>308</v>
      </c>
      <c r="AD124" s="75" t="n">
        <v>0.0475</v>
      </c>
      <c r="AE124" s="75" t="n">
        <v>0.0575</v>
      </c>
      <c r="AF124" s="76" t="n">
        <v>46942</v>
      </c>
      <c r="AG124" s="72" t="n">
        <v>6</v>
      </c>
      <c r="AH124" s="76" t="n">
        <v>46199</v>
      </c>
      <c r="AI124" s="76" t="n">
        <v>46942</v>
      </c>
      <c r="AJ124" s="76" t="n">
        <v>47300</v>
      </c>
      <c r="AK124" s="71"/>
      <c r="AL124" s="73"/>
      <c r="AM124" s="75"/>
      <c r="AN124" s="71"/>
      <c r="AO124" s="73"/>
      <c r="AP124" s="75"/>
      <c r="AQ124" s="73" t="n">
        <v>3740000</v>
      </c>
      <c r="AR124" s="74" t="n">
        <v>0.084</v>
      </c>
      <c r="AT124" s="44" t="n">
        <f aca="false">IF($D124="",0,IF(OR(StratFilter="All Loans",$E124=StratFilter),1,0))</f>
        <v>1</v>
      </c>
      <c r="AU124" s="27" t="str">
        <f aca="false">IF($D124="","",IFERROR(VLOOKUP(TRIM($K124),PropTypeMap,2,FALSE()),"Unmapped"))</f>
        <v>Skilled Nursing</v>
      </c>
      <c r="AV124" s="30" t="str">
        <f aca="false">IF($D124="","",IFERROR(VLOOKUP($J124,RegionMap,2,FALSE()),"Unmapped"))</f>
        <v>Northeast</v>
      </c>
      <c r="AW124" s="30" t="str">
        <f aca="false">IF($D124="","",IF($AC124="SOFR","Floating (SOFR)","Fixed / All-In"))</f>
        <v>Floating (SOFR)</v>
      </c>
      <c r="AX124" s="33" t="n">
        <f aca="false">IF($D124="","",$AD124+SOFR)</f>
        <v>0.084</v>
      </c>
      <c r="AY124" s="30" t="str">
        <f aca="false">IF($D124="","",IF($AF124="Waived","Waived",IF(ISNUMBER($AF124),IF($AF124&gt;AsOfDate,"In Place","Expired"),"None Reported")))</f>
        <v>In Place</v>
      </c>
      <c r="AZ124" s="30" t="str">
        <f aca="false">IF($D124="","",IF(ISNUMBER($AG124),IF($AG124=0,"None",$AG124&amp;" Months"),IF($AG124="","None Reported",$AG124)))</f>
        <v>6 Months</v>
      </c>
      <c r="BA124" s="27" t="str">
        <f aca="false">IF($D124="","",IF($AK124="","Unlevered",$AK124))</f>
        <v>Unlevered</v>
      </c>
      <c r="BB124" s="31" t="n">
        <f aca="false">IF($D124="","",SUM($AL124,$AO124))</f>
        <v>0</v>
      </c>
      <c r="BC124" s="32" t="n">
        <f aca="false">IF($D124="","",IF($P124&gt;0,$BB124/$P124,0))</f>
        <v>0</v>
      </c>
      <c r="BD124" s="34" t="n">
        <f aca="false">IF($D124="","",(AsOfDate-$AH124)/DaysPerMonth)</f>
        <v>0.131416837782341</v>
      </c>
      <c r="BE124" s="34" t="n">
        <f aca="false">IF($D124="","",($AI124-AsOfDate)/DaysPerMonth)</f>
        <v>24.2792607802875</v>
      </c>
      <c r="BF124" s="34" t="n">
        <f aca="false">IF($D124="","",($AJ124-AsOfDate)/DaysPerMonth)</f>
        <v>36.041067761807</v>
      </c>
      <c r="BG124" s="34" t="n">
        <f aca="false">IF($D124="","",MAX(0,$BE124))</f>
        <v>24.2792607802875</v>
      </c>
      <c r="BH124" s="34" t="n">
        <f aca="false">IF($D124="","",MAX(0,$BF124))</f>
        <v>36.041067761807</v>
      </c>
      <c r="BI124" s="77" t="n">
        <f aca="false">IF($D124="","",YEAR($AI124))</f>
        <v>2028</v>
      </c>
      <c r="BJ124" s="77" t="n">
        <f aca="false">IF($D124="","",YEAR($AJ124))</f>
        <v>2029</v>
      </c>
      <c r="BK124" s="77" t="n">
        <f aca="false">IF($D124="","",YEAR($AH124))</f>
        <v>2026</v>
      </c>
      <c r="BL124" s="78" t="n">
        <v>1865</v>
      </c>
      <c r="BM124" s="44" t="n">
        <f aca="false">IF($AT124=1,$P124+(1000-ROW())/1000000,0)</f>
        <v>3740000.000876</v>
      </c>
    </row>
    <row r="125" customFormat="false" ht="15" hidden="false" customHeight="false" outlineLevel="0" collapsed="false">
      <c r="B125" s="60" t="n">
        <v>121</v>
      </c>
      <c r="C125" s="61" t="n">
        <v>2524</v>
      </c>
      <c r="D125" s="62" t="s">
        <v>596</v>
      </c>
      <c r="E125" s="62" t="s">
        <v>74</v>
      </c>
      <c r="F125" s="62" t="s">
        <v>74</v>
      </c>
      <c r="G125" s="62" t="s">
        <v>85</v>
      </c>
      <c r="H125" s="62" t="s">
        <v>597</v>
      </c>
      <c r="I125" s="63" t="s">
        <v>390</v>
      </c>
      <c r="J125" s="63" t="s">
        <v>390</v>
      </c>
      <c r="K125" s="63" t="s">
        <v>306</v>
      </c>
      <c r="L125" s="60" t="n">
        <v>752</v>
      </c>
      <c r="M125" s="60"/>
      <c r="N125" s="63" t="n">
        <v>1965</v>
      </c>
      <c r="O125" s="63" t="s">
        <v>311</v>
      </c>
      <c r="P125" s="64" t="n">
        <v>6816000</v>
      </c>
      <c r="Q125" s="64" t="n">
        <v>0</v>
      </c>
      <c r="R125" s="64" t="n">
        <v>6816000</v>
      </c>
      <c r="S125" s="64" t="n">
        <v>0</v>
      </c>
      <c r="T125" s="64" t="n">
        <v>102686000</v>
      </c>
      <c r="U125" s="64" t="n">
        <v>123700000</v>
      </c>
      <c r="V125" s="64" t="n">
        <v>134100000</v>
      </c>
      <c r="W125" s="65" t="n">
        <v>0.830121261115602</v>
      </c>
      <c r="X125" s="65" t="n">
        <v>0.765741983594333</v>
      </c>
      <c r="Y125" s="57" t="n">
        <v>0.1</v>
      </c>
      <c r="Z125" s="57"/>
      <c r="AA125" s="57" t="n">
        <v>0</v>
      </c>
      <c r="AB125" s="57" t="n">
        <v>0</v>
      </c>
      <c r="AC125" s="63"/>
      <c r="AD125" s="57" t="n">
        <v>0.1</v>
      </c>
      <c r="AE125" s="57"/>
      <c r="AF125" s="66"/>
      <c r="AG125" s="63" t="s">
        <v>140</v>
      </c>
      <c r="AH125" s="66" t="n">
        <v>44552</v>
      </c>
      <c r="AI125" s="66" t="n">
        <v>48214</v>
      </c>
      <c r="AJ125" s="66" t="n">
        <v>48214</v>
      </c>
      <c r="AK125" s="62"/>
      <c r="AL125" s="64"/>
      <c r="AM125" s="57"/>
      <c r="AN125" s="62"/>
      <c r="AO125" s="64"/>
      <c r="AP125" s="57"/>
      <c r="AQ125" s="64" t="n">
        <v>6816000</v>
      </c>
      <c r="AR125" s="65" t="n">
        <v>0.1365</v>
      </c>
      <c r="AT125" s="26" t="n">
        <f aca="false">IF($D125="",0,IF(OR(StratFilter="All Loans",$E125=StratFilter),1,0))</f>
        <v>1</v>
      </c>
      <c r="AU125" s="18" t="str">
        <f aca="false">IF($D125="","",IFERROR(VLOOKUP(TRIM($K125),PropTypeMap,2,FALSE()),"Unmapped"))</f>
        <v>Multifamily</v>
      </c>
      <c r="AV125" s="21" t="str">
        <f aca="false">IF($D125="","",IFERROR(VLOOKUP($J125,RegionMap,2,FALSE()),"Unmapped"))</f>
        <v>Midwest</v>
      </c>
      <c r="AW125" s="21" t="str">
        <f aca="false">IF($D125="","",IF($AC125="SOFR","Floating (SOFR)","Fixed / All-In"))</f>
        <v>Fixed / All-In</v>
      </c>
      <c r="AX125" s="24" t="n">
        <f aca="false">IF($D125="","",$AD125+SOFR)</f>
        <v>0.1365</v>
      </c>
      <c r="AY125" s="21" t="str">
        <f aca="false">IF($D125="","",IF($AF125="Waived","Waived",IF(ISNUMBER($AF125),IF($AF125&gt;AsOfDate,"In Place","Expired"),"None Reported")))</f>
        <v>None Reported</v>
      </c>
      <c r="AZ125" s="21" t="str">
        <f aca="false">IF($D125="","",IF(ISNUMBER($AG125),IF($AG125=0,"None",$AG125&amp;" Months"),IF($AG125="","None Reported",$AG125)))</f>
        <v>None</v>
      </c>
      <c r="BA125" s="18" t="str">
        <f aca="false">IF($D125="","",IF($AK125="","Unlevered",$AK125))</f>
        <v>Unlevered</v>
      </c>
      <c r="BB125" s="22" t="n">
        <f aca="false">IF($D125="","",SUM($AL125,$AO125))</f>
        <v>0</v>
      </c>
      <c r="BC125" s="23" t="n">
        <f aca="false">IF($D125="","",IF($P125&gt;0,$BB125/$P125,0))</f>
        <v>0</v>
      </c>
      <c r="BD125" s="25" t="n">
        <f aca="false">IF($D125="","",(AsOfDate-$AH125)/DaysPerMonth)</f>
        <v>54.2422997946612</v>
      </c>
      <c r="BE125" s="25" t="n">
        <f aca="false">IF($D125="","",($AI125-AsOfDate)/DaysPerMonth)</f>
        <v>66.0698151950719</v>
      </c>
      <c r="BF125" s="25" t="n">
        <f aca="false">IF($D125="","",($AJ125-AsOfDate)/DaysPerMonth)</f>
        <v>66.0698151950719</v>
      </c>
      <c r="BG125" s="25" t="n">
        <f aca="false">IF($D125="","",MAX(0,$BE125))</f>
        <v>66.0698151950719</v>
      </c>
      <c r="BH125" s="25" t="n">
        <f aca="false">IF($D125="","",MAX(0,$BF125))</f>
        <v>66.0698151950719</v>
      </c>
      <c r="BI125" s="67" t="n">
        <f aca="false">IF($D125="","",YEAR($AI125))</f>
        <v>2032</v>
      </c>
      <c r="BJ125" s="67" t="n">
        <f aca="false">IF($D125="","",YEAR($AJ125))</f>
        <v>2032</v>
      </c>
      <c r="BK125" s="67" t="n">
        <f aca="false">IF($D125="","",YEAR($AH125))</f>
        <v>2021</v>
      </c>
      <c r="BL125" s="68" t="n">
        <v>1965</v>
      </c>
      <c r="BM125" s="26" t="n">
        <f aca="false">IF($AT125=1,$P125+(1000-ROW())/1000000,0)</f>
        <v>6816000.000875</v>
      </c>
    </row>
    <row r="126" customFormat="false" ht="15" hidden="false" customHeight="false" outlineLevel="0" collapsed="false">
      <c r="B126" s="69" t="n">
        <v>122</v>
      </c>
      <c r="C126" s="70" t="n">
        <v>2539</v>
      </c>
      <c r="D126" s="71" t="s">
        <v>598</v>
      </c>
      <c r="E126" s="71" t="s">
        <v>74</v>
      </c>
      <c r="F126" s="71" t="s">
        <v>74</v>
      </c>
      <c r="G126" s="71" t="s">
        <v>85</v>
      </c>
      <c r="H126" s="71" t="s">
        <v>599</v>
      </c>
      <c r="I126" s="72" t="s">
        <v>390</v>
      </c>
      <c r="J126" s="72" t="s">
        <v>390</v>
      </c>
      <c r="K126" s="72" t="s">
        <v>306</v>
      </c>
      <c r="L126" s="69" t="n">
        <v>730</v>
      </c>
      <c r="M126" s="69"/>
      <c r="N126" s="72" t="n">
        <v>1969</v>
      </c>
      <c r="O126" s="72" t="n">
        <v>2023</v>
      </c>
      <c r="P126" s="73" t="n">
        <v>5577000</v>
      </c>
      <c r="Q126" s="73" t="n">
        <v>0</v>
      </c>
      <c r="R126" s="73" t="n">
        <v>5577000</v>
      </c>
      <c r="S126" s="73" t="n">
        <v>0</v>
      </c>
      <c r="T126" s="73" t="n">
        <v>94803000</v>
      </c>
      <c r="U126" s="73" t="n">
        <v>112320000</v>
      </c>
      <c r="V126" s="73" t="n">
        <v>112320000</v>
      </c>
      <c r="W126" s="74" t="n">
        <v>0.844043803418804</v>
      </c>
      <c r="X126" s="74" t="n">
        <v>0.844043803418804</v>
      </c>
      <c r="Y126" s="75" t="n">
        <v>0.13</v>
      </c>
      <c r="Z126" s="75"/>
      <c r="AA126" s="75" t="n">
        <v>0</v>
      </c>
      <c r="AB126" s="75" t="n">
        <v>0</v>
      </c>
      <c r="AC126" s="72" t="s">
        <v>308</v>
      </c>
      <c r="AD126" s="75" t="n">
        <v>0.0935</v>
      </c>
      <c r="AE126" s="75"/>
      <c r="AF126" s="76"/>
      <c r="AG126" s="72" t="n">
        <v>0</v>
      </c>
      <c r="AH126" s="76" t="n">
        <v>46045</v>
      </c>
      <c r="AI126" s="76" t="n">
        <v>49706</v>
      </c>
      <c r="AJ126" s="76" t="n">
        <v>49706</v>
      </c>
      <c r="AK126" s="71"/>
      <c r="AL126" s="73"/>
      <c r="AM126" s="75"/>
      <c r="AN126" s="71"/>
      <c r="AO126" s="73"/>
      <c r="AP126" s="75"/>
      <c r="AQ126" s="73" t="n">
        <v>5577000</v>
      </c>
      <c r="AR126" s="74" t="n">
        <v>0.13</v>
      </c>
      <c r="AT126" s="44" t="n">
        <f aca="false">IF($D126="",0,IF(OR(StratFilter="All Loans",$E126=StratFilter),1,0))</f>
        <v>1</v>
      </c>
      <c r="AU126" s="27" t="str">
        <f aca="false">IF($D126="","",IFERROR(VLOOKUP(TRIM($K126),PropTypeMap,2,FALSE()),"Unmapped"))</f>
        <v>Multifamily</v>
      </c>
      <c r="AV126" s="30" t="str">
        <f aca="false">IF($D126="","",IFERROR(VLOOKUP($J126,RegionMap,2,FALSE()),"Unmapped"))</f>
        <v>Midwest</v>
      </c>
      <c r="AW126" s="30" t="str">
        <f aca="false">IF($D126="","",IF($AC126="SOFR","Floating (SOFR)","Fixed / All-In"))</f>
        <v>Floating (SOFR)</v>
      </c>
      <c r="AX126" s="33" t="n">
        <f aca="false">IF($D126="","",$AD126+SOFR)</f>
        <v>0.13</v>
      </c>
      <c r="AY126" s="30" t="str">
        <f aca="false">IF($D126="","",IF($AF126="Waived","Waived",IF(ISNUMBER($AF126),IF($AF126&gt;AsOfDate,"In Place","Expired"),"None Reported")))</f>
        <v>None Reported</v>
      </c>
      <c r="AZ126" s="30" t="str">
        <f aca="false">IF($D126="","",IF(ISNUMBER($AG126),IF($AG126=0,"None",$AG126&amp;" Months"),IF($AG126="","None Reported",$AG126)))</f>
        <v>None</v>
      </c>
      <c r="BA126" s="27" t="str">
        <f aca="false">IF($D126="","",IF($AK126="","Unlevered",$AK126))</f>
        <v>Unlevered</v>
      </c>
      <c r="BB126" s="31" t="n">
        <f aca="false">IF($D126="","",SUM($AL126,$AO126))</f>
        <v>0</v>
      </c>
      <c r="BC126" s="32" t="n">
        <f aca="false">IF($D126="","",IF($P126&gt;0,$BB126/$P126,0))</f>
        <v>0</v>
      </c>
      <c r="BD126" s="34" t="n">
        <f aca="false">IF($D126="","",(AsOfDate-$AH126)/DaysPerMonth)</f>
        <v>5.19096509240246</v>
      </c>
      <c r="BE126" s="34" t="n">
        <f aca="false">IF($D126="","",($AI126-AsOfDate)/DaysPerMonth)</f>
        <v>115.088295687885</v>
      </c>
      <c r="BF126" s="34" t="n">
        <f aca="false">IF($D126="","",($AJ126-AsOfDate)/DaysPerMonth)</f>
        <v>115.088295687885</v>
      </c>
      <c r="BG126" s="34" t="n">
        <f aca="false">IF($D126="","",MAX(0,$BE126))</f>
        <v>115.088295687885</v>
      </c>
      <c r="BH126" s="34" t="n">
        <f aca="false">IF($D126="","",MAX(0,$BF126))</f>
        <v>115.088295687885</v>
      </c>
      <c r="BI126" s="77" t="n">
        <f aca="false">IF($D126="","",YEAR($AI126))</f>
        <v>2036</v>
      </c>
      <c r="BJ126" s="77" t="n">
        <f aca="false">IF($D126="","",YEAR($AJ126))</f>
        <v>2036</v>
      </c>
      <c r="BK126" s="77" t="n">
        <f aca="false">IF($D126="","",YEAR($AH126))</f>
        <v>2026</v>
      </c>
      <c r="BL126" s="78" t="n">
        <v>1969</v>
      </c>
      <c r="BM126" s="44" t="n">
        <f aca="false">IF($AT126=1,$P126+(1000-ROW())/1000000,0)</f>
        <v>5577000.000874</v>
      </c>
    </row>
    <row r="127" customFormat="false" ht="15" hidden="false" customHeight="false" outlineLevel="0" collapsed="false">
      <c r="B127" s="60" t="n">
        <v>123</v>
      </c>
      <c r="C127" s="61" t="n">
        <v>2532</v>
      </c>
      <c r="D127" s="62" t="s">
        <v>600</v>
      </c>
      <c r="E127" s="62" t="s">
        <v>74</v>
      </c>
      <c r="F127" s="62" t="s">
        <v>74</v>
      </c>
      <c r="G127" s="62" t="s">
        <v>85</v>
      </c>
      <c r="H127" s="62" t="s">
        <v>601</v>
      </c>
      <c r="I127" s="63" t="s">
        <v>390</v>
      </c>
      <c r="J127" s="63" t="s">
        <v>390</v>
      </c>
      <c r="K127" s="63" t="s">
        <v>306</v>
      </c>
      <c r="L127" s="60" t="n">
        <v>344</v>
      </c>
      <c r="M127" s="60"/>
      <c r="N127" s="63" t="n">
        <v>1973</v>
      </c>
      <c r="O127" s="63" t="s">
        <v>602</v>
      </c>
      <c r="P127" s="64" t="n">
        <v>3412000</v>
      </c>
      <c r="Q127" s="64" t="n">
        <v>0</v>
      </c>
      <c r="R127" s="64" t="n">
        <v>3412000</v>
      </c>
      <c r="S127" s="64" t="n">
        <v>0</v>
      </c>
      <c r="T127" s="64" t="n">
        <v>44200000</v>
      </c>
      <c r="U127" s="64" t="n">
        <v>52000000</v>
      </c>
      <c r="V127" s="64" t="n">
        <v>52400000</v>
      </c>
      <c r="W127" s="65" t="n">
        <v>0.85</v>
      </c>
      <c r="X127" s="65" t="n">
        <v>0.843511450381679</v>
      </c>
      <c r="Y127" s="57" t="n">
        <v>0.1</v>
      </c>
      <c r="Z127" s="57"/>
      <c r="AA127" s="57" t="n">
        <v>0</v>
      </c>
      <c r="AB127" s="57" t="n">
        <v>0</v>
      </c>
      <c r="AC127" s="63"/>
      <c r="AD127" s="57" t="n">
        <v>0.0635</v>
      </c>
      <c r="AE127" s="57"/>
      <c r="AF127" s="66"/>
      <c r="AG127" s="63" t="n">
        <v>12</v>
      </c>
      <c r="AH127" s="66" t="n">
        <v>44707</v>
      </c>
      <c r="AI127" s="66" t="n">
        <v>48366</v>
      </c>
      <c r="AJ127" s="66" t="n">
        <v>48366</v>
      </c>
      <c r="AK127" s="62"/>
      <c r="AL127" s="64"/>
      <c r="AM127" s="57"/>
      <c r="AN127" s="62"/>
      <c r="AO127" s="64"/>
      <c r="AP127" s="57"/>
      <c r="AQ127" s="64" t="n">
        <v>3412000</v>
      </c>
      <c r="AR127" s="65" t="n">
        <v>0.1</v>
      </c>
      <c r="AT127" s="26" t="n">
        <f aca="false">IF($D127="",0,IF(OR(StratFilter="All Loans",$E127=StratFilter),1,0))</f>
        <v>1</v>
      </c>
      <c r="AU127" s="18" t="str">
        <f aca="false">IF($D127="","",IFERROR(VLOOKUP(TRIM($K127),PropTypeMap,2,FALSE()),"Unmapped"))</f>
        <v>Multifamily</v>
      </c>
      <c r="AV127" s="21" t="str">
        <f aca="false">IF($D127="","",IFERROR(VLOOKUP($J127,RegionMap,2,FALSE()),"Unmapped"))</f>
        <v>Midwest</v>
      </c>
      <c r="AW127" s="21" t="str">
        <f aca="false">IF($D127="","",IF($AC127="SOFR","Floating (SOFR)","Fixed / All-In"))</f>
        <v>Fixed / All-In</v>
      </c>
      <c r="AX127" s="24" t="n">
        <f aca="false">IF($D127="","",$AD127+SOFR)</f>
        <v>0.1</v>
      </c>
      <c r="AY127" s="21" t="str">
        <f aca="false">IF($D127="","",IF($AF127="Waived","Waived",IF(ISNUMBER($AF127),IF($AF127&gt;AsOfDate,"In Place","Expired"),"None Reported")))</f>
        <v>None Reported</v>
      </c>
      <c r="AZ127" s="21" t="str">
        <f aca="false">IF($D127="","",IF(ISNUMBER($AG127),IF($AG127=0,"None",$AG127&amp;" Months"),IF($AG127="","None Reported",$AG127)))</f>
        <v>12 Months</v>
      </c>
      <c r="BA127" s="18" t="str">
        <f aca="false">IF($D127="","",IF($AK127="","Unlevered",$AK127))</f>
        <v>Unlevered</v>
      </c>
      <c r="BB127" s="22" t="n">
        <f aca="false">IF($D127="","",SUM($AL127,$AO127))</f>
        <v>0</v>
      </c>
      <c r="BC127" s="23" t="n">
        <f aca="false">IF($D127="","",IF($P127&gt;0,$BB127/$P127,0))</f>
        <v>0</v>
      </c>
      <c r="BD127" s="25" t="n">
        <f aca="false">IF($D127="","",(AsOfDate-$AH127)/DaysPerMonth)</f>
        <v>49.1498973305955</v>
      </c>
      <c r="BE127" s="25" t="n">
        <f aca="false">IF($D127="","",($AI127-AsOfDate)/DaysPerMonth)</f>
        <v>71.0636550308008</v>
      </c>
      <c r="BF127" s="25" t="n">
        <f aca="false">IF($D127="","",($AJ127-AsOfDate)/DaysPerMonth)</f>
        <v>71.0636550308008</v>
      </c>
      <c r="BG127" s="25" t="n">
        <f aca="false">IF($D127="","",MAX(0,$BE127))</f>
        <v>71.0636550308008</v>
      </c>
      <c r="BH127" s="25" t="n">
        <f aca="false">IF($D127="","",MAX(0,$BF127))</f>
        <v>71.0636550308008</v>
      </c>
      <c r="BI127" s="67" t="n">
        <f aca="false">IF($D127="","",YEAR($AI127))</f>
        <v>2032</v>
      </c>
      <c r="BJ127" s="67" t="n">
        <f aca="false">IF($D127="","",YEAR($AJ127))</f>
        <v>2032</v>
      </c>
      <c r="BK127" s="67" t="n">
        <f aca="false">IF($D127="","",YEAR($AH127))</f>
        <v>2022</v>
      </c>
      <c r="BL127" s="68" t="n">
        <v>1973</v>
      </c>
      <c r="BM127" s="26" t="n">
        <f aca="false">IF($AT127=1,$P127+(1000-ROW())/1000000,0)</f>
        <v>3412000.000873</v>
      </c>
    </row>
    <row r="128" customFormat="false" ht="15" hidden="false" customHeight="false" outlineLevel="0" collapsed="false">
      <c r="B128" s="69" t="n">
        <v>124</v>
      </c>
      <c r="C128" s="70" t="n">
        <v>2531</v>
      </c>
      <c r="D128" s="71" t="s">
        <v>603</v>
      </c>
      <c r="E128" s="71" t="s">
        <v>74</v>
      </c>
      <c r="F128" s="71" t="s">
        <v>74</v>
      </c>
      <c r="G128" s="71" t="s">
        <v>87</v>
      </c>
      <c r="H128" s="71" t="s">
        <v>604</v>
      </c>
      <c r="I128" s="72" t="s">
        <v>508</v>
      </c>
      <c r="J128" s="72" t="s">
        <v>508</v>
      </c>
      <c r="K128" s="72" t="s">
        <v>306</v>
      </c>
      <c r="L128" s="69" t="n">
        <v>90</v>
      </c>
      <c r="M128" s="69"/>
      <c r="N128" s="72" t="n">
        <v>2020</v>
      </c>
      <c r="O128" s="72" t="s">
        <v>311</v>
      </c>
      <c r="P128" s="73" t="n">
        <v>3120000</v>
      </c>
      <c r="Q128" s="73" t="n">
        <v>0</v>
      </c>
      <c r="R128" s="73" t="n">
        <v>3120000</v>
      </c>
      <c r="S128" s="73" t="n">
        <v>0</v>
      </c>
      <c r="T128" s="73" t="n">
        <v>23500000</v>
      </c>
      <c r="U128" s="73" t="n">
        <v>32800000</v>
      </c>
      <c r="V128" s="73" t="n">
        <v>32800000</v>
      </c>
      <c r="W128" s="74" t="n">
        <v>0.716463414634146</v>
      </c>
      <c r="X128" s="74" t="n">
        <v>0.716463414634146</v>
      </c>
      <c r="Y128" s="75" t="n">
        <v>0.12</v>
      </c>
      <c r="Z128" s="75"/>
      <c r="AA128" s="75" t="n">
        <v>0</v>
      </c>
      <c r="AB128" s="75" t="n">
        <v>0</v>
      </c>
      <c r="AC128" s="72" t="s">
        <v>308</v>
      </c>
      <c r="AD128" s="75" t="n">
        <v>0.0835</v>
      </c>
      <c r="AE128" s="75"/>
      <c r="AF128" s="76"/>
      <c r="AG128" s="72" t="s">
        <v>145</v>
      </c>
      <c r="AH128" s="76" t="n">
        <v>44238</v>
      </c>
      <c r="AI128" s="76" t="n">
        <v>47913</v>
      </c>
      <c r="AJ128" s="76" t="n">
        <v>47913</v>
      </c>
      <c r="AK128" s="71"/>
      <c r="AL128" s="73"/>
      <c r="AM128" s="75"/>
      <c r="AN128" s="71"/>
      <c r="AO128" s="73"/>
      <c r="AP128" s="75"/>
      <c r="AQ128" s="73" t="n">
        <v>3120000</v>
      </c>
      <c r="AR128" s="74" t="n">
        <v>0.12</v>
      </c>
      <c r="AT128" s="44" t="n">
        <f aca="false">IF($D128="",0,IF(OR(StratFilter="All Loans",$E128=StratFilter),1,0))</f>
        <v>1</v>
      </c>
      <c r="AU128" s="27" t="str">
        <f aca="false">IF($D128="","",IFERROR(VLOOKUP(TRIM($K128),PropTypeMap,2,FALSE()),"Unmapped"))</f>
        <v>Multifamily</v>
      </c>
      <c r="AV128" s="30" t="str">
        <f aca="false">IF($D128="","",IFERROR(VLOOKUP($J128,RegionMap,2,FALSE()),"Unmapped"))</f>
        <v>Pacific</v>
      </c>
      <c r="AW128" s="30" t="str">
        <f aca="false">IF($D128="","",IF($AC128="SOFR","Floating (SOFR)","Fixed / All-In"))</f>
        <v>Floating (SOFR)</v>
      </c>
      <c r="AX128" s="33" t="n">
        <f aca="false">IF($D128="","",$AD128+SOFR)</f>
        <v>0.12</v>
      </c>
      <c r="AY128" s="30" t="str">
        <f aca="false">IF($D128="","",IF($AF128="Waived","Waived",IF(ISNUMBER($AF128),IF($AF128&gt;AsOfDate,"In Place","Expired"),"None Reported")))</f>
        <v>None Reported</v>
      </c>
      <c r="AZ128" s="30" t="str">
        <f aca="false">IF($D128="","",IF(ISNUMBER($AG128),IF($AG128=0,"None",$AG128&amp;" Months"),IF($AG128="","None Reported",$AG128)))</f>
        <v>Defeasance</v>
      </c>
      <c r="BA128" s="27" t="str">
        <f aca="false">IF($D128="","",IF($AK128="","Unlevered",$AK128))</f>
        <v>Unlevered</v>
      </c>
      <c r="BB128" s="31" t="n">
        <f aca="false">IF($D128="","",SUM($AL128,$AO128))</f>
        <v>0</v>
      </c>
      <c r="BC128" s="32" t="n">
        <f aca="false">IF($D128="","",IF($P128&gt;0,$BB128/$P128,0))</f>
        <v>0</v>
      </c>
      <c r="BD128" s="34" t="n">
        <f aca="false">IF($D128="","",(AsOfDate-$AH128)/DaysPerMonth)</f>
        <v>64.558521560575</v>
      </c>
      <c r="BE128" s="34" t="n">
        <f aca="false">IF($D128="","",($AI128-AsOfDate)/DaysPerMonth)</f>
        <v>56.1806981519507</v>
      </c>
      <c r="BF128" s="34" t="n">
        <f aca="false">IF($D128="","",($AJ128-AsOfDate)/DaysPerMonth)</f>
        <v>56.1806981519507</v>
      </c>
      <c r="BG128" s="34" t="n">
        <f aca="false">IF($D128="","",MAX(0,$BE128))</f>
        <v>56.1806981519507</v>
      </c>
      <c r="BH128" s="34" t="n">
        <f aca="false">IF($D128="","",MAX(0,$BF128))</f>
        <v>56.1806981519507</v>
      </c>
      <c r="BI128" s="77" t="n">
        <f aca="false">IF($D128="","",YEAR($AI128))</f>
        <v>2031</v>
      </c>
      <c r="BJ128" s="77" t="n">
        <f aca="false">IF($D128="","",YEAR($AJ128))</f>
        <v>2031</v>
      </c>
      <c r="BK128" s="77" t="n">
        <f aca="false">IF($D128="","",YEAR($AH128))</f>
        <v>2021</v>
      </c>
      <c r="BL128" s="78" t="n">
        <v>2020</v>
      </c>
      <c r="BM128" s="44" t="n">
        <f aca="false">IF($AT128=1,$P128+(1000-ROW())/1000000,0)</f>
        <v>3120000.000872</v>
      </c>
    </row>
    <row r="129" customFormat="false" ht="15" hidden="false" customHeight="false" outlineLevel="0" collapsed="false">
      <c r="B129" s="60" t="n">
        <v>125</v>
      </c>
      <c r="C129" s="61" t="n">
        <v>2511</v>
      </c>
      <c r="D129" s="62" t="s">
        <v>605</v>
      </c>
      <c r="E129" s="62" t="s">
        <v>74</v>
      </c>
      <c r="F129" s="62" t="s">
        <v>74</v>
      </c>
      <c r="G129" s="62" t="s">
        <v>87</v>
      </c>
      <c r="H129" s="62" t="s">
        <v>606</v>
      </c>
      <c r="I129" s="63" t="s">
        <v>92</v>
      </c>
      <c r="J129" s="63" t="s">
        <v>92</v>
      </c>
      <c r="K129" s="63" t="s">
        <v>607</v>
      </c>
      <c r="L129" s="60"/>
      <c r="M129" s="60"/>
      <c r="N129" s="63" t="n">
        <v>2001</v>
      </c>
      <c r="O129" s="63" t="s">
        <v>311</v>
      </c>
      <c r="P129" s="64" t="n">
        <v>2759612.81</v>
      </c>
      <c r="Q129" s="64" t="n">
        <v>0</v>
      </c>
      <c r="R129" s="64" t="n">
        <v>2759612.81</v>
      </c>
      <c r="S129" s="64" t="n">
        <v>0</v>
      </c>
      <c r="T129" s="64" t="n">
        <v>22500000</v>
      </c>
      <c r="U129" s="64" t="n">
        <v>26940000</v>
      </c>
      <c r="V129" s="64" t="n">
        <v>26940000</v>
      </c>
      <c r="W129" s="65" t="n">
        <v>0.768789755011136</v>
      </c>
      <c r="X129" s="65" t="n">
        <v>0.835189309576838</v>
      </c>
      <c r="Y129" s="57" t="n">
        <v>0.125</v>
      </c>
      <c r="Z129" s="57"/>
      <c r="AA129" s="57" t="n">
        <v>0</v>
      </c>
      <c r="AB129" s="57" t="n">
        <v>0</v>
      </c>
      <c r="AC129" s="63"/>
      <c r="AD129" s="57" t="n">
        <v>0.0885</v>
      </c>
      <c r="AE129" s="57"/>
      <c r="AF129" s="66"/>
      <c r="AG129" s="63" t="s">
        <v>145</v>
      </c>
      <c r="AH129" s="66" t="n">
        <v>43369</v>
      </c>
      <c r="AI129" s="66" t="n">
        <v>47032</v>
      </c>
      <c r="AJ129" s="66" t="n">
        <v>47032</v>
      </c>
      <c r="AK129" s="62"/>
      <c r="AL129" s="64"/>
      <c r="AM129" s="57"/>
      <c r="AN129" s="62"/>
      <c r="AO129" s="64"/>
      <c r="AP129" s="57"/>
      <c r="AQ129" s="64" t="n">
        <v>2759612.81</v>
      </c>
      <c r="AR129" s="65" t="n">
        <v>0.125</v>
      </c>
      <c r="AT129" s="26" t="n">
        <f aca="false">IF($D129="",0,IF(OR(StratFilter="All Loans",$E129=StratFilter),1,0))</f>
        <v>1</v>
      </c>
      <c r="AU129" s="18" t="str">
        <f aca="false">IF($D129="","",IFERROR(VLOOKUP(TRIM($K129),PropTypeMap,2,FALSE()),"Unmapped"))</f>
        <v>Retail</v>
      </c>
      <c r="AV129" s="21" t="str">
        <f aca="false">IF($D129="","",IFERROR(VLOOKUP($J129,RegionMap,2,FALSE()),"Unmapped"))</f>
        <v>Southwest</v>
      </c>
      <c r="AW129" s="21" t="str">
        <f aca="false">IF($D129="","",IF($AC129="SOFR","Floating (SOFR)","Fixed / All-In"))</f>
        <v>Fixed / All-In</v>
      </c>
      <c r="AX129" s="24" t="n">
        <f aca="false">IF($D129="","",$AD129+SOFR)</f>
        <v>0.125</v>
      </c>
      <c r="AY129" s="21" t="str">
        <f aca="false">IF($D129="","",IF($AF129="Waived","Waived",IF(ISNUMBER($AF129),IF($AF129&gt;AsOfDate,"In Place","Expired"),"None Reported")))</f>
        <v>None Reported</v>
      </c>
      <c r="AZ129" s="21" t="str">
        <f aca="false">IF($D129="","",IF(ISNUMBER($AG129),IF($AG129=0,"None",$AG129&amp;" Months"),IF($AG129="","None Reported",$AG129)))</f>
        <v>Defeasance</v>
      </c>
      <c r="BA129" s="18" t="str">
        <f aca="false">IF($D129="","",IF($AK129="","Unlevered",$AK129))</f>
        <v>Unlevered</v>
      </c>
      <c r="BB129" s="22" t="n">
        <f aca="false">IF($D129="","",SUM($AL129,$AO129))</f>
        <v>0</v>
      </c>
      <c r="BC129" s="23" t="n">
        <f aca="false">IF($D129="","",IF($P129&gt;0,$BB129/$P129,0))</f>
        <v>0</v>
      </c>
      <c r="BD129" s="25" t="n">
        <f aca="false">IF($D129="","",(AsOfDate-$AH129)/DaysPerMonth)</f>
        <v>93.1088295687885</v>
      </c>
      <c r="BE129" s="25" t="n">
        <f aca="false">IF($D129="","",($AI129-AsOfDate)/DaysPerMonth)</f>
        <v>27.2361396303901</v>
      </c>
      <c r="BF129" s="25" t="n">
        <f aca="false">IF($D129="","",($AJ129-AsOfDate)/DaysPerMonth)</f>
        <v>27.2361396303901</v>
      </c>
      <c r="BG129" s="25" t="n">
        <f aca="false">IF($D129="","",MAX(0,$BE129))</f>
        <v>27.2361396303901</v>
      </c>
      <c r="BH129" s="25" t="n">
        <f aca="false">IF($D129="","",MAX(0,$BF129))</f>
        <v>27.2361396303901</v>
      </c>
      <c r="BI129" s="67" t="n">
        <f aca="false">IF($D129="","",YEAR($AI129))</f>
        <v>2028</v>
      </c>
      <c r="BJ129" s="67" t="n">
        <f aca="false">IF($D129="","",YEAR($AJ129))</f>
        <v>2028</v>
      </c>
      <c r="BK129" s="67" t="n">
        <f aca="false">IF($D129="","",YEAR($AH129))</f>
        <v>2018</v>
      </c>
      <c r="BL129" s="68" t="n">
        <v>2001</v>
      </c>
      <c r="BM129" s="26" t="n">
        <f aca="false">IF($AT129=1,$P129+(1000-ROW())/1000000,0)</f>
        <v>2759612.810871</v>
      </c>
    </row>
    <row r="130" customFormat="false" ht="15" hidden="false" customHeight="false" outlineLevel="0" collapsed="false">
      <c r="B130" s="69" t="n">
        <v>126</v>
      </c>
      <c r="C130" s="70" t="n">
        <v>2533</v>
      </c>
      <c r="D130" s="71" t="s">
        <v>608</v>
      </c>
      <c r="E130" s="71" t="s">
        <v>74</v>
      </c>
      <c r="F130" s="71" t="s">
        <v>74</v>
      </c>
      <c r="G130" s="71" t="s">
        <v>85</v>
      </c>
      <c r="H130" s="71" t="s">
        <v>417</v>
      </c>
      <c r="I130" s="72" t="s">
        <v>98</v>
      </c>
      <c r="J130" s="72" t="s">
        <v>98</v>
      </c>
      <c r="K130" s="72" t="s">
        <v>306</v>
      </c>
      <c r="L130" s="69" t="n">
        <v>296</v>
      </c>
      <c r="M130" s="69"/>
      <c r="N130" s="72" t="s">
        <v>609</v>
      </c>
      <c r="O130" s="72" t="s">
        <v>311</v>
      </c>
      <c r="P130" s="73" t="n">
        <v>2496000</v>
      </c>
      <c r="Q130" s="73" t="n">
        <v>0</v>
      </c>
      <c r="R130" s="73" t="n">
        <v>2496000</v>
      </c>
      <c r="S130" s="73" t="n">
        <v>0</v>
      </c>
      <c r="T130" s="73" t="n">
        <v>31706000</v>
      </c>
      <c r="U130" s="73" t="n">
        <v>43900000</v>
      </c>
      <c r="V130" s="73" t="n">
        <v>43900000</v>
      </c>
      <c r="W130" s="74" t="n">
        <v>0.722232346241458</v>
      </c>
      <c r="X130" s="74" t="n">
        <v>0.722232346241458</v>
      </c>
      <c r="Y130" s="75" t="n">
        <v>0.1</v>
      </c>
      <c r="Z130" s="75"/>
      <c r="AA130" s="75" t="n">
        <v>0</v>
      </c>
      <c r="AB130" s="75" t="n">
        <v>0</v>
      </c>
      <c r="AC130" s="72"/>
      <c r="AD130" s="75" t="n">
        <v>0.0635</v>
      </c>
      <c r="AE130" s="75"/>
      <c r="AF130" s="76"/>
      <c r="AG130" s="72" t="n">
        <v>12</v>
      </c>
      <c r="AH130" s="76" t="n">
        <v>44826</v>
      </c>
      <c r="AI130" s="76" t="n">
        <v>48488</v>
      </c>
      <c r="AJ130" s="76" t="n">
        <v>48488</v>
      </c>
      <c r="AK130" s="71"/>
      <c r="AL130" s="73"/>
      <c r="AM130" s="75"/>
      <c r="AN130" s="71"/>
      <c r="AO130" s="73"/>
      <c r="AP130" s="75"/>
      <c r="AQ130" s="73" t="n">
        <v>2496000</v>
      </c>
      <c r="AR130" s="74" t="n">
        <v>0.1</v>
      </c>
      <c r="AT130" s="44" t="n">
        <f aca="false">IF($D130="",0,IF(OR(StratFilter="All Loans",$E130=StratFilter),1,0))</f>
        <v>1</v>
      </c>
      <c r="AU130" s="27" t="str">
        <f aca="false">IF($D130="","",IFERROR(VLOOKUP(TRIM($K130),PropTypeMap,2,FALSE()),"Unmapped"))</f>
        <v>Multifamily</v>
      </c>
      <c r="AV130" s="30" t="str">
        <f aca="false">IF($D130="","",IFERROR(VLOOKUP($J130,RegionMap,2,FALSE()),"Unmapped"))</f>
        <v>Southeast</v>
      </c>
      <c r="AW130" s="30" t="str">
        <f aca="false">IF($D130="","",IF($AC130="SOFR","Floating (SOFR)","Fixed / All-In"))</f>
        <v>Fixed / All-In</v>
      </c>
      <c r="AX130" s="33" t="n">
        <f aca="false">IF($D130="","",$AD130+SOFR)</f>
        <v>0.1</v>
      </c>
      <c r="AY130" s="30" t="str">
        <f aca="false">IF($D130="","",IF($AF130="Waived","Waived",IF(ISNUMBER($AF130),IF($AF130&gt;AsOfDate,"In Place","Expired"),"None Reported")))</f>
        <v>None Reported</v>
      </c>
      <c r="AZ130" s="30" t="str">
        <f aca="false">IF($D130="","",IF(ISNUMBER($AG130),IF($AG130=0,"None",$AG130&amp;" Months"),IF($AG130="","None Reported",$AG130)))</f>
        <v>12 Months</v>
      </c>
      <c r="BA130" s="27" t="str">
        <f aca="false">IF($D130="","",IF($AK130="","Unlevered",$AK130))</f>
        <v>Unlevered</v>
      </c>
      <c r="BB130" s="31" t="n">
        <f aca="false">IF($D130="","",SUM($AL130,$AO130))</f>
        <v>0</v>
      </c>
      <c r="BC130" s="32" t="n">
        <f aca="false">IF($D130="","",IF($P130&gt;0,$BB130/$P130,0))</f>
        <v>0</v>
      </c>
      <c r="BD130" s="34" t="n">
        <f aca="false">IF($D130="","",(AsOfDate-$AH130)/DaysPerMonth)</f>
        <v>45.2402464065708</v>
      </c>
      <c r="BE130" s="34" t="n">
        <f aca="false">IF($D130="","",($AI130-AsOfDate)/DaysPerMonth)</f>
        <v>75.0718685831622</v>
      </c>
      <c r="BF130" s="34" t="n">
        <f aca="false">IF($D130="","",($AJ130-AsOfDate)/DaysPerMonth)</f>
        <v>75.0718685831622</v>
      </c>
      <c r="BG130" s="34" t="n">
        <f aca="false">IF($D130="","",MAX(0,$BE130))</f>
        <v>75.0718685831622</v>
      </c>
      <c r="BH130" s="34" t="n">
        <f aca="false">IF($D130="","",MAX(0,$BF130))</f>
        <v>75.0718685831622</v>
      </c>
      <c r="BI130" s="77" t="n">
        <f aca="false">IF($D130="","",YEAR($AI130))</f>
        <v>2032</v>
      </c>
      <c r="BJ130" s="77" t="n">
        <f aca="false">IF($D130="","",YEAR($AJ130))</f>
        <v>2032</v>
      </c>
      <c r="BK130" s="77" t="n">
        <f aca="false">IF($D130="","",YEAR($AH130))</f>
        <v>2022</v>
      </c>
      <c r="BL130" s="78" t="n">
        <v>1987</v>
      </c>
      <c r="BM130" s="44" t="n">
        <f aca="false">IF($AT130=1,$P130+(1000-ROW())/1000000,0)</f>
        <v>2496000.00087</v>
      </c>
    </row>
    <row r="131" customFormat="false" ht="15" hidden="false" customHeight="false" outlineLevel="0" collapsed="false">
      <c r="B131" s="60" t="n">
        <v>127</v>
      </c>
      <c r="C131" s="61" t="n">
        <v>2534</v>
      </c>
      <c r="D131" s="62" t="s">
        <v>610</v>
      </c>
      <c r="E131" s="62" t="s">
        <v>74</v>
      </c>
      <c r="F131" s="62" t="s">
        <v>74</v>
      </c>
      <c r="G131" s="62" t="s">
        <v>87</v>
      </c>
      <c r="H131" s="62" t="s">
        <v>477</v>
      </c>
      <c r="I131" s="63" t="s">
        <v>93</v>
      </c>
      <c r="J131" s="63" t="s">
        <v>93</v>
      </c>
      <c r="K131" s="63" t="s">
        <v>306</v>
      </c>
      <c r="L131" s="60" t="n">
        <v>297</v>
      </c>
      <c r="M131" s="60"/>
      <c r="N131" s="63" t="s">
        <v>611</v>
      </c>
      <c r="O131" s="63" t="n">
        <v>1991</v>
      </c>
      <c r="P131" s="64" t="n">
        <v>2326000</v>
      </c>
      <c r="Q131" s="64" t="n">
        <v>0</v>
      </c>
      <c r="R131" s="64" t="n">
        <v>2326000</v>
      </c>
      <c r="S131" s="64" t="n">
        <v>0</v>
      </c>
      <c r="T131" s="64" t="n">
        <v>29594000</v>
      </c>
      <c r="U131" s="64" t="n">
        <v>37050000</v>
      </c>
      <c r="V131" s="64" t="n">
        <v>39750000</v>
      </c>
      <c r="W131" s="65" t="n">
        <v>0.798758434547908</v>
      </c>
      <c r="X131" s="65" t="n">
        <v>0.744503144654088</v>
      </c>
      <c r="Y131" s="57" t="n">
        <v>0.12</v>
      </c>
      <c r="Z131" s="57"/>
      <c r="AA131" s="57" t="n">
        <v>0</v>
      </c>
      <c r="AB131" s="57" t="n">
        <v>0</v>
      </c>
      <c r="AC131" s="63"/>
      <c r="AD131" s="57" t="n">
        <v>0.0835</v>
      </c>
      <c r="AE131" s="57"/>
      <c r="AF131" s="66"/>
      <c r="AG131" s="63" t="n">
        <v>12</v>
      </c>
      <c r="AH131" s="66" t="n">
        <v>44897</v>
      </c>
      <c r="AI131" s="66" t="n">
        <v>47484</v>
      </c>
      <c r="AJ131" s="66" t="n">
        <v>47484</v>
      </c>
      <c r="AK131" s="62"/>
      <c r="AL131" s="64"/>
      <c r="AM131" s="57"/>
      <c r="AN131" s="62"/>
      <c r="AO131" s="64"/>
      <c r="AP131" s="57"/>
      <c r="AQ131" s="64" t="n">
        <v>2326000</v>
      </c>
      <c r="AR131" s="65" t="n">
        <v>0.12</v>
      </c>
      <c r="AT131" s="26" t="n">
        <f aca="false">IF($D131="",0,IF(OR(StratFilter="All Loans",$E131=StratFilter),1,0))</f>
        <v>1</v>
      </c>
      <c r="AU131" s="18" t="str">
        <f aca="false">IF($D131="","",IFERROR(VLOOKUP(TRIM($K131),PropTypeMap,2,FALSE()),"Unmapped"))</f>
        <v>Multifamily</v>
      </c>
      <c r="AV131" s="21" t="str">
        <f aca="false">IF($D131="","",IFERROR(VLOOKUP($J131,RegionMap,2,FALSE()),"Unmapped"))</f>
        <v>Northeast</v>
      </c>
      <c r="AW131" s="21" t="str">
        <f aca="false">IF($D131="","",IF($AC131="SOFR","Floating (SOFR)","Fixed / All-In"))</f>
        <v>Fixed / All-In</v>
      </c>
      <c r="AX131" s="24" t="n">
        <f aca="false">IF($D131="","",$AD131+SOFR)</f>
        <v>0.12</v>
      </c>
      <c r="AY131" s="21" t="str">
        <f aca="false">IF($D131="","",IF($AF131="Waived","Waived",IF(ISNUMBER($AF131),IF($AF131&gt;AsOfDate,"In Place","Expired"),"None Reported")))</f>
        <v>None Reported</v>
      </c>
      <c r="AZ131" s="21" t="str">
        <f aca="false">IF($D131="","",IF(ISNUMBER($AG131),IF($AG131=0,"None",$AG131&amp;" Months"),IF($AG131="","None Reported",$AG131)))</f>
        <v>12 Months</v>
      </c>
      <c r="BA131" s="18" t="str">
        <f aca="false">IF($D131="","",IF($AK131="","Unlevered",$AK131))</f>
        <v>Unlevered</v>
      </c>
      <c r="BB131" s="22" t="n">
        <f aca="false">IF($D131="","",SUM($AL131,$AO131))</f>
        <v>0</v>
      </c>
      <c r="BC131" s="23" t="n">
        <f aca="false">IF($D131="","",IF($P131&gt;0,$BB131/$P131,0))</f>
        <v>0</v>
      </c>
      <c r="BD131" s="25" t="n">
        <f aca="false">IF($D131="","",(AsOfDate-$AH131)/DaysPerMonth)</f>
        <v>42.9075975359343</v>
      </c>
      <c r="BE131" s="25" t="n">
        <f aca="false">IF($D131="","",($AI131-AsOfDate)/DaysPerMonth)</f>
        <v>42.0862422997947</v>
      </c>
      <c r="BF131" s="25" t="n">
        <f aca="false">IF($D131="","",($AJ131-AsOfDate)/DaysPerMonth)</f>
        <v>42.0862422997947</v>
      </c>
      <c r="BG131" s="25" t="n">
        <f aca="false">IF($D131="","",MAX(0,$BE131))</f>
        <v>42.0862422997947</v>
      </c>
      <c r="BH131" s="25" t="n">
        <f aca="false">IF($D131="","",MAX(0,$BF131))</f>
        <v>42.0862422997947</v>
      </c>
      <c r="BI131" s="67" t="n">
        <f aca="false">IF($D131="","",YEAR($AI131))</f>
        <v>2030</v>
      </c>
      <c r="BJ131" s="67" t="n">
        <f aca="false">IF($D131="","",YEAR($AJ131))</f>
        <v>2030</v>
      </c>
      <c r="BK131" s="67" t="n">
        <f aca="false">IF($D131="","",YEAR($AH131))</f>
        <v>2022</v>
      </c>
      <c r="BL131" s="68" t="n">
        <v>1922</v>
      </c>
      <c r="BM131" s="26" t="n">
        <f aca="false">IF($AT131=1,$P131+(1000-ROW())/1000000,0)</f>
        <v>2326000.000869</v>
      </c>
    </row>
    <row r="132" customFormat="false" ht="15" hidden="false" customHeight="false" outlineLevel="0" collapsed="false">
      <c r="B132" s="69" t="n">
        <v>128</v>
      </c>
      <c r="C132" s="70" t="n">
        <v>2530</v>
      </c>
      <c r="D132" s="71" t="s">
        <v>612</v>
      </c>
      <c r="E132" s="71" t="s">
        <v>74</v>
      </c>
      <c r="F132" s="71" t="s">
        <v>74</v>
      </c>
      <c r="G132" s="71" t="s">
        <v>89</v>
      </c>
      <c r="H132" s="71" t="s">
        <v>613</v>
      </c>
      <c r="I132" s="72" t="s">
        <v>101</v>
      </c>
      <c r="J132" s="72" t="s">
        <v>101</v>
      </c>
      <c r="K132" s="72" t="s">
        <v>306</v>
      </c>
      <c r="L132" s="69" t="n">
        <v>595</v>
      </c>
      <c r="M132" s="69"/>
      <c r="N132" s="72" t="n">
        <v>1965</v>
      </c>
      <c r="O132" s="72" t="s">
        <v>311</v>
      </c>
      <c r="P132" s="73" t="n">
        <v>2140000</v>
      </c>
      <c r="Q132" s="73" t="n">
        <v>-357383.067330304</v>
      </c>
      <c r="R132" s="73" t="n">
        <v>1782616.9326697</v>
      </c>
      <c r="S132" s="73" t="n">
        <v>0</v>
      </c>
      <c r="T132" s="73" t="n">
        <v>68000000</v>
      </c>
      <c r="U132" s="73" t="n">
        <v>82400000</v>
      </c>
      <c r="V132" s="73" t="n">
        <v>85800000</v>
      </c>
      <c r="W132" s="74" t="n">
        <v>0.794902912621359</v>
      </c>
      <c r="X132" s="74" t="n">
        <v>0.792540792540793</v>
      </c>
      <c r="Y132" s="75" t="n">
        <v>0.11</v>
      </c>
      <c r="Z132" s="75"/>
      <c r="AA132" s="75" t="n">
        <v>0</v>
      </c>
      <c r="AB132" s="75" t="n">
        <v>0</v>
      </c>
      <c r="AC132" s="72"/>
      <c r="AD132" s="75" t="n">
        <v>0.0735</v>
      </c>
      <c r="AE132" s="75"/>
      <c r="AF132" s="76"/>
      <c r="AG132" s="72" t="n">
        <v>12</v>
      </c>
      <c r="AH132" s="76" t="n">
        <v>44182</v>
      </c>
      <c r="AI132" s="76" t="n">
        <v>48580</v>
      </c>
      <c r="AJ132" s="76" t="n">
        <v>48580</v>
      </c>
      <c r="AK132" s="71"/>
      <c r="AL132" s="73"/>
      <c r="AM132" s="75"/>
      <c r="AN132" s="71"/>
      <c r="AO132" s="73"/>
      <c r="AP132" s="75"/>
      <c r="AQ132" s="73" t="n">
        <v>2140000</v>
      </c>
      <c r="AR132" s="74" t="n">
        <v>0.11</v>
      </c>
      <c r="AT132" s="44" t="n">
        <f aca="false">IF($D132="",0,IF(OR(StratFilter="All Loans",$E132=StratFilter),1,0))</f>
        <v>1</v>
      </c>
      <c r="AU132" s="27" t="str">
        <f aca="false">IF($D132="","",IFERROR(VLOOKUP(TRIM($K132),PropTypeMap,2,FALSE()),"Unmapped"))</f>
        <v>Multifamily</v>
      </c>
      <c r="AV132" s="30" t="str">
        <f aca="false">IF($D132="","",IFERROR(VLOOKUP($J132,RegionMap,2,FALSE()),"Unmapped"))</f>
        <v>Mid-Atlantic</v>
      </c>
      <c r="AW132" s="30" t="str">
        <f aca="false">IF($D132="","",IF($AC132="SOFR","Floating (SOFR)","Fixed / All-In"))</f>
        <v>Fixed / All-In</v>
      </c>
      <c r="AX132" s="33" t="n">
        <f aca="false">IF($D132="","",$AD132+SOFR)</f>
        <v>0.11</v>
      </c>
      <c r="AY132" s="30" t="str">
        <f aca="false">IF($D132="","",IF($AF132="Waived","Waived",IF(ISNUMBER($AF132),IF($AF132&gt;AsOfDate,"In Place","Expired"),"None Reported")))</f>
        <v>None Reported</v>
      </c>
      <c r="AZ132" s="30" t="str">
        <f aca="false">IF($D132="","",IF(ISNUMBER($AG132),IF($AG132=0,"None",$AG132&amp;" Months"),IF($AG132="","None Reported",$AG132)))</f>
        <v>12 Months</v>
      </c>
      <c r="BA132" s="27" t="str">
        <f aca="false">IF($D132="","",IF($AK132="","Unlevered",$AK132))</f>
        <v>Unlevered</v>
      </c>
      <c r="BB132" s="31" t="n">
        <f aca="false">IF($D132="","",SUM($AL132,$AO132))</f>
        <v>0</v>
      </c>
      <c r="BC132" s="32" t="n">
        <f aca="false">IF($D132="","",IF($P132&gt;0,$BB132/$P132,0))</f>
        <v>0</v>
      </c>
      <c r="BD132" s="34" t="n">
        <f aca="false">IF($D132="","",(AsOfDate-$AH132)/DaysPerMonth)</f>
        <v>66.3983572895277</v>
      </c>
      <c r="BE132" s="34" t="n">
        <f aca="false">IF($D132="","",($AI132-AsOfDate)/DaysPerMonth)</f>
        <v>78.0944558521561</v>
      </c>
      <c r="BF132" s="34" t="n">
        <f aca="false">IF($D132="","",($AJ132-AsOfDate)/DaysPerMonth)</f>
        <v>78.0944558521561</v>
      </c>
      <c r="BG132" s="34" t="n">
        <f aca="false">IF($D132="","",MAX(0,$BE132))</f>
        <v>78.0944558521561</v>
      </c>
      <c r="BH132" s="34" t="n">
        <f aca="false">IF($D132="","",MAX(0,$BF132))</f>
        <v>78.0944558521561</v>
      </c>
      <c r="BI132" s="77" t="n">
        <f aca="false">IF($D132="","",YEAR($AI132))</f>
        <v>2033</v>
      </c>
      <c r="BJ132" s="77" t="n">
        <f aca="false">IF($D132="","",YEAR($AJ132))</f>
        <v>2033</v>
      </c>
      <c r="BK132" s="77" t="n">
        <f aca="false">IF($D132="","",YEAR($AH132))</f>
        <v>2020</v>
      </c>
      <c r="BL132" s="78" t="n">
        <v>1965</v>
      </c>
      <c r="BM132" s="44" t="n">
        <f aca="false">IF($AT132=1,$P132+(1000-ROW())/1000000,0)</f>
        <v>2140000.000868</v>
      </c>
    </row>
    <row r="133" customFormat="false" ht="15" hidden="false" customHeight="false" outlineLevel="0" collapsed="false">
      <c r="B133" s="60" t="n">
        <v>129</v>
      </c>
      <c r="C133" s="61" t="n">
        <v>2508</v>
      </c>
      <c r="D133" s="62" t="s">
        <v>614</v>
      </c>
      <c r="E133" s="62" t="s">
        <v>74</v>
      </c>
      <c r="F133" s="62" t="s">
        <v>74</v>
      </c>
      <c r="G133" s="62" t="s">
        <v>87</v>
      </c>
      <c r="H133" s="62" t="s">
        <v>417</v>
      </c>
      <c r="I133" s="63" t="s">
        <v>98</v>
      </c>
      <c r="J133" s="63" t="s">
        <v>98</v>
      </c>
      <c r="K133" s="63" t="s">
        <v>615</v>
      </c>
      <c r="L133" s="60" t="n">
        <v>172</v>
      </c>
      <c r="M133" s="60"/>
      <c r="N133" s="63" t="s">
        <v>616</v>
      </c>
      <c r="O133" s="63" t="s">
        <v>617</v>
      </c>
      <c r="P133" s="64" t="n">
        <v>1113091.68</v>
      </c>
      <c r="Q133" s="64" t="n">
        <v>0</v>
      </c>
      <c r="R133" s="64" t="n">
        <v>1113091.68</v>
      </c>
      <c r="S133" s="64" t="n">
        <v>0</v>
      </c>
      <c r="T133" s="64" t="n">
        <v>15750000</v>
      </c>
      <c r="U133" s="64" t="n">
        <v>20800000</v>
      </c>
      <c r="V133" s="64" t="n">
        <v>23200000</v>
      </c>
      <c r="W133" s="65" t="n">
        <v>0.664558653846154</v>
      </c>
      <c r="X133" s="65" t="n">
        <v>0.678879310344828</v>
      </c>
      <c r="Y133" s="57" t="n">
        <v>0.12</v>
      </c>
      <c r="Z133" s="57"/>
      <c r="AA133" s="57" t="n">
        <v>0</v>
      </c>
      <c r="AB133" s="57" t="n">
        <v>0</v>
      </c>
      <c r="AC133" s="63"/>
      <c r="AD133" s="57" t="n">
        <v>0.0835</v>
      </c>
      <c r="AE133" s="57"/>
      <c r="AF133" s="66"/>
      <c r="AG133" s="63" t="s">
        <v>145</v>
      </c>
      <c r="AH133" s="66" t="n">
        <v>43124</v>
      </c>
      <c r="AI133" s="66" t="n">
        <v>46789</v>
      </c>
      <c r="AJ133" s="66" t="n">
        <v>46789</v>
      </c>
      <c r="AK133" s="62"/>
      <c r="AL133" s="64"/>
      <c r="AM133" s="57"/>
      <c r="AN133" s="62"/>
      <c r="AO133" s="64"/>
      <c r="AP133" s="57"/>
      <c r="AQ133" s="64" t="n">
        <v>1113091.68</v>
      </c>
      <c r="AR133" s="65" t="n">
        <v>0.12</v>
      </c>
      <c r="AT133" s="26" t="n">
        <f aca="false">IF($D133="",0,IF(OR(StratFilter="All Loans",$E133=StratFilter),1,0))</f>
        <v>1</v>
      </c>
      <c r="AU133" s="18" t="str">
        <f aca="false">IF($D133="","",IFERROR(VLOOKUP(TRIM($K133),PropTypeMap,2,FALSE()),"Unmapped"))</f>
        <v>Hospitality</v>
      </c>
      <c r="AV133" s="21" t="str">
        <f aca="false">IF($D133="","",IFERROR(VLOOKUP($J133,RegionMap,2,FALSE()),"Unmapped"))</f>
        <v>Southeast</v>
      </c>
      <c r="AW133" s="21" t="str">
        <f aca="false">IF($D133="","",IF($AC133="SOFR","Floating (SOFR)","Fixed / All-In"))</f>
        <v>Fixed / All-In</v>
      </c>
      <c r="AX133" s="24" t="n">
        <f aca="false">IF($D133="","",$AD133+SOFR)</f>
        <v>0.12</v>
      </c>
      <c r="AY133" s="21" t="str">
        <f aca="false">IF($D133="","",IF($AF133="Waived","Waived",IF(ISNUMBER($AF133),IF($AF133&gt;AsOfDate,"In Place","Expired"),"None Reported")))</f>
        <v>None Reported</v>
      </c>
      <c r="AZ133" s="21" t="str">
        <f aca="false">IF($D133="","",IF(ISNUMBER($AG133),IF($AG133=0,"None",$AG133&amp;" Months"),IF($AG133="","None Reported",$AG133)))</f>
        <v>Defeasance</v>
      </c>
      <c r="BA133" s="18" t="str">
        <f aca="false">IF($D133="","",IF($AK133="","Unlevered",$AK133))</f>
        <v>Unlevered</v>
      </c>
      <c r="BB133" s="22" t="n">
        <f aca="false">IF($D133="","",SUM($AL133,$AO133))</f>
        <v>0</v>
      </c>
      <c r="BC133" s="23" t="n">
        <f aca="false">IF($D133="","",IF($P133&gt;0,$BB133/$P133,0))</f>
        <v>0</v>
      </c>
      <c r="BD133" s="25" t="n">
        <f aca="false">IF($D133="","",(AsOfDate-$AH133)/DaysPerMonth)</f>
        <v>101.158110882957</v>
      </c>
      <c r="BE133" s="25" t="n">
        <f aca="false">IF($D133="","",($AI133-AsOfDate)/DaysPerMonth)</f>
        <v>19.2525667351129</v>
      </c>
      <c r="BF133" s="25" t="n">
        <f aca="false">IF($D133="","",($AJ133-AsOfDate)/DaysPerMonth)</f>
        <v>19.2525667351129</v>
      </c>
      <c r="BG133" s="25" t="n">
        <f aca="false">IF($D133="","",MAX(0,$BE133))</f>
        <v>19.2525667351129</v>
      </c>
      <c r="BH133" s="25" t="n">
        <f aca="false">IF($D133="","",MAX(0,$BF133))</f>
        <v>19.2525667351129</v>
      </c>
      <c r="BI133" s="67" t="n">
        <f aca="false">IF($D133="","",YEAR($AI133))</f>
        <v>2028</v>
      </c>
      <c r="BJ133" s="67" t="n">
        <f aca="false">IF($D133="","",YEAR($AJ133))</f>
        <v>2028</v>
      </c>
      <c r="BK133" s="67" t="n">
        <f aca="false">IF($D133="","",YEAR($AH133))</f>
        <v>2018</v>
      </c>
      <c r="BL133" s="68" t="n">
        <v>2004</v>
      </c>
      <c r="BM133" s="26" t="n">
        <f aca="false">IF($AT133=1,$P133+(1000-ROW())/1000000,0)</f>
        <v>1113091.680867</v>
      </c>
    </row>
    <row r="134" customFormat="false" ht="15" hidden="false" customHeight="false" outlineLevel="0" collapsed="false">
      <c r="B134" s="69" t="n">
        <v>130</v>
      </c>
      <c r="C134" s="70" t="n">
        <v>2509</v>
      </c>
      <c r="D134" s="71" t="s">
        <v>618</v>
      </c>
      <c r="E134" s="71" t="s">
        <v>74</v>
      </c>
      <c r="F134" s="71" t="s">
        <v>74</v>
      </c>
      <c r="G134" s="71" t="s">
        <v>87</v>
      </c>
      <c r="H134" s="71" t="s">
        <v>619</v>
      </c>
      <c r="I134" s="72" t="s">
        <v>98</v>
      </c>
      <c r="J134" s="72" t="s">
        <v>98</v>
      </c>
      <c r="K134" s="72" t="s">
        <v>615</v>
      </c>
      <c r="L134" s="69" t="n">
        <v>196</v>
      </c>
      <c r="M134" s="69"/>
      <c r="N134" s="72" t="s">
        <v>620</v>
      </c>
      <c r="O134" s="72" t="s">
        <v>617</v>
      </c>
      <c r="P134" s="73" t="n">
        <v>983979.94</v>
      </c>
      <c r="Q134" s="73" t="n">
        <v>0</v>
      </c>
      <c r="R134" s="73" t="n">
        <v>983979.94</v>
      </c>
      <c r="S134" s="73" t="n">
        <v>0</v>
      </c>
      <c r="T134" s="73" t="n">
        <v>10880000</v>
      </c>
      <c r="U134" s="73" t="n">
        <v>12800000</v>
      </c>
      <c r="V134" s="73" t="n">
        <v>15400000</v>
      </c>
      <c r="W134" s="74" t="n">
        <v>0.6591771875</v>
      </c>
      <c r="X134" s="74" t="n">
        <v>0.706493506493507</v>
      </c>
      <c r="Y134" s="75" t="n">
        <v>0.12</v>
      </c>
      <c r="Z134" s="75"/>
      <c r="AA134" s="75" t="n">
        <v>0</v>
      </c>
      <c r="AB134" s="75" t="n">
        <v>0</v>
      </c>
      <c r="AC134" s="72"/>
      <c r="AD134" s="75" t="n">
        <v>0.0835</v>
      </c>
      <c r="AE134" s="75"/>
      <c r="AF134" s="76"/>
      <c r="AG134" s="72" t="s">
        <v>145</v>
      </c>
      <c r="AH134" s="76" t="n">
        <v>43185</v>
      </c>
      <c r="AI134" s="76" t="n">
        <v>46849</v>
      </c>
      <c r="AJ134" s="76" t="n">
        <v>46849</v>
      </c>
      <c r="AK134" s="71"/>
      <c r="AL134" s="73"/>
      <c r="AM134" s="75"/>
      <c r="AN134" s="71"/>
      <c r="AO134" s="73"/>
      <c r="AP134" s="75"/>
      <c r="AQ134" s="73" t="n">
        <v>983979.94</v>
      </c>
      <c r="AR134" s="74" t="n">
        <v>0.12</v>
      </c>
      <c r="AT134" s="44" t="n">
        <f aca="false">IF($D134="",0,IF(OR(StratFilter="All Loans",$E134=StratFilter),1,0))</f>
        <v>1</v>
      </c>
      <c r="AU134" s="27" t="str">
        <f aca="false">IF($D134="","",IFERROR(VLOOKUP(TRIM($K134),PropTypeMap,2,FALSE()),"Unmapped"))</f>
        <v>Hospitality</v>
      </c>
      <c r="AV134" s="30" t="str">
        <f aca="false">IF($D134="","",IFERROR(VLOOKUP($J134,RegionMap,2,FALSE()),"Unmapped"))</f>
        <v>Southeast</v>
      </c>
      <c r="AW134" s="30" t="str">
        <f aca="false">IF($D134="","",IF($AC134="SOFR","Floating (SOFR)","Fixed / All-In"))</f>
        <v>Fixed / All-In</v>
      </c>
      <c r="AX134" s="33" t="n">
        <f aca="false">IF($D134="","",$AD134+SOFR)</f>
        <v>0.12</v>
      </c>
      <c r="AY134" s="30" t="str">
        <f aca="false">IF($D134="","",IF($AF134="Waived","Waived",IF(ISNUMBER($AF134),IF($AF134&gt;AsOfDate,"In Place","Expired"),"None Reported")))</f>
        <v>None Reported</v>
      </c>
      <c r="AZ134" s="30" t="str">
        <f aca="false">IF($D134="","",IF(ISNUMBER($AG134),IF($AG134=0,"None",$AG134&amp;" Months"),IF($AG134="","None Reported",$AG134)))</f>
        <v>Defeasance</v>
      </c>
      <c r="BA134" s="27" t="str">
        <f aca="false">IF($D134="","",IF($AK134="","Unlevered",$AK134))</f>
        <v>Unlevered</v>
      </c>
      <c r="BB134" s="31" t="n">
        <f aca="false">IF($D134="","",SUM($AL134,$AO134))</f>
        <v>0</v>
      </c>
      <c r="BC134" s="32" t="n">
        <f aca="false">IF($D134="","",IF($P134&gt;0,$BB134/$P134,0))</f>
        <v>0</v>
      </c>
      <c r="BD134" s="34" t="n">
        <f aca="false">IF($D134="","",(AsOfDate-$AH134)/DaysPerMonth)</f>
        <v>99.1540041067762</v>
      </c>
      <c r="BE134" s="34" t="n">
        <f aca="false">IF($D134="","",($AI134-AsOfDate)/DaysPerMonth)</f>
        <v>21.2238193018481</v>
      </c>
      <c r="BF134" s="34" t="n">
        <f aca="false">IF($D134="","",($AJ134-AsOfDate)/DaysPerMonth)</f>
        <v>21.2238193018481</v>
      </c>
      <c r="BG134" s="34" t="n">
        <f aca="false">IF($D134="","",MAX(0,$BE134))</f>
        <v>21.2238193018481</v>
      </c>
      <c r="BH134" s="34" t="n">
        <f aca="false">IF($D134="","",MAX(0,$BF134))</f>
        <v>21.2238193018481</v>
      </c>
      <c r="BI134" s="77" t="n">
        <f aca="false">IF($D134="","",YEAR($AI134))</f>
        <v>2028</v>
      </c>
      <c r="BJ134" s="77" t="n">
        <f aca="false">IF($D134="","",YEAR($AJ134))</f>
        <v>2028</v>
      </c>
      <c r="BK134" s="77" t="n">
        <f aca="false">IF($D134="","",YEAR($AH134))</f>
        <v>2018</v>
      </c>
      <c r="BL134" s="78" t="n">
        <v>1986</v>
      </c>
      <c r="BM134" s="44" t="n">
        <f aca="false">IF($AT134=1,$P134+(1000-ROW())/1000000,0)</f>
        <v>983979.940866</v>
      </c>
    </row>
    <row r="135" customFormat="false" ht="15" hidden="false" customHeight="false" outlineLevel="0" collapsed="false">
      <c r="B135" s="60" t="n">
        <v>131</v>
      </c>
      <c r="C135" s="61" t="n">
        <v>2522</v>
      </c>
      <c r="D135" s="62" t="s">
        <v>621</v>
      </c>
      <c r="E135" s="62" t="s">
        <v>74</v>
      </c>
      <c r="F135" s="62" t="s">
        <v>74</v>
      </c>
      <c r="G135" s="62" t="s">
        <v>87</v>
      </c>
      <c r="H135" s="62" t="s">
        <v>622</v>
      </c>
      <c r="I135" s="63" t="s">
        <v>92</v>
      </c>
      <c r="J135" s="63" t="s">
        <v>92</v>
      </c>
      <c r="K135" s="63" t="s">
        <v>306</v>
      </c>
      <c r="L135" s="60" t="n">
        <v>149</v>
      </c>
      <c r="M135" s="60"/>
      <c r="N135" s="63" t="n">
        <v>1972</v>
      </c>
      <c r="O135" s="63" t="n">
        <v>2016</v>
      </c>
      <c r="P135" s="64" t="n">
        <v>803570.97</v>
      </c>
      <c r="Q135" s="64" t="n">
        <v>0</v>
      </c>
      <c r="R135" s="64" t="n">
        <v>803570.97</v>
      </c>
      <c r="S135" s="64" t="n">
        <v>0</v>
      </c>
      <c r="T135" s="64" t="n">
        <v>7220000</v>
      </c>
      <c r="U135" s="64" t="n">
        <v>8750000</v>
      </c>
      <c r="V135" s="64" t="n">
        <v>8750000</v>
      </c>
      <c r="W135" s="65" t="n">
        <v>0.823865257142857</v>
      </c>
      <c r="X135" s="65" t="n">
        <v>0.825142857142857</v>
      </c>
      <c r="Y135" s="57" t="n">
        <v>0.12</v>
      </c>
      <c r="Z135" s="57"/>
      <c r="AA135" s="57" t="n">
        <v>0</v>
      </c>
      <c r="AB135" s="57" t="n">
        <v>0</v>
      </c>
      <c r="AC135" s="63"/>
      <c r="AD135" s="57" t="n">
        <v>0.0835</v>
      </c>
      <c r="AE135" s="57"/>
      <c r="AF135" s="66"/>
      <c r="AG135" s="63" t="s">
        <v>145</v>
      </c>
      <c r="AH135" s="66" t="n">
        <v>43801</v>
      </c>
      <c r="AI135" s="66" t="n">
        <v>47458</v>
      </c>
      <c r="AJ135" s="66" t="n">
        <v>47458</v>
      </c>
      <c r="AK135" s="62"/>
      <c r="AL135" s="64"/>
      <c r="AM135" s="57"/>
      <c r="AN135" s="62"/>
      <c r="AO135" s="64"/>
      <c r="AP135" s="57"/>
      <c r="AQ135" s="64" t="n">
        <v>803570.97</v>
      </c>
      <c r="AR135" s="65" t="n">
        <v>0.12</v>
      </c>
      <c r="AT135" s="26" t="n">
        <f aca="false">IF($D135="",0,IF(OR(StratFilter="All Loans",$E135=StratFilter),1,0))</f>
        <v>1</v>
      </c>
      <c r="AU135" s="18" t="str">
        <f aca="false">IF($D135="","",IFERROR(VLOOKUP(TRIM($K135),PropTypeMap,2,FALSE()),"Unmapped"))</f>
        <v>Multifamily</v>
      </c>
      <c r="AV135" s="21" t="str">
        <f aca="false">IF($D135="","",IFERROR(VLOOKUP($J135,RegionMap,2,FALSE()),"Unmapped"))</f>
        <v>Southwest</v>
      </c>
      <c r="AW135" s="21" t="str">
        <f aca="false">IF($D135="","",IF($AC135="SOFR","Floating (SOFR)","Fixed / All-In"))</f>
        <v>Fixed / All-In</v>
      </c>
      <c r="AX135" s="24" t="n">
        <f aca="false">IF($D135="","",$AD135+SOFR)</f>
        <v>0.12</v>
      </c>
      <c r="AY135" s="21" t="str">
        <f aca="false">IF($D135="","",IF($AF135="Waived","Waived",IF(ISNUMBER($AF135),IF($AF135&gt;AsOfDate,"In Place","Expired"),"None Reported")))</f>
        <v>None Reported</v>
      </c>
      <c r="AZ135" s="21" t="str">
        <f aca="false">IF($D135="","",IF(ISNUMBER($AG135),IF($AG135=0,"None",$AG135&amp;" Months"),IF($AG135="","None Reported",$AG135)))</f>
        <v>Defeasance</v>
      </c>
      <c r="BA135" s="18" t="str">
        <f aca="false">IF($D135="","",IF($AK135="","Unlevered",$AK135))</f>
        <v>Unlevered</v>
      </c>
      <c r="BB135" s="22" t="n">
        <f aca="false">IF($D135="","",SUM($AL135,$AO135))</f>
        <v>0</v>
      </c>
      <c r="BC135" s="23" t="n">
        <f aca="false">IF($D135="","",IF($P135&gt;0,$BB135/$P135,0))</f>
        <v>0</v>
      </c>
      <c r="BD135" s="25" t="n">
        <f aca="false">IF($D135="","",(AsOfDate-$AH135)/DaysPerMonth)</f>
        <v>78.9158110882957</v>
      </c>
      <c r="BE135" s="25" t="n">
        <f aca="false">IF($D135="","",($AI135-AsOfDate)/DaysPerMonth)</f>
        <v>41.2320328542094</v>
      </c>
      <c r="BF135" s="25" t="n">
        <f aca="false">IF($D135="","",($AJ135-AsOfDate)/DaysPerMonth)</f>
        <v>41.2320328542094</v>
      </c>
      <c r="BG135" s="25" t="n">
        <f aca="false">IF($D135="","",MAX(0,$BE135))</f>
        <v>41.2320328542094</v>
      </c>
      <c r="BH135" s="25" t="n">
        <f aca="false">IF($D135="","",MAX(0,$BF135))</f>
        <v>41.2320328542094</v>
      </c>
      <c r="BI135" s="67" t="n">
        <f aca="false">IF($D135="","",YEAR($AI135))</f>
        <v>2029</v>
      </c>
      <c r="BJ135" s="67" t="n">
        <f aca="false">IF($D135="","",YEAR($AJ135))</f>
        <v>2029</v>
      </c>
      <c r="BK135" s="67" t="n">
        <f aca="false">IF($D135="","",YEAR($AH135))</f>
        <v>2019</v>
      </c>
      <c r="BL135" s="68" t="n">
        <v>1972</v>
      </c>
      <c r="BM135" s="26" t="n">
        <f aca="false">IF($AT135=1,$P135+(1000-ROW())/1000000,0)</f>
        <v>803570.970865</v>
      </c>
    </row>
    <row r="136" customFormat="false" ht="15" hidden="false" customHeight="false" outlineLevel="0" collapsed="false">
      <c r="AT136" s="26" t="n">
        <f aca="false">IF($D136="",0,IF(OR(StratFilter="All Loans",$E136=StratFilter),1,0))</f>
        <v>0</v>
      </c>
      <c r="AU136" s="18" t="str">
        <f aca="false">IF($D136="","",IFERROR(VLOOKUP(TRIM($K136),PropTypeMap,2,FALSE()),"Unmapped"))</f>
        <v/>
      </c>
      <c r="AV136" s="21" t="str">
        <f aca="false">IF($D136="","",IFERROR(VLOOKUP($J136,RegionMap,2,FALSE()),"Unmapped"))</f>
        <v/>
      </c>
      <c r="AW136" s="21" t="str">
        <f aca="false">IF($D136="","",IF($AC136="SOFR","Floating (SOFR)","Fixed / All-In"))</f>
        <v/>
      </c>
      <c r="AX136" s="24" t="str">
        <f aca="false">IF($D136="","",$AD136+SOFR)</f>
        <v/>
      </c>
      <c r="AY136" s="21" t="str">
        <f aca="false">IF($D136="","",IF($AF136="Waived","Waived",IF(ISNUMBER($AF136),IF($AF136&gt;AsOfDate,"In Place","Expired"),"None Reported")))</f>
        <v/>
      </c>
      <c r="AZ136" s="21" t="str">
        <f aca="false">IF($D136="","",IF(ISNUMBER($AG136),IF($AG136=0,"None",$AG136&amp;" Months"),IF($AG136="","None Reported",$AG136)))</f>
        <v/>
      </c>
      <c r="BA136" s="18" t="str">
        <f aca="false">IF($D136="","",IF($AK136="","Unlevered",$AK136))</f>
        <v/>
      </c>
      <c r="BB136" s="22" t="str">
        <f aca="false">IF($D136="","",SUM($AL136,$AO136))</f>
        <v/>
      </c>
      <c r="BC136" s="23" t="str">
        <f aca="false">IF($D136="","",IF($P136&gt;0,$BB136/$P136,0))</f>
        <v/>
      </c>
      <c r="BD136" s="25" t="str">
        <f aca="false">IF($D136="","",(AsOfDate-$AH136)/DaysPerMonth)</f>
        <v/>
      </c>
      <c r="BE136" s="25" t="str">
        <f aca="false">IF($D136="","",($AI136-AsOfDate)/DaysPerMonth)</f>
        <v/>
      </c>
      <c r="BF136" s="25" t="str">
        <f aca="false">IF($D136="","",($AJ136-AsOfDate)/DaysPerMonth)</f>
        <v/>
      </c>
      <c r="BG136" s="25" t="str">
        <f aca="false">IF($D136="","",MAX(0,$BE136))</f>
        <v/>
      </c>
      <c r="BH136" s="25" t="str">
        <f aca="false">IF($D136="","",MAX(0,$BF136))</f>
        <v/>
      </c>
      <c r="BI136" s="67" t="str">
        <f aca="false">IF($D136="","",YEAR($AI136))</f>
        <v/>
      </c>
      <c r="BJ136" s="67" t="str">
        <f aca="false">IF($D136="","",YEAR($AJ136))</f>
        <v/>
      </c>
      <c r="BK136" s="67" t="str">
        <f aca="false">IF($D136="","",YEAR($AH136))</f>
        <v/>
      </c>
      <c r="BM136" s="26" t="n">
        <f aca="false">IF($AT136=1,$P136+(1000-ROW())/1000000,0)</f>
        <v>0</v>
      </c>
    </row>
    <row r="137" customFormat="false" ht="15" hidden="false" customHeight="false" outlineLevel="0" collapsed="false">
      <c r="AT137" s="26" t="n">
        <f aca="false">IF($D137="",0,IF(OR(StratFilter="All Loans",$E137=StratFilter),1,0))</f>
        <v>0</v>
      </c>
      <c r="AU137" s="18" t="str">
        <f aca="false">IF($D137="","",IFERROR(VLOOKUP(TRIM($K137),PropTypeMap,2,FALSE()),"Unmapped"))</f>
        <v/>
      </c>
      <c r="AV137" s="21" t="str">
        <f aca="false">IF($D137="","",IFERROR(VLOOKUP($J137,RegionMap,2,FALSE()),"Unmapped"))</f>
        <v/>
      </c>
      <c r="AW137" s="21" t="str">
        <f aca="false">IF($D137="","",IF($AC137="SOFR","Floating (SOFR)","Fixed / All-In"))</f>
        <v/>
      </c>
      <c r="AX137" s="24" t="str">
        <f aca="false">IF($D137="","",$AD137+SOFR)</f>
        <v/>
      </c>
      <c r="AY137" s="21" t="str">
        <f aca="false">IF($D137="","",IF($AF137="Waived","Waived",IF(ISNUMBER($AF137),IF($AF137&gt;AsOfDate,"In Place","Expired"),"None Reported")))</f>
        <v/>
      </c>
      <c r="AZ137" s="21" t="str">
        <f aca="false">IF($D137="","",IF(ISNUMBER($AG137),IF($AG137=0,"None",$AG137&amp;" Months"),IF($AG137="","None Reported",$AG137)))</f>
        <v/>
      </c>
      <c r="BA137" s="18" t="str">
        <f aca="false">IF($D137="","",IF($AK137="","Unlevered",$AK137))</f>
        <v/>
      </c>
      <c r="BB137" s="22" t="str">
        <f aca="false">IF($D137="","",SUM($AL137,$AO137))</f>
        <v/>
      </c>
      <c r="BC137" s="23" t="str">
        <f aca="false">IF($D137="","",IF($P137&gt;0,$BB137/$P137,0))</f>
        <v/>
      </c>
      <c r="BD137" s="25" t="str">
        <f aca="false">IF($D137="","",(AsOfDate-$AH137)/DaysPerMonth)</f>
        <v/>
      </c>
      <c r="BE137" s="25" t="str">
        <f aca="false">IF($D137="","",($AI137-AsOfDate)/DaysPerMonth)</f>
        <v/>
      </c>
      <c r="BF137" s="25" t="str">
        <f aca="false">IF($D137="","",($AJ137-AsOfDate)/DaysPerMonth)</f>
        <v/>
      </c>
      <c r="BG137" s="25" t="str">
        <f aca="false">IF($D137="","",MAX(0,$BE137))</f>
        <v/>
      </c>
      <c r="BH137" s="25" t="str">
        <f aca="false">IF($D137="","",MAX(0,$BF137))</f>
        <v/>
      </c>
      <c r="BI137" s="67" t="str">
        <f aca="false">IF($D137="","",YEAR($AI137))</f>
        <v/>
      </c>
      <c r="BJ137" s="67" t="str">
        <f aca="false">IF($D137="","",YEAR($AJ137))</f>
        <v/>
      </c>
      <c r="BK137" s="67" t="str">
        <f aca="false">IF($D137="","",YEAR($AH137))</f>
        <v/>
      </c>
      <c r="BM137" s="26" t="n">
        <f aca="false">IF($AT137=1,$P137+(1000-ROW())/1000000,0)</f>
        <v>0</v>
      </c>
    </row>
    <row r="138" customFormat="false" ht="15" hidden="false" customHeight="false" outlineLevel="0" collapsed="false">
      <c r="AT138" s="26" t="n">
        <f aca="false">IF($D138="",0,IF(OR(StratFilter="All Loans",$E138=StratFilter),1,0))</f>
        <v>0</v>
      </c>
      <c r="AU138" s="18" t="str">
        <f aca="false">IF($D138="","",IFERROR(VLOOKUP(TRIM($K138),PropTypeMap,2,FALSE()),"Unmapped"))</f>
        <v/>
      </c>
      <c r="AV138" s="21" t="str">
        <f aca="false">IF($D138="","",IFERROR(VLOOKUP($J138,RegionMap,2,FALSE()),"Unmapped"))</f>
        <v/>
      </c>
      <c r="AW138" s="21" t="str">
        <f aca="false">IF($D138="","",IF($AC138="SOFR","Floating (SOFR)","Fixed / All-In"))</f>
        <v/>
      </c>
      <c r="AX138" s="24" t="str">
        <f aca="false">IF($D138="","",$AD138+SOFR)</f>
        <v/>
      </c>
      <c r="AY138" s="21" t="str">
        <f aca="false">IF($D138="","",IF($AF138="Waived","Waived",IF(ISNUMBER($AF138),IF($AF138&gt;AsOfDate,"In Place","Expired"),"None Reported")))</f>
        <v/>
      </c>
      <c r="AZ138" s="21" t="str">
        <f aca="false">IF($D138="","",IF(ISNUMBER($AG138),IF($AG138=0,"None",$AG138&amp;" Months"),IF($AG138="","None Reported",$AG138)))</f>
        <v/>
      </c>
      <c r="BA138" s="18" t="str">
        <f aca="false">IF($D138="","",IF($AK138="","Unlevered",$AK138))</f>
        <v/>
      </c>
      <c r="BB138" s="22" t="str">
        <f aca="false">IF($D138="","",SUM($AL138,$AO138))</f>
        <v/>
      </c>
      <c r="BC138" s="23" t="str">
        <f aca="false">IF($D138="","",IF($P138&gt;0,$BB138/$P138,0))</f>
        <v/>
      </c>
      <c r="BD138" s="25" t="str">
        <f aca="false">IF($D138="","",(AsOfDate-$AH138)/DaysPerMonth)</f>
        <v/>
      </c>
      <c r="BE138" s="25" t="str">
        <f aca="false">IF($D138="","",($AI138-AsOfDate)/DaysPerMonth)</f>
        <v/>
      </c>
      <c r="BF138" s="25" t="str">
        <f aca="false">IF($D138="","",($AJ138-AsOfDate)/DaysPerMonth)</f>
        <v/>
      </c>
      <c r="BG138" s="25" t="str">
        <f aca="false">IF($D138="","",MAX(0,$BE138))</f>
        <v/>
      </c>
      <c r="BH138" s="25" t="str">
        <f aca="false">IF($D138="","",MAX(0,$BF138))</f>
        <v/>
      </c>
      <c r="BI138" s="67" t="str">
        <f aca="false">IF($D138="","",YEAR($AI138))</f>
        <v/>
      </c>
      <c r="BJ138" s="67" t="str">
        <f aca="false">IF($D138="","",YEAR($AJ138))</f>
        <v/>
      </c>
      <c r="BK138" s="67" t="str">
        <f aca="false">IF($D138="","",YEAR($AH138))</f>
        <v/>
      </c>
      <c r="BM138" s="26" t="n">
        <f aca="false">IF($AT138=1,$P138+(1000-ROW())/1000000,0)</f>
        <v>0</v>
      </c>
    </row>
    <row r="139" customFormat="false" ht="15" hidden="false" customHeight="false" outlineLevel="0" collapsed="false">
      <c r="AT139" s="26" t="n">
        <f aca="false">IF($D139="",0,IF(OR(StratFilter="All Loans",$E139=StratFilter),1,0))</f>
        <v>0</v>
      </c>
      <c r="AU139" s="18" t="str">
        <f aca="false">IF($D139="","",IFERROR(VLOOKUP(TRIM($K139),PropTypeMap,2,FALSE()),"Unmapped"))</f>
        <v/>
      </c>
      <c r="AV139" s="21" t="str">
        <f aca="false">IF($D139="","",IFERROR(VLOOKUP($J139,RegionMap,2,FALSE()),"Unmapped"))</f>
        <v/>
      </c>
      <c r="AW139" s="21" t="str">
        <f aca="false">IF($D139="","",IF($AC139="SOFR","Floating (SOFR)","Fixed / All-In"))</f>
        <v/>
      </c>
      <c r="AX139" s="24" t="str">
        <f aca="false">IF($D139="","",$AD139+SOFR)</f>
        <v/>
      </c>
      <c r="AY139" s="21" t="str">
        <f aca="false">IF($D139="","",IF($AF139="Waived","Waived",IF(ISNUMBER($AF139),IF($AF139&gt;AsOfDate,"In Place","Expired"),"None Reported")))</f>
        <v/>
      </c>
      <c r="AZ139" s="21" t="str">
        <f aca="false">IF($D139="","",IF(ISNUMBER($AG139),IF($AG139=0,"None",$AG139&amp;" Months"),IF($AG139="","None Reported",$AG139)))</f>
        <v/>
      </c>
      <c r="BA139" s="18" t="str">
        <f aca="false">IF($D139="","",IF($AK139="","Unlevered",$AK139))</f>
        <v/>
      </c>
      <c r="BB139" s="22" t="str">
        <f aca="false">IF($D139="","",SUM($AL139,$AO139))</f>
        <v/>
      </c>
      <c r="BC139" s="23" t="str">
        <f aca="false">IF($D139="","",IF($P139&gt;0,$BB139/$P139,0))</f>
        <v/>
      </c>
      <c r="BD139" s="25" t="str">
        <f aca="false">IF($D139="","",(AsOfDate-$AH139)/DaysPerMonth)</f>
        <v/>
      </c>
      <c r="BE139" s="25" t="str">
        <f aca="false">IF($D139="","",($AI139-AsOfDate)/DaysPerMonth)</f>
        <v/>
      </c>
      <c r="BF139" s="25" t="str">
        <f aca="false">IF($D139="","",($AJ139-AsOfDate)/DaysPerMonth)</f>
        <v/>
      </c>
      <c r="BG139" s="25" t="str">
        <f aca="false">IF($D139="","",MAX(0,$BE139))</f>
        <v/>
      </c>
      <c r="BH139" s="25" t="str">
        <f aca="false">IF($D139="","",MAX(0,$BF139))</f>
        <v/>
      </c>
      <c r="BI139" s="67" t="str">
        <f aca="false">IF($D139="","",YEAR($AI139))</f>
        <v/>
      </c>
      <c r="BJ139" s="67" t="str">
        <f aca="false">IF($D139="","",YEAR($AJ139))</f>
        <v/>
      </c>
      <c r="BK139" s="67" t="str">
        <f aca="false">IF($D139="","",YEAR($AH139))</f>
        <v/>
      </c>
      <c r="BM139" s="26" t="n">
        <f aca="false">IF($AT139=1,$P139+(1000-ROW())/1000000,0)</f>
        <v>0</v>
      </c>
    </row>
    <row r="140" customFormat="false" ht="15" hidden="false" customHeight="false" outlineLevel="0" collapsed="false">
      <c r="AT140" s="26" t="n">
        <f aca="false">IF($D140="",0,IF(OR(StratFilter="All Loans",$E140=StratFilter),1,0))</f>
        <v>0</v>
      </c>
      <c r="AU140" s="18" t="str">
        <f aca="false">IF($D140="","",IFERROR(VLOOKUP(TRIM($K140),PropTypeMap,2,FALSE()),"Unmapped"))</f>
        <v/>
      </c>
      <c r="AV140" s="21" t="str">
        <f aca="false">IF($D140="","",IFERROR(VLOOKUP($J140,RegionMap,2,FALSE()),"Unmapped"))</f>
        <v/>
      </c>
      <c r="AW140" s="21" t="str">
        <f aca="false">IF($D140="","",IF($AC140="SOFR","Floating (SOFR)","Fixed / All-In"))</f>
        <v/>
      </c>
      <c r="AX140" s="24" t="str">
        <f aca="false">IF($D140="","",$AD140+SOFR)</f>
        <v/>
      </c>
      <c r="AY140" s="21" t="str">
        <f aca="false">IF($D140="","",IF($AF140="Waived","Waived",IF(ISNUMBER($AF140),IF($AF140&gt;AsOfDate,"In Place","Expired"),"None Reported")))</f>
        <v/>
      </c>
      <c r="AZ140" s="21" t="str">
        <f aca="false">IF($D140="","",IF(ISNUMBER($AG140),IF($AG140=0,"None",$AG140&amp;" Months"),IF($AG140="","None Reported",$AG140)))</f>
        <v/>
      </c>
      <c r="BA140" s="18" t="str">
        <f aca="false">IF($D140="","",IF($AK140="","Unlevered",$AK140))</f>
        <v/>
      </c>
      <c r="BB140" s="22" t="str">
        <f aca="false">IF($D140="","",SUM($AL140,$AO140))</f>
        <v/>
      </c>
      <c r="BC140" s="23" t="str">
        <f aca="false">IF($D140="","",IF($P140&gt;0,$BB140/$P140,0))</f>
        <v/>
      </c>
      <c r="BD140" s="25" t="str">
        <f aca="false">IF($D140="","",(AsOfDate-$AH140)/DaysPerMonth)</f>
        <v/>
      </c>
      <c r="BE140" s="25" t="str">
        <f aca="false">IF($D140="","",($AI140-AsOfDate)/DaysPerMonth)</f>
        <v/>
      </c>
      <c r="BF140" s="25" t="str">
        <f aca="false">IF($D140="","",($AJ140-AsOfDate)/DaysPerMonth)</f>
        <v/>
      </c>
      <c r="BG140" s="25" t="str">
        <f aca="false">IF($D140="","",MAX(0,$BE140))</f>
        <v/>
      </c>
      <c r="BH140" s="25" t="str">
        <f aca="false">IF($D140="","",MAX(0,$BF140))</f>
        <v/>
      </c>
      <c r="BI140" s="67" t="str">
        <f aca="false">IF($D140="","",YEAR($AI140))</f>
        <v/>
      </c>
      <c r="BJ140" s="67" t="str">
        <f aca="false">IF($D140="","",YEAR($AJ140))</f>
        <v/>
      </c>
      <c r="BK140" s="67" t="str">
        <f aca="false">IF($D140="","",YEAR($AH140))</f>
        <v/>
      </c>
      <c r="BM140" s="26" t="n">
        <f aca="false">IF($AT140=1,$P140+(1000-ROW())/1000000,0)</f>
        <v>0</v>
      </c>
    </row>
    <row r="141" customFormat="false" ht="15" hidden="false" customHeight="false" outlineLevel="0" collapsed="false">
      <c r="AT141" s="26" t="n">
        <f aca="false">IF($D141="",0,IF(OR(StratFilter="All Loans",$E141=StratFilter),1,0))</f>
        <v>0</v>
      </c>
      <c r="AU141" s="18" t="str">
        <f aca="false">IF($D141="","",IFERROR(VLOOKUP(TRIM($K141),PropTypeMap,2,FALSE()),"Unmapped"))</f>
        <v/>
      </c>
      <c r="AV141" s="21" t="str">
        <f aca="false">IF($D141="","",IFERROR(VLOOKUP($J141,RegionMap,2,FALSE()),"Unmapped"))</f>
        <v/>
      </c>
      <c r="AW141" s="21" t="str">
        <f aca="false">IF($D141="","",IF($AC141="SOFR","Floating (SOFR)","Fixed / All-In"))</f>
        <v/>
      </c>
      <c r="AX141" s="24" t="str">
        <f aca="false">IF($D141="","",$AD141+SOFR)</f>
        <v/>
      </c>
      <c r="AY141" s="21" t="str">
        <f aca="false">IF($D141="","",IF($AF141="Waived","Waived",IF(ISNUMBER($AF141),IF($AF141&gt;AsOfDate,"In Place","Expired"),"None Reported")))</f>
        <v/>
      </c>
      <c r="AZ141" s="21" t="str">
        <f aca="false">IF($D141="","",IF(ISNUMBER($AG141),IF($AG141=0,"None",$AG141&amp;" Months"),IF($AG141="","None Reported",$AG141)))</f>
        <v/>
      </c>
      <c r="BA141" s="18" t="str">
        <f aca="false">IF($D141="","",IF($AK141="","Unlevered",$AK141))</f>
        <v/>
      </c>
      <c r="BB141" s="22" t="str">
        <f aca="false">IF($D141="","",SUM($AL141,$AO141))</f>
        <v/>
      </c>
      <c r="BC141" s="23" t="str">
        <f aca="false">IF($D141="","",IF($P141&gt;0,$BB141/$P141,0))</f>
        <v/>
      </c>
      <c r="BD141" s="25" t="str">
        <f aca="false">IF($D141="","",(AsOfDate-$AH141)/DaysPerMonth)</f>
        <v/>
      </c>
      <c r="BE141" s="25" t="str">
        <f aca="false">IF($D141="","",($AI141-AsOfDate)/DaysPerMonth)</f>
        <v/>
      </c>
      <c r="BF141" s="25" t="str">
        <f aca="false">IF($D141="","",($AJ141-AsOfDate)/DaysPerMonth)</f>
        <v/>
      </c>
      <c r="BG141" s="25" t="str">
        <f aca="false">IF($D141="","",MAX(0,$BE141))</f>
        <v/>
      </c>
      <c r="BH141" s="25" t="str">
        <f aca="false">IF($D141="","",MAX(0,$BF141))</f>
        <v/>
      </c>
      <c r="BI141" s="67" t="str">
        <f aca="false">IF($D141="","",YEAR($AI141))</f>
        <v/>
      </c>
      <c r="BJ141" s="67" t="str">
        <f aca="false">IF($D141="","",YEAR($AJ141))</f>
        <v/>
      </c>
      <c r="BK141" s="67" t="str">
        <f aca="false">IF($D141="","",YEAR($AH141))</f>
        <v/>
      </c>
      <c r="BM141" s="26" t="n">
        <f aca="false">IF($AT141=1,$P141+(1000-ROW())/1000000,0)</f>
        <v>0</v>
      </c>
    </row>
    <row r="142" customFormat="false" ht="15" hidden="false" customHeight="false" outlineLevel="0" collapsed="false">
      <c r="AT142" s="26" t="n">
        <f aca="false">IF($D142="",0,IF(OR(StratFilter="All Loans",$E142=StratFilter),1,0))</f>
        <v>0</v>
      </c>
      <c r="AU142" s="18" t="str">
        <f aca="false">IF($D142="","",IFERROR(VLOOKUP(TRIM($K142),PropTypeMap,2,FALSE()),"Unmapped"))</f>
        <v/>
      </c>
      <c r="AV142" s="21" t="str">
        <f aca="false">IF($D142="","",IFERROR(VLOOKUP($J142,RegionMap,2,FALSE()),"Unmapped"))</f>
        <v/>
      </c>
      <c r="AW142" s="21" t="str">
        <f aca="false">IF($D142="","",IF($AC142="SOFR","Floating (SOFR)","Fixed / All-In"))</f>
        <v/>
      </c>
      <c r="AX142" s="24" t="str">
        <f aca="false">IF($D142="","",$AD142+SOFR)</f>
        <v/>
      </c>
      <c r="AY142" s="21" t="str">
        <f aca="false">IF($D142="","",IF($AF142="Waived","Waived",IF(ISNUMBER($AF142),IF($AF142&gt;AsOfDate,"In Place","Expired"),"None Reported")))</f>
        <v/>
      </c>
      <c r="AZ142" s="21" t="str">
        <f aca="false">IF($D142="","",IF(ISNUMBER($AG142),IF($AG142=0,"None",$AG142&amp;" Months"),IF($AG142="","None Reported",$AG142)))</f>
        <v/>
      </c>
      <c r="BA142" s="18" t="str">
        <f aca="false">IF($D142="","",IF($AK142="","Unlevered",$AK142))</f>
        <v/>
      </c>
      <c r="BB142" s="22" t="str">
        <f aca="false">IF($D142="","",SUM($AL142,$AO142))</f>
        <v/>
      </c>
      <c r="BC142" s="23" t="str">
        <f aca="false">IF($D142="","",IF($P142&gt;0,$BB142/$P142,0))</f>
        <v/>
      </c>
      <c r="BD142" s="25" t="str">
        <f aca="false">IF($D142="","",(AsOfDate-$AH142)/DaysPerMonth)</f>
        <v/>
      </c>
      <c r="BE142" s="25" t="str">
        <f aca="false">IF($D142="","",($AI142-AsOfDate)/DaysPerMonth)</f>
        <v/>
      </c>
      <c r="BF142" s="25" t="str">
        <f aca="false">IF($D142="","",($AJ142-AsOfDate)/DaysPerMonth)</f>
        <v/>
      </c>
      <c r="BG142" s="25" t="str">
        <f aca="false">IF($D142="","",MAX(0,$BE142))</f>
        <v/>
      </c>
      <c r="BH142" s="25" t="str">
        <f aca="false">IF($D142="","",MAX(0,$BF142))</f>
        <v/>
      </c>
      <c r="BI142" s="67" t="str">
        <f aca="false">IF($D142="","",YEAR($AI142))</f>
        <v/>
      </c>
      <c r="BJ142" s="67" t="str">
        <f aca="false">IF($D142="","",YEAR($AJ142))</f>
        <v/>
      </c>
      <c r="BK142" s="67" t="str">
        <f aca="false">IF($D142="","",YEAR($AH142))</f>
        <v/>
      </c>
      <c r="BM142" s="26" t="n">
        <f aca="false">IF($AT142=1,$P142+(1000-ROW())/1000000,0)</f>
        <v>0</v>
      </c>
    </row>
    <row r="143" customFormat="false" ht="15" hidden="false" customHeight="false" outlineLevel="0" collapsed="false">
      <c r="AT143" s="26" t="n">
        <f aca="false">IF($D143="",0,IF(OR(StratFilter="All Loans",$E143=StratFilter),1,0))</f>
        <v>0</v>
      </c>
      <c r="AU143" s="18" t="str">
        <f aca="false">IF($D143="","",IFERROR(VLOOKUP(TRIM($K143),PropTypeMap,2,FALSE()),"Unmapped"))</f>
        <v/>
      </c>
      <c r="AV143" s="21" t="str">
        <f aca="false">IF($D143="","",IFERROR(VLOOKUP($J143,RegionMap,2,FALSE()),"Unmapped"))</f>
        <v/>
      </c>
      <c r="AW143" s="21" t="str">
        <f aca="false">IF($D143="","",IF($AC143="SOFR","Floating (SOFR)","Fixed / All-In"))</f>
        <v/>
      </c>
      <c r="AX143" s="24" t="str">
        <f aca="false">IF($D143="","",$AD143+SOFR)</f>
        <v/>
      </c>
      <c r="AY143" s="21" t="str">
        <f aca="false">IF($D143="","",IF($AF143="Waived","Waived",IF(ISNUMBER($AF143),IF($AF143&gt;AsOfDate,"In Place","Expired"),"None Reported")))</f>
        <v/>
      </c>
      <c r="AZ143" s="21" t="str">
        <f aca="false">IF($D143="","",IF(ISNUMBER($AG143),IF($AG143=0,"None",$AG143&amp;" Months"),IF($AG143="","None Reported",$AG143)))</f>
        <v/>
      </c>
      <c r="BA143" s="18" t="str">
        <f aca="false">IF($D143="","",IF($AK143="","Unlevered",$AK143))</f>
        <v/>
      </c>
      <c r="BB143" s="22" t="str">
        <f aca="false">IF($D143="","",SUM($AL143,$AO143))</f>
        <v/>
      </c>
      <c r="BC143" s="23" t="str">
        <f aca="false">IF($D143="","",IF($P143&gt;0,$BB143/$P143,0))</f>
        <v/>
      </c>
      <c r="BD143" s="25" t="str">
        <f aca="false">IF($D143="","",(AsOfDate-$AH143)/DaysPerMonth)</f>
        <v/>
      </c>
      <c r="BE143" s="25" t="str">
        <f aca="false">IF($D143="","",($AI143-AsOfDate)/DaysPerMonth)</f>
        <v/>
      </c>
      <c r="BF143" s="25" t="str">
        <f aca="false">IF($D143="","",($AJ143-AsOfDate)/DaysPerMonth)</f>
        <v/>
      </c>
      <c r="BG143" s="25" t="str">
        <f aca="false">IF($D143="","",MAX(0,$BE143))</f>
        <v/>
      </c>
      <c r="BH143" s="25" t="str">
        <f aca="false">IF($D143="","",MAX(0,$BF143))</f>
        <v/>
      </c>
      <c r="BI143" s="67" t="str">
        <f aca="false">IF($D143="","",YEAR($AI143))</f>
        <v/>
      </c>
      <c r="BJ143" s="67" t="str">
        <f aca="false">IF($D143="","",YEAR($AJ143))</f>
        <v/>
      </c>
      <c r="BK143" s="67" t="str">
        <f aca="false">IF($D143="","",YEAR($AH143))</f>
        <v/>
      </c>
      <c r="BM143" s="26" t="n">
        <f aca="false">IF($AT143=1,$P143+(1000-ROW())/1000000,0)</f>
        <v>0</v>
      </c>
    </row>
    <row r="144" customFormat="false" ht="15" hidden="false" customHeight="false" outlineLevel="0" collapsed="false">
      <c r="AT144" s="26" t="n">
        <f aca="false">IF($D144="",0,IF(OR(StratFilter="All Loans",$E144=StratFilter),1,0))</f>
        <v>0</v>
      </c>
      <c r="AU144" s="18" t="str">
        <f aca="false">IF($D144="","",IFERROR(VLOOKUP(TRIM($K144),PropTypeMap,2,FALSE()),"Unmapped"))</f>
        <v/>
      </c>
      <c r="AV144" s="21" t="str">
        <f aca="false">IF($D144="","",IFERROR(VLOOKUP($J144,RegionMap,2,FALSE()),"Unmapped"))</f>
        <v/>
      </c>
      <c r="AW144" s="21" t="str">
        <f aca="false">IF($D144="","",IF($AC144="SOFR","Floating (SOFR)","Fixed / All-In"))</f>
        <v/>
      </c>
      <c r="AX144" s="24" t="str">
        <f aca="false">IF($D144="","",$AD144+SOFR)</f>
        <v/>
      </c>
      <c r="AY144" s="21" t="str">
        <f aca="false">IF($D144="","",IF($AF144="Waived","Waived",IF(ISNUMBER($AF144),IF($AF144&gt;AsOfDate,"In Place","Expired"),"None Reported")))</f>
        <v/>
      </c>
      <c r="AZ144" s="21" t="str">
        <f aca="false">IF($D144="","",IF(ISNUMBER($AG144),IF($AG144=0,"None",$AG144&amp;" Months"),IF($AG144="","None Reported",$AG144)))</f>
        <v/>
      </c>
      <c r="BA144" s="18" t="str">
        <f aca="false">IF($D144="","",IF($AK144="","Unlevered",$AK144))</f>
        <v/>
      </c>
      <c r="BB144" s="22" t="str">
        <f aca="false">IF($D144="","",SUM($AL144,$AO144))</f>
        <v/>
      </c>
      <c r="BC144" s="23" t="str">
        <f aca="false">IF($D144="","",IF($P144&gt;0,$BB144/$P144,0))</f>
        <v/>
      </c>
      <c r="BD144" s="25" t="str">
        <f aca="false">IF($D144="","",(AsOfDate-$AH144)/DaysPerMonth)</f>
        <v/>
      </c>
      <c r="BE144" s="25" t="str">
        <f aca="false">IF($D144="","",($AI144-AsOfDate)/DaysPerMonth)</f>
        <v/>
      </c>
      <c r="BF144" s="25" t="str">
        <f aca="false">IF($D144="","",($AJ144-AsOfDate)/DaysPerMonth)</f>
        <v/>
      </c>
      <c r="BG144" s="25" t="str">
        <f aca="false">IF($D144="","",MAX(0,$BE144))</f>
        <v/>
      </c>
      <c r="BH144" s="25" t="str">
        <f aca="false">IF($D144="","",MAX(0,$BF144))</f>
        <v/>
      </c>
      <c r="BI144" s="67" t="str">
        <f aca="false">IF($D144="","",YEAR($AI144))</f>
        <v/>
      </c>
      <c r="BJ144" s="67" t="str">
        <f aca="false">IF($D144="","",YEAR($AJ144))</f>
        <v/>
      </c>
      <c r="BK144" s="67" t="str">
        <f aca="false">IF($D144="","",YEAR($AH144))</f>
        <v/>
      </c>
      <c r="BM144" s="26" t="n">
        <f aca="false">IF($AT144=1,$P144+(1000-ROW())/1000000,0)</f>
        <v>0</v>
      </c>
    </row>
    <row r="145" customFormat="false" ht="15" hidden="false" customHeight="false" outlineLevel="0" collapsed="false">
      <c r="AT145" s="26" t="n">
        <f aca="false">IF($D145="",0,IF(OR(StratFilter="All Loans",$E145=StratFilter),1,0))</f>
        <v>0</v>
      </c>
      <c r="AU145" s="18" t="str">
        <f aca="false">IF($D145="","",IFERROR(VLOOKUP(TRIM($K145),PropTypeMap,2,FALSE()),"Unmapped"))</f>
        <v/>
      </c>
      <c r="AV145" s="21" t="str">
        <f aca="false">IF($D145="","",IFERROR(VLOOKUP($J145,RegionMap,2,FALSE()),"Unmapped"))</f>
        <v/>
      </c>
      <c r="AW145" s="21" t="str">
        <f aca="false">IF($D145="","",IF($AC145="SOFR","Floating (SOFR)","Fixed / All-In"))</f>
        <v/>
      </c>
      <c r="AX145" s="24" t="str">
        <f aca="false">IF($D145="","",$AD145+SOFR)</f>
        <v/>
      </c>
      <c r="AY145" s="21" t="str">
        <f aca="false">IF($D145="","",IF($AF145="Waived","Waived",IF(ISNUMBER($AF145),IF($AF145&gt;AsOfDate,"In Place","Expired"),"None Reported")))</f>
        <v/>
      </c>
      <c r="AZ145" s="21" t="str">
        <f aca="false">IF($D145="","",IF(ISNUMBER($AG145),IF($AG145=0,"None",$AG145&amp;" Months"),IF($AG145="","None Reported",$AG145)))</f>
        <v/>
      </c>
      <c r="BA145" s="18" t="str">
        <f aca="false">IF($D145="","",IF($AK145="","Unlevered",$AK145))</f>
        <v/>
      </c>
      <c r="BB145" s="22" t="str">
        <f aca="false">IF($D145="","",SUM($AL145,$AO145))</f>
        <v/>
      </c>
      <c r="BC145" s="23" t="str">
        <f aca="false">IF($D145="","",IF($P145&gt;0,$BB145/$P145,0))</f>
        <v/>
      </c>
      <c r="BD145" s="25" t="str">
        <f aca="false">IF($D145="","",(AsOfDate-$AH145)/DaysPerMonth)</f>
        <v/>
      </c>
      <c r="BE145" s="25" t="str">
        <f aca="false">IF($D145="","",($AI145-AsOfDate)/DaysPerMonth)</f>
        <v/>
      </c>
      <c r="BF145" s="25" t="str">
        <f aca="false">IF($D145="","",($AJ145-AsOfDate)/DaysPerMonth)</f>
        <v/>
      </c>
      <c r="BG145" s="25" t="str">
        <f aca="false">IF($D145="","",MAX(0,$BE145))</f>
        <v/>
      </c>
      <c r="BH145" s="25" t="str">
        <f aca="false">IF($D145="","",MAX(0,$BF145))</f>
        <v/>
      </c>
      <c r="BI145" s="67" t="str">
        <f aca="false">IF($D145="","",YEAR($AI145))</f>
        <v/>
      </c>
      <c r="BJ145" s="67" t="str">
        <f aca="false">IF($D145="","",YEAR($AJ145))</f>
        <v/>
      </c>
      <c r="BK145" s="67" t="str">
        <f aca="false">IF($D145="","",YEAR($AH145))</f>
        <v/>
      </c>
      <c r="BM145" s="26" t="n">
        <f aca="false">IF($AT145=1,$P145+(1000-ROW())/1000000,0)</f>
        <v>0</v>
      </c>
    </row>
    <row r="146" customFormat="false" ht="15" hidden="false" customHeight="false" outlineLevel="0" collapsed="false">
      <c r="AT146" s="26" t="n">
        <f aca="false">IF($D146="",0,IF(OR(StratFilter="All Loans",$E146=StratFilter),1,0))</f>
        <v>0</v>
      </c>
      <c r="AU146" s="18" t="str">
        <f aca="false">IF($D146="","",IFERROR(VLOOKUP(TRIM($K146),PropTypeMap,2,FALSE()),"Unmapped"))</f>
        <v/>
      </c>
      <c r="AV146" s="21" t="str">
        <f aca="false">IF($D146="","",IFERROR(VLOOKUP($J146,RegionMap,2,FALSE()),"Unmapped"))</f>
        <v/>
      </c>
      <c r="AW146" s="21" t="str">
        <f aca="false">IF($D146="","",IF($AC146="SOFR","Floating (SOFR)","Fixed / All-In"))</f>
        <v/>
      </c>
      <c r="AX146" s="24" t="str">
        <f aca="false">IF($D146="","",$AD146+SOFR)</f>
        <v/>
      </c>
      <c r="AY146" s="21" t="str">
        <f aca="false">IF($D146="","",IF($AF146="Waived","Waived",IF(ISNUMBER($AF146),IF($AF146&gt;AsOfDate,"In Place","Expired"),"None Reported")))</f>
        <v/>
      </c>
      <c r="AZ146" s="21" t="str">
        <f aca="false">IF($D146="","",IF(ISNUMBER($AG146),IF($AG146=0,"None",$AG146&amp;" Months"),IF($AG146="","None Reported",$AG146)))</f>
        <v/>
      </c>
      <c r="BA146" s="18" t="str">
        <f aca="false">IF($D146="","",IF($AK146="","Unlevered",$AK146))</f>
        <v/>
      </c>
      <c r="BB146" s="22" t="str">
        <f aca="false">IF($D146="","",SUM($AL146,$AO146))</f>
        <v/>
      </c>
      <c r="BC146" s="23" t="str">
        <f aca="false">IF($D146="","",IF($P146&gt;0,$BB146/$P146,0))</f>
        <v/>
      </c>
      <c r="BD146" s="25" t="str">
        <f aca="false">IF($D146="","",(AsOfDate-$AH146)/DaysPerMonth)</f>
        <v/>
      </c>
      <c r="BE146" s="25" t="str">
        <f aca="false">IF($D146="","",($AI146-AsOfDate)/DaysPerMonth)</f>
        <v/>
      </c>
      <c r="BF146" s="25" t="str">
        <f aca="false">IF($D146="","",($AJ146-AsOfDate)/DaysPerMonth)</f>
        <v/>
      </c>
      <c r="BG146" s="25" t="str">
        <f aca="false">IF($D146="","",MAX(0,$BE146))</f>
        <v/>
      </c>
      <c r="BH146" s="25" t="str">
        <f aca="false">IF($D146="","",MAX(0,$BF146))</f>
        <v/>
      </c>
      <c r="BI146" s="67" t="str">
        <f aca="false">IF($D146="","",YEAR($AI146))</f>
        <v/>
      </c>
      <c r="BJ146" s="67" t="str">
        <f aca="false">IF($D146="","",YEAR($AJ146))</f>
        <v/>
      </c>
      <c r="BK146" s="67" t="str">
        <f aca="false">IF($D146="","",YEAR($AH146))</f>
        <v/>
      </c>
      <c r="BM146" s="26" t="n">
        <f aca="false">IF($AT146=1,$P146+(1000-ROW())/1000000,0)</f>
        <v>0</v>
      </c>
    </row>
    <row r="147" customFormat="false" ht="15" hidden="false" customHeight="false" outlineLevel="0" collapsed="false">
      <c r="AT147" s="26" t="n">
        <f aca="false">IF($D147="",0,IF(OR(StratFilter="All Loans",$E147=StratFilter),1,0))</f>
        <v>0</v>
      </c>
      <c r="AU147" s="18" t="str">
        <f aca="false">IF($D147="","",IFERROR(VLOOKUP(TRIM($K147),PropTypeMap,2,FALSE()),"Unmapped"))</f>
        <v/>
      </c>
      <c r="AV147" s="21" t="str">
        <f aca="false">IF($D147="","",IFERROR(VLOOKUP($J147,RegionMap,2,FALSE()),"Unmapped"))</f>
        <v/>
      </c>
      <c r="AW147" s="21" t="str">
        <f aca="false">IF($D147="","",IF($AC147="SOFR","Floating (SOFR)","Fixed / All-In"))</f>
        <v/>
      </c>
      <c r="AX147" s="24" t="str">
        <f aca="false">IF($D147="","",$AD147+SOFR)</f>
        <v/>
      </c>
      <c r="AY147" s="21" t="str">
        <f aca="false">IF($D147="","",IF($AF147="Waived","Waived",IF(ISNUMBER($AF147),IF($AF147&gt;AsOfDate,"In Place","Expired"),"None Reported")))</f>
        <v/>
      </c>
      <c r="AZ147" s="21" t="str">
        <f aca="false">IF($D147="","",IF(ISNUMBER($AG147),IF($AG147=0,"None",$AG147&amp;" Months"),IF($AG147="","None Reported",$AG147)))</f>
        <v/>
      </c>
      <c r="BA147" s="18" t="str">
        <f aca="false">IF($D147="","",IF($AK147="","Unlevered",$AK147))</f>
        <v/>
      </c>
      <c r="BB147" s="22" t="str">
        <f aca="false">IF($D147="","",SUM($AL147,$AO147))</f>
        <v/>
      </c>
      <c r="BC147" s="23" t="str">
        <f aca="false">IF($D147="","",IF($P147&gt;0,$BB147/$P147,0))</f>
        <v/>
      </c>
      <c r="BD147" s="25" t="str">
        <f aca="false">IF($D147="","",(AsOfDate-$AH147)/DaysPerMonth)</f>
        <v/>
      </c>
      <c r="BE147" s="25" t="str">
        <f aca="false">IF($D147="","",($AI147-AsOfDate)/DaysPerMonth)</f>
        <v/>
      </c>
      <c r="BF147" s="25" t="str">
        <f aca="false">IF($D147="","",($AJ147-AsOfDate)/DaysPerMonth)</f>
        <v/>
      </c>
      <c r="BG147" s="25" t="str">
        <f aca="false">IF($D147="","",MAX(0,$BE147))</f>
        <v/>
      </c>
      <c r="BH147" s="25" t="str">
        <f aca="false">IF($D147="","",MAX(0,$BF147))</f>
        <v/>
      </c>
      <c r="BI147" s="67" t="str">
        <f aca="false">IF($D147="","",YEAR($AI147))</f>
        <v/>
      </c>
      <c r="BJ147" s="67" t="str">
        <f aca="false">IF($D147="","",YEAR($AJ147))</f>
        <v/>
      </c>
      <c r="BK147" s="67" t="str">
        <f aca="false">IF($D147="","",YEAR($AH147))</f>
        <v/>
      </c>
      <c r="BM147" s="26" t="n">
        <f aca="false">IF($AT147=1,$P147+(1000-ROW())/1000000,0)</f>
        <v>0</v>
      </c>
    </row>
    <row r="148" customFormat="false" ht="15" hidden="false" customHeight="false" outlineLevel="0" collapsed="false">
      <c r="AT148" s="26" t="n">
        <f aca="false">IF($D148="",0,IF(OR(StratFilter="All Loans",$E148=StratFilter),1,0))</f>
        <v>0</v>
      </c>
      <c r="AU148" s="18" t="str">
        <f aca="false">IF($D148="","",IFERROR(VLOOKUP(TRIM($K148),PropTypeMap,2,FALSE()),"Unmapped"))</f>
        <v/>
      </c>
      <c r="AV148" s="21" t="str">
        <f aca="false">IF($D148="","",IFERROR(VLOOKUP($J148,RegionMap,2,FALSE()),"Unmapped"))</f>
        <v/>
      </c>
      <c r="AW148" s="21" t="str">
        <f aca="false">IF($D148="","",IF($AC148="SOFR","Floating (SOFR)","Fixed / All-In"))</f>
        <v/>
      </c>
      <c r="AX148" s="24" t="str">
        <f aca="false">IF($D148="","",$AD148+SOFR)</f>
        <v/>
      </c>
      <c r="AY148" s="21" t="str">
        <f aca="false">IF($D148="","",IF($AF148="Waived","Waived",IF(ISNUMBER($AF148),IF($AF148&gt;AsOfDate,"In Place","Expired"),"None Reported")))</f>
        <v/>
      </c>
      <c r="AZ148" s="21" t="str">
        <f aca="false">IF($D148="","",IF(ISNUMBER($AG148),IF($AG148=0,"None",$AG148&amp;" Months"),IF($AG148="","None Reported",$AG148)))</f>
        <v/>
      </c>
      <c r="BA148" s="18" t="str">
        <f aca="false">IF($D148="","",IF($AK148="","Unlevered",$AK148))</f>
        <v/>
      </c>
      <c r="BB148" s="22" t="str">
        <f aca="false">IF($D148="","",SUM($AL148,$AO148))</f>
        <v/>
      </c>
      <c r="BC148" s="23" t="str">
        <f aca="false">IF($D148="","",IF($P148&gt;0,$BB148/$P148,0))</f>
        <v/>
      </c>
      <c r="BD148" s="25" t="str">
        <f aca="false">IF($D148="","",(AsOfDate-$AH148)/DaysPerMonth)</f>
        <v/>
      </c>
      <c r="BE148" s="25" t="str">
        <f aca="false">IF($D148="","",($AI148-AsOfDate)/DaysPerMonth)</f>
        <v/>
      </c>
      <c r="BF148" s="25" t="str">
        <f aca="false">IF($D148="","",($AJ148-AsOfDate)/DaysPerMonth)</f>
        <v/>
      </c>
      <c r="BG148" s="25" t="str">
        <f aca="false">IF($D148="","",MAX(0,$BE148))</f>
        <v/>
      </c>
      <c r="BH148" s="25" t="str">
        <f aca="false">IF($D148="","",MAX(0,$BF148))</f>
        <v/>
      </c>
      <c r="BI148" s="67" t="str">
        <f aca="false">IF($D148="","",YEAR($AI148))</f>
        <v/>
      </c>
      <c r="BJ148" s="67" t="str">
        <f aca="false">IF($D148="","",YEAR($AJ148))</f>
        <v/>
      </c>
      <c r="BK148" s="67" t="str">
        <f aca="false">IF($D148="","",YEAR($AH148))</f>
        <v/>
      </c>
      <c r="BM148" s="26" t="n">
        <f aca="false">IF($AT148=1,$P148+(1000-ROW())/1000000,0)</f>
        <v>0</v>
      </c>
    </row>
    <row r="149" customFormat="false" ht="15" hidden="false" customHeight="false" outlineLevel="0" collapsed="false">
      <c r="AT149" s="26" t="n">
        <f aca="false">IF($D149="",0,IF(OR(StratFilter="All Loans",$E149=StratFilter),1,0))</f>
        <v>0</v>
      </c>
      <c r="AU149" s="18" t="str">
        <f aca="false">IF($D149="","",IFERROR(VLOOKUP(TRIM($K149),PropTypeMap,2,FALSE()),"Unmapped"))</f>
        <v/>
      </c>
      <c r="AV149" s="21" t="str">
        <f aca="false">IF($D149="","",IFERROR(VLOOKUP($J149,RegionMap,2,FALSE()),"Unmapped"))</f>
        <v/>
      </c>
      <c r="AW149" s="21" t="str">
        <f aca="false">IF($D149="","",IF($AC149="SOFR","Floating (SOFR)","Fixed / All-In"))</f>
        <v/>
      </c>
      <c r="AX149" s="24" t="str">
        <f aca="false">IF($D149="","",$AD149+SOFR)</f>
        <v/>
      </c>
      <c r="AY149" s="21" t="str">
        <f aca="false">IF($D149="","",IF($AF149="Waived","Waived",IF(ISNUMBER($AF149),IF($AF149&gt;AsOfDate,"In Place","Expired"),"None Reported")))</f>
        <v/>
      </c>
      <c r="AZ149" s="21" t="str">
        <f aca="false">IF($D149="","",IF(ISNUMBER($AG149),IF($AG149=0,"None",$AG149&amp;" Months"),IF($AG149="","None Reported",$AG149)))</f>
        <v/>
      </c>
      <c r="BA149" s="18" t="str">
        <f aca="false">IF($D149="","",IF($AK149="","Unlevered",$AK149))</f>
        <v/>
      </c>
      <c r="BB149" s="22" t="str">
        <f aca="false">IF($D149="","",SUM($AL149,$AO149))</f>
        <v/>
      </c>
      <c r="BC149" s="23" t="str">
        <f aca="false">IF($D149="","",IF($P149&gt;0,$BB149/$P149,0))</f>
        <v/>
      </c>
      <c r="BD149" s="25" t="str">
        <f aca="false">IF($D149="","",(AsOfDate-$AH149)/DaysPerMonth)</f>
        <v/>
      </c>
      <c r="BE149" s="25" t="str">
        <f aca="false">IF($D149="","",($AI149-AsOfDate)/DaysPerMonth)</f>
        <v/>
      </c>
      <c r="BF149" s="25" t="str">
        <f aca="false">IF($D149="","",($AJ149-AsOfDate)/DaysPerMonth)</f>
        <v/>
      </c>
      <c r="BG149" s="25" t="str">
        <f aca="false">IF($D149="","",MAX(0,$BE149))</f>
        <v/>
      </c>
      <c r="BH149" s="25" t="str">
        <f aca="false">IF($D149="","",MAX(0,$BF149))</f>
        <v/>
      </c>
      <c r="BI149" s="67" t="str">
        <f aca="false">IF($D149="","",YEAR($AI149))</f>
        <v/>
      </c>
      <c r="BJ149" s="67" t="str">
        <f aca="false">IF($D149="","",YEAR($AJ149))</f>
        <v/>
      </c>
      <c r="BK149" s="67" t="str">
        <f aca="false">IF($D149="","",YEAR($AH149))</f>
        <v/>
      </c>
      <c r="BM149" s="26" t="n">
        <f aca="false">IF($AT149=1,$P149+(1000-ROW())/1000000,0)</f>
        <v>0</v>
      </c>
    </row>
    <row r="150" customFormat="false" ht="15" hidden="false" customHeight="false" outlineLevel="0" collapsed="false">
      <c r="AT150" s="26" t="n">
        <f aca="false">IF($D150="",0,IF(OR(StratFilter="All Loans",$E150=StratFilter),1,0))</f>
        <v>0</v>
      </c>
      <c r="AU150" s="18" t="str">
        <f aca="false">IF($D150="","",IFERROR(VLOOKUP(TRIM($K150),PropTypeMap,2,FALSE()),"Unmapped"))</f>
        <v/>
      </c>
      <c r="AV150" s="21" t="str">
        <f aca="false">IF($D150="","",IFERROR(VLOOKUP($J150,RegionMap,2,FALSE()),"Unmapped"))</f>
        <v/>
      </c>
      <c r="AW150" s="21" t="str">
        <f aca="false">IF($D150="","",IF($AC150="SOFR","Floating (SOFR)","Fixed / All-In"))</f>
        <v/>
      </c>
      <c r="AX150" s="24" t="str">
        <f aca="false">IF($D150="","",$AD150+SOFR)</f>
        <v/>
      </c>
      <c r="AY150" s="21" t="str">
        <f aca="false">IF($D150="","",IF($AF150="Waived","Waived",IF(ISNUMBER($AF150),IF($AF150&gt;AsOfDate,"In Place","Expired"),"None Reported")))</f>
        <v/>
      </c>
      <c r="AZ150" s="21" t="str">
        <f aca="false">IF($D150="","",IF(ISNUMBER($AG150),IF($AG150=0,"None",$AG150&amp;" Months"),IF($AG150="","None Reported",$AG150)))</f>
        <v/>
      </c>
      <c r="BA150" s="18" t="str">
        <f aca="false">IF($D150="","",IF($AK150="","Unlevered",$AK150))</f>
        <v/>
      </c>
      <c r="BB150" s="22" t="str">
        <f aca="false">IF($D150="","",SUM($AL150,$AO150))</f>
        <v/>
      </c>
      <c r="BC150" s="23" t="str">
        <f aca="false">IF($D150="","",IF($P150&gt;0,$BB150/$P150,0))</f>
        <v/>
      </c>
      <c r="BD150" s="25" t="str">
        <f aca="false">IF($D150="","",(AsOfDate-$AH150)/DaysPerMonth)</f>
        <v/>
      </c>
      <c r="BE150" s="25" t="str">
        <f aca="false">IF($D150="","",($AI150-AsOfDate)/DaysPerMonth)</f>
        <v/>
      </c>
      <c r="BF150" s="25" t="str">
        <f aca="false">IF($D150="","",($AJ150-AsOfDate)/DaysPerMonth)</f>
        <v/>
      </c>
      <c r="BG150" s="25" t="str">
        <f aca="false">IF($D150="","",MAX(0,$BE150))</f>
        <v/>
      </c>
      <c r="BH150" s="25" t="str">
        <f aca="false">IF($D150="","",MAX(0,$BF150))</f>
        <v/>
      </c>
      <c r="BI150" s="67" t="str">
        <f aca="false">IF($D150="","",YEAR($AI150))</f>
        <v/>
      </c>
      <c r="BJ150" s="67" t="str">
        <f aca="false">IF($D150="","",YEAR($AJ150))</f>
        <v/>
      </c>
      <c r="BK150" s="67" t="str">
        <f aca="false">IF($D150="","",YEAR($AH150))</f>
        <v/>
      </c>
      <c r="BM150" s="26" t="n">
        <f aca="false">IF($AT150=1,$P150+(1000-ROW())/1000000,0)</f>
        <v>0</v>
      </c>
    </row>
    <row r="151" customFormat="false" ht="15" hidden="false" customHeight="false" outlineLevel="0" collapsed="false">
      <c r="AT151" s="26" t="n">
        <f aca="false">IF($D151="",0,IF(OR(StratFilter="All Loans",$E151=StratFilter),1,0))</f>
        <v>0</v>
      </c>
      <c r="AU151" s="18" t="str">
        <f aca="false">IF($D151="","",IFERROR(VLOOKUP(TRIM($K151),PropTypeMap,2,FALSE()),"Unmapped"))</f>
        <v/>
      </c>
      <c r="AV151" s="21" t="str">
        <f aca="false">IF($D151="","",IFERROR(VLOOKUP($J151,RegionMap,2,FALSE()),"Unmapped"))</f>
        <v/>
      </c>
      <c r="AW151" s="21" t="str">
        <f aca="false">IF($D151="","",IF($AC151="SOFR","Floating (SOFR)","Fixed / All-In"))</f>
        <v/>
      </c>
      <c r="AX151" s="24" t="str">
        <f aca="false">IF($D151="","",$AD151+SOFR)</f>
        <v/>
      </c>
      <c r="AY151" s="21" t="str">
        <f aca="false">IF($D151="","",IF($AF151="Waived","Waived",IF(ISNUMBER($AF151),IF($AF151&gt;AsOfDate,"In Place","Expired"),"None Reported")))</f>
        <v/>
      </c>
      <c r="AZ151" s="21" t="str">
        <f aca="false">IF($D151="","",IF(ISNUMBER($AG151),IF($AG151=0,"None",$AG151&amp;" Months"),IF($AG151="","None Reported",$AG151)))</f>
        <v/>
      </c>
      <c r="BA151" s="18" t="str">
        <f aca="false">IF($D151="","",IF($AK151="","Unlevered",$AK151))</f>
        <v/>
      </c>
      <c r="BB151" s="22" t="str">
        <f aca="false">IF($D151="","",SUM($AL151,$AO151))</f>
        <v/>
      </c>
      <c r="BC151" s="23" t="str">
        <f aca="false">IF($D151="","",IF($P151&gt;0,$BB151/$P151,0))</f>
        <v/>
      </c>
      <c r="BD151" s="25" t="str">
        <f aca="false">IF($D151="","",(AsOfDate-$AH151)/DaysPerMonth)</f>
        <v/>
      </c>
      <c r="BE151" s="25" t="str">
        <f aca="false">IF($D151="","",($AI151-AsOfDate)/DaysPerMonth)</f>
        <v/>
      </c>
      <c r="BF151" s="25" t="str">
        <f aca="false">IF($D151="","",($AJ151-AsOfDate)/DaysPerMonth)</f>
        <v/>
      </c>
      <c r="BG151" s="25" t="str">
        <f aca="false">IF($D151="","",MAX(0,$BE151))</f>
        <v/>
      </c>
      <c r="BH151" s="25" t="str">
        <f aca="false">IF($D151="","",MAX(0,$BF151))</f>
        <v/>
      </c>
      <c r="BI151" s="67" t="str">
        <f aca="false">IF($D151="","",YEAR($AI151))</f>
        <v/>
      </c>
      <c r="BJ151" s="67" t="str">
        <f aca="false">IF($D151="","",YEAR($AJ151))</f>
        <v/>
      </c>
      <c r="BK151" s="67" t="str">
        <f aca="false">IF($D151="","",YEAR($AH151))</f>
        <v/>
      </c>
      <c r="BM151" s="26" t="n">
        <f aca="false">IF($AT151=1,$P151+(1000-ROW())/1000000,0)</f>
        <v>0</v>
      </c>
    </row>
    <row r="152" customFormat="false" ht="15" hidden="false" customHeight="false" outlineLevel="0" collapsed="false">
      <c r="AT152" s="26" t="n">
        <f aca="false">IF($D152="",0,IF(OR(StratFilter="All Loans",$E152=StratFilter),1,0))</f>
        <v>0</v>
      </c>
      <c r="AU152" s="18" t="str">
        <f aca="false">IF($D152="","",IFERROR(VLOOKUP(TRIM($K152),PropTypeMap,2,FALSE()),"Unmapped"))</f>
        <v/>
      </c>
      <c r="AV152" s="21" t="str">
        <f aca="false">IF($D152="","",IFERROR(VLOOKUP($J152,RegionMap,2,FALSE()),"Unmapped"))</f>
        <v/>
      </c>
      <c r="AW152" s="21" t="str">
        <f aca="false">IF($D152="","",IF($AC152="SOFR","Floating (SOFR)","Fixed / All-In"))</f>
        <v/>
      </c>
      <c r="AX152" s="24" t="str">
        <f aca="false">IF($D152="","",$AD152+SOFR)</f>
        <v/>
      </c>
      <c r="AY152" s="21" t="str">
        <f aca="false">IF($D152="","",IF($AF152="Waived","Waived",IF(ISNUMBER($AF152),IF($AF152&gt;AsOfDate,"In Place","Expired"),"None Reported")))</f>
        <v/>
      </c>
      <c r="AZ152" s="21" t="str">
        <f aca="false">IF($D152="","",IF(ISNUMBER($AG152),IF($AG152=0,"None",$AG152&amp;" Months"),IF($AG152="","None Reported",$AG152)))</f>
        <v/>
      </c>
      <c r="BA152" s="18" t="str">
        <f aca="false">IF($D152="","",IF($AK152="","Unlevered",$AK152))</f>
        <v/>
      </c>
      <c r="BB152" s="22" t="str">
        <f aca="false">IF($D152="","",SUM($AL152,$AO152))</f>
        <v/>
      </c>
      <c r="BC152" s="23" t="str">
        <f aca="false">IF($D152="","",IF($P152&gt;0,$BB152/$P152,0))</f>
        <v/>
      </c>
      <c r="BD152" s="25" t="str">
        <f aca="false">IF($D152="","",(AsOfDate-$AH152)/DaysPerMonth)</f>
        <v/>
      </c>
      <c r="BE152" s="25" t="str">
        <f aca="false">IF($D152="","",($AI152-AsOfDate)/DaysPerMonth)</f>
        <v/>
      </c>
      <c r="BF152" s="25" t="str">
        <f aca="false">IF($D152="","",($AJ152-AsOfDate)/DaysPerMonth)</f>
        <v/>
      </c>
      <c r="BG152" s="25" t="str">
        <f aca="false">IF($D152="","",MAX(0,$BE152))</f>
        <v/>
      </c>
      <c r="BH152" s="25" t="str">
        <f aca="false">IF($D152="","",MAX(0,$BF152))</f>
        <v/>
      </c>
      <c r="BI152" s="67" t="str">
        <f aca="false">IF($D152="","",YEAR($AI152))</f>
        <v/>
      </c>
      <c r="BJ152" s="67" t="str">
        <f aca="false">IF($D152="","",YEAR($AJ152))</f>
        <v/>
      </c>
      <c r="BK152" s="67" t="str">
        <f aca="false">IF($D152="","",YEAR($AH152))</f>
        <v/>
      </c>
      <c r="BM152" s="26" t="n">
        <f aca="false">IF($AT152=1,$P152+(1000-ROW())/1000000,0)</f>
        <v>0</v>
      </c>
    </row>
    <row r="153" customFormat="false" ht="15" hidden="false" customHeight="false" outlineLevel="0" collapsed="false">
      <c r="AT153" s="26" t="n">
        <f aca="false">IF($D153="",0,IF(OR(StratFilter="All Loans",$E153=StratFilter),1,0))</f>
        <v>0</v>
      </c>
      <c r="AU153" s="18" t="str">
        <f aca="false">IF($D153="","",IFERROR(VLOOKUP(TRIM($K153),PropTypeMap,2,FALSE()),"Unmapped"))</f>
        <v/>
      </c>
      <c r="AV153" s="21" t="str">
        <f aca="false">IF($D153="","",IFERROR(VLOOKUP($J153,RegionMap,2,FALSE()),"Unmapped"))</f>
        <v/>
      </c>
      <c r="AW153" s="21" t="str">
        <f aca="false">IF($D153="","",IF($AC153="SOFR","Floating (SOFR)","Fixed / All-In"))</f>
        <v/>
      </c>
      <c r="AX153" s="24" t="str">
        <f aca="false">IF($D153="","",$AD153+SOFR)</f>
        <v/>
      </c>
      <c r="AY153" s="21" t="str">
        <f aca="false">IF($D153="","",IF($AF153="Waived","Waived",IF(ISNUMBER($AF153),IF($AF153&gt;AsOfDate,"In Place","Expired"),"None Reported")))</f>
        <v/>
      </c>
      <c r="AZ153" s="21" t="str">
        <f aca="false">IF($D153="","",IF(ISNUMBER($AG153),IF($AG153=0,"None",$AG153&amp;" Months"),IF($AG153="","None Reported",$AG153)))</f>
        <v/>
      </c>
      <c r="BA153" s="18" t="str">
        <f aca="false">IF($D153="","",IF($AK153="","Unlevered",$AK153))</f>
        <v/>
      </c>
      <c r="BB153" s="22" t="str">
        <f aca="false">IF($D153="","",SUM($AL153,$AO153))</f>
        <v/>
      </c>
      <c r="BC153" s="23" t="str">
        <f aca="false">IF($D153="","",IF($P153&gt;0,$BB153/$P153,0))</f>
        <v/>
      </c>
      <c r="BD153" s="25" t="str">
        <f aca="false">IF($D153="","",(AsOfDate-$AH153)/DaysPerMonth)</f>
        <v/>
      </c>
      <c r="BE153" s="25" t="str">
        <f aca="false">IF($D153="","",($AI153-AsOfDate)/DaysPerMonth)</f>
        <v/>
      </c>
      <c r="BF153" s="25" t="str">
        <f aca="false">IF($D153="","",($AJ153-AsOfDate)/DaysPerMonth)</f>
        <v/>
      </c>
      <c r="BG153" s="25" t="str">
        <f aca="false">IF($D153="","",MAX(0,$BE153))</f>
        <v/>
      </c>
      <c r="BH153" s="25" t="str">
        <f aca="false">IF($D153="","",MAX(0,$BF153))</f>
        <v/>
      </c>
      <c r="BI153" s="67" t="str">
        <f aca="false">IF($D153="","",YEAR($AI153))</f>
        <v/>
      </c>
      <c r="BJ153" s="67" t="str">
        <f aca="false">IF($D153="","",YEAR($AJ153))</f>
        <v/>
      </c>
      <c r="BK153" s="67" t="str">
        <f aca="false">IF($D153="","",YEAR($AH153))</f>
        <v/>
      </c>
      <c r="BM153" s="26" t="n">
        <f aca="false">IF($AT153=1,$P153+(1000-ROW())/1000000,0)</f>
        <v>0</v>
      </c>
    </row>
    <row r="154" customFormat="false" ht="15" hidden="false" customHeight="false" outlineLevel="0" collapsed="false">
      <c r="AT154" s="26" t="n">
        <f aca="false">IF($D154="",0,IF(OR(StratFilter="All Loans",$E154=StratFilter),1,0))</f>
        <v>0</v>
      </c>
      <c r="AU154" s="18" t="str">
        <f aca="false">IF($D154="","",IFERROR(VLOOKUP(TRIM($K154),PropTypeMap,2,FALSE()),"Unmapped"))</f>
        <v/>
      </c>
      <c r="AV154" s="21" t="str">
        <f aca="false">IF($D154="","",IFERROR(VLOOKUP($J154,RegionMap,2,FALSE()),"Unmapped"))</f>
        <v/>
      </c>
      <c r="AW154" s="21" t="str">
        <f aca="false">IF($D154="","",IF($AC154="SOFR","Floating (SOFR)","Fixed / All-In"))</f>
        <v/>
      </c>
      <c r="AX154" s="24" t="str">
        <f aca="false">IF($D154="","",$AD154+SOFR)</f>
        <v/>
      </c>
      <c r="AY154" s="21" t="str">
        <f aca="false">IF($D154="","",IF($AF154="Waived","Waived",IF(ISNUMBER($AF154),IF($AF154&gt;AsOfDate,"In Place","Expired"),"None Reported")))</f>
        <v/>
      </c>
      <c r="AZ154" s="21" t="str">
        <f aca="false">IF($D154="","",IF(ISNUMBER($AG154),IF($AG154=0,"None",$AG154&amp;" Months"),IF($AG154="","None Reported",$AG154)))</f>
        <v/>
      </c>
      <c r="BA154" s="18" t="str">
        <f aca="false">IF($D154="","",IF($AK154="","Unlevered",$AK154))</f>
        <v/>
      </c>
      <c r="BB154" s="22" t="str">
        <f aca="false">IF($D154="","",SUM($AL154,$AO154))</f>
        <v/>
      </c>
      <c r="BC154" s="23" t="str">
        <f aca="false">IF($D154="","",IF($P154&gt;0,$BB154/$P154,0))</f>
        <v/>
      </c>
      <c r="BD154" s="25" t="str">
        <f aca="false">IF($D154="","",(AsOfDate-$AH154)/DaysPerMonth)</f>
        <v/>
      </c>
      <c r="BE154" s="25" t="str">
        <f aca="false">IF($D154="","",($AI154-AsOfDate)/DaysPerMonth)</f>
        <v/>
      </c>
      <c r="BF154" s="25" t="str">
        <f aca="false">IF($D154="","",($AJ154-AsOfDate)/DaysPerMonth)</f>
        <v/>
      </c>
      <c r="BG154" s="25" t="str">
        <f aca="false">IF($D154="","",MAX(0,$BE154))</f>
        <v/>
      </c>
      <c r="BH154" s="25" t="str">
        <f aca="false">IF($D154="","",MAX(0,$BF154))</f>
        <v/>
      </c>
      <c r="BI154" s="67" t="str">
        <f aca="false">IF($D154="","",YEAR($AI154))</f>
        <v/>
      </c>
      <c r="BJ154" s="67" t="str">
        <f aca="false">IF($D154="","",YEAR($AJ154))</f>
        <v/>
      </c>
      <c r="BK154" s="67" t="str">
        <f aca="false">IF($D154="","",YEAR($AH154))</f>
        <v/>
      </c>
      <c r="BM154" s="26" t="n">
        <f aca="false">IF($AT154=1,$P154+(1000-ROW())/1000000,0)</f>
        <v>0</v>
      </c>
    </row>
    <row r="155" customFormat="false" ht="15" hidden="false" customHeight="false" outlineLevel="0" collapsed="false">
      <c r="AT155" s="26" t="n">
        <f aca="false">IF($D155="",0,IF(OR(StratFilter="All Loans",$E155=StratFilter),1,0))</f>
        <v>0</v>
      </c>
      <c r="AU155" s="18" t="str">
        <f aca="false">IF($D155="","",IFERROR(VLOOKUP(TRIM($K155),PropTypeMap,2,FALSE()),"Unmapped"))</f>
        <v/>
      </c>
      <c r="AV155" s="21" t="str">
        <f aca="false">IF($D155="","",IFERROR(VLOOKUP($J155,RegionMap,2,FALSE()),"Unmapped"))</f>
        <v/>
      </c>
      <c r="AW155" s="21" t="str">
        <f aca="false">IF($D155="","",IF($AC155="SOFR","Floating (SOFR)","Fixed / All-In"))</f>
        <v/>
      </c>
      <c r="AX155" s="24" t="str">
        <f aca="false">IF($D155="","",$AD155+SOFR)</f>
        <v/>
      </c>
      <c r="AY155" s="21" t="str">
        <f aca="false">IF($D155="","",IF($AF155="Waived","Waived",IF(ISNUMBER($AF155),IF($AF155&gt;AsOfDate,"In Place","Expired"),"None Reported")))</f>
        <v/>
      </c>
      <c r="AZ155" s="21" t="str">
        <f aca="false">IF($D155="","",IF(ISNUMBER($AG155),IF($AG155=0,"None",$AG155&amp;" Months"),IF($AG155="","None Reported",$AG155)))</f>
        <v/>
      </c>
      <c r="BA155" s="18" t="str">
        <f aca="false">IF($D155="","",IF($AK155="","Unlevered",$AK155))</f>
        <v/>
      </c>
      <c r="BB155" s="22" t="str">
        <f aca="false">IF($D155="","",SUM($AL155,$AO155))</f>
        <v/>
      </c>
      <c r="BC155" s="23" t="str">
        <f aca="false">IF($D155="","",IF($P155&gt;0,$BB155/$P155,0))</f>
        <v/>
      </c>
      <c r="BD155" s="25" t="str">
        <f aca="false">IF($D155="","",(AsOfDate-$AH155)/DaysPerMonth)</f>
        <v/>
      </c>
      <c r="BE155" s="25" t="str">
        <f aca="false">IF($D155="","",($AI155-AsOfDate)/DaysPerMonth)</f>
        <v/>
      </c>
      <c r="BF155" s="25" t="str">
        <f aca="false">IF($D155="","",($AJ155-AsOfDate)/DaysPerMonth)</f>
        <v/>
      </c>
      <c r="BG155" s="25" t="str">
        <f aca="false">IF($D155="","",MAX(0,$BE155))</f>
        <v/>
      </c>
      <c r="BH155" s="25" t="str">
        <f aca="false">IF($D155="","",MAX(0,$BF155))</f>
        <v/>
      </c>
      <c r="BI155" s="67" t="str">
        <f aca="false">IF($D155="","",YEAR($AI155))</f>
        <v/>
      </c>
      <c r="BJ155" s="67" t="str">
        <f aca="false">IF($D155="","",YEAR($AJ155))</f>
        <v/>
      </c>
      <c r="BK155" s="67" t="str">
        <f aca="false">IF($D155="","",YEAR($AH155))</f>
        <v/>
      </c>
      <c r="BM155" s="26" t="n">
        <f aca="false">IF($AT155=1,$P155+(1000-ROW())/1000000,0)</f>
        <v>0</v>
      </c>
    </row>
    <row r="156" customFormat="false" ht="15" hidden="false" customHeight="false" outlineLevel="0" collapsed="false">
      <c r="AT156" s="26" t="n">
        <f aca="false">IF($D156="",0,IF(OR(StratFilter="All Loans",$E156=StratFilter),1,0))</f>
        <v>0</v>
      </c>
      <c r="AU156" s="18" t="str">
        <f aca="false">IF($D156="","",IFERROR(VLOOKUP(TRIM($K156),PropTypeMap,2,FALSE()),"Unmapped"))</f>
        <v/>
      </c>
      <c r="AV156" s="21" t="str">
        <f aca="false">IF($D156="","",IFERROR(VLOOKUP($J156,RegionMap,2,FALSE()),"Unmapped"))</f>
        <v/>
      </c>
      <c r="AW156" s="21" t="str">
        <f aca="false">IF($D156="","",IF($AC156="SOFR","Floating (SOFR)","Fixed / All-In"))</f>
        <v/>
      </c>
      <c r="AX156" s="24" t="str">
        <f aca="false">IF($D156="","",$AD156+SOFR)</f>
        <v/>
      </c>
      <c r="AY156" s="21" t="str">
        <f aca="false">IF($D156="","",IF($AF156="Waived","Waived",IF(ISNUMBER($AF156),IF($AF156&gt;AsOfDate,"In Place","Expired"),"None Reported")))</f>
        <v/>
      </c>
      <c r="AZ156" s="21" t="str">
        <f aca="false">IF($D156="","",IF(ISNUMBER($AG156),IF($AG156=0,"None",$AG156&amp;" Months"),IF($AG156="","None Reported",$AG156)))</f>
        <v/>
      </c>
      <c r="BA156" s="18" t="str">
        <f aca="false">IF($D156="","",IF($AK156="","Unlevered",$AK156))</f>
        <v/>
      </c>
      <c r="BB156" s="22" t="str">
        <f aca="false">IF($D156="","",SUM($AL156,$AO156))</f>
        <v/>
      </c>
      <c r="BC156" s="23" t="str">
        <f aca="false">IF($D156="","",IF($P156&gt;0,$BB156/$P156,0))</f>
        <v/>
      </c>
      <c r="BD156" s="25" t="str">
        <f aca="false">IF($D156="","",(AsOfDate-$AH156)/DaysPerMonth)</f>
        <v/>
      </c>
      <c r="BE156" s="25" t="str">
        <f aca="false">IF($D156="","",($AI156-AsOfDate)/DaysPerMonth)</f>
        <v/>
      </c>
      <c r="BF156" s="25" t="str">
        <f aca="false">IF($D156="","",($AJ156-AsOfDate)/DaysPerMonth)</f>
        <v/>
      </c>
      <c r="BG156" s="25" t="str">
        <f aca="false">IF($D156="","",MAX(0,$BE156))</f>
        <v/>
      </c>
      <c r="BH156" s="25" t="str">
        <f aca="false">IF($D156="","",MAX(0,$BF156))</f>
        <v/>
      </c>
      <c r="BI156" s="67" t="str">
        <f aca="false">IF($D156="","",YEAR($AI156))</f>
        <v/>
      </c>
      <c r="BJ156" s="67" t="str">
        <f aca="false">IF($D156="","",YEAR($AJ156))</f>
        <v/>
      </c>
      <c r="BK156" s="67" t="str">
        <f aca="false">IF($D156="","",YEAR($AH156))</f>
        <v/>
      </c>
      <c r="BM156" s="26" t="n">
        <f aca="false">IF($AT156=1,$P156+(1000-ROW())/1000000,0)</f>
        <v>0</v>
      </c>
    </row>
    <row r="157" customFormat="false" ht="15" hidden="false" customHeight="false" outlineLevel="0" collapsed="false">
      <c r="AT157" s="26" t="n">
        <f aca="false">IF($D157="",0,IF(OR(StratFilter="All Loans",$E157=StratFilter),1,0))</f>
        <v>0</v>
      </c>
      <c r="AU157" s="18" t="str">
        <f aca="false">IF($D157="","",IFERROR(VLOOKUP(TRIM($K157),PropTypeMap,2,FALSE()),"Unmapped"))</f>
        <v/>
      </c>
      <c r="AV157" s="21" t="str">
        <f aca="false">IF($D157="","",IFERROR(VLOOKUP($J157,RegionMap,2,FALSE()),"Unmapped"))</f>
        <v/>
      </c>
      <c r="AW157" s="21" t="str">
        <f aca="false">IF($D157="","",IF($AC157="SOFR","Floating (SOFR)","Fixed / All-In"))</f>
        <v/>
      </c>
      <c r="AX157" s="24" t="str">
        <f aca="false">IF($D157="","",$AD157+SOFR)</f>
        <v/>
      </c>
      <c r="AY157" s="21" t="str">
        <f aca="false">IF($D157="","",IF($AF157="Waived","Waived",IF(ISNUMBER($AF157),IF($AF157&gt;AsOfDate,"In Place","Expired"),"None Reported")))</f>
        <v/>
      </c>
      <c r="AZ157" s="21" t="str">
        <f aca="false">IF($D157="","",IF(ISNUMBER($AG157),IF($AG157=0,"None",$AG157&amp;" Months"),IF($AG157="","None Reported",$AG157)))</f>
        <v/>
      </c>
      <c r="BA157" s="18" t="str">
        <f aca="false">IF($D157="","",IF($AK157="","Unlevered",$AK157))</f>
        <v/>
      </c>
      <c r="BB157" s="22" t="str">
        <f aca="false">IF($D157="","",SUM($AL157,$AO157))</f>
        <v/>
      </c>
      <c r="BC157" s="23" t="str">
        <f aca="false">IF($D157="","",IF($P157&gt;0,$BB157/$P157,0))</f>
        <v/>
      </c>
      <c r="BD157" s="25" t="str">
        <f aca="false">IF($D157="","",(AsOfDate-$AH157)/DaysPerMonth)</f>
        <v/>
      </c>
      <c r="BE157" s="25" t="str">
        <f aca="false">IF($D157="","",($AI157-AsOfDate)/DaysPerMonth)</f>
        <v/>
      </c>
      <c r="BF157" s="25" t="str">
        <f aca="false">IF($D157="","",($AJ157-AsOfDate)/DaysPerMonth)</f>
        <v/>
      </c>
      <c r="BG157" s="25" t="str">
        <f aca="false">IF($D157="","",MAX(0,$BE157))</f>
        <v/>
      </c>
      <c r="BH157" s="25" t="str">
        <f aca="false">IF($D157="","",MAX(0,$BF157))</f>
        <v/>
      </c>
      <c r="BI157" s="67" t="str">
        <f aca="false">IF($D157="","",YEAR($AI157))</f>
        <v/>
      </c>
      <c r="BJ157" s="67" t="str">
        <f aca="false">IF($D157="","",YEAR($AJ157))</f>
        <v/>
      </c>
      <c r="BK157" s="67" t="str">
        <f aca="false">IF($D157="","",YEAR($AH157))</f>
        <v/>
      </c>
      <c r="BM157" s="26" t="n">
        <f aca="false">IF($AT157=1,$P157+(1000-ROW())/1000000,0)</f>
        <v>0</v>
      </c>
    </row>
    <row r="158" customFormat="false" ht="15" hidden="false" customHeight="false" outlineLevel="0" collapsed="false">
      <c r="AT158" s="26" t="n">
        <f aca="false">IF($D158="",0,IF(OR(StratFilter="All Loans",$E158=StratFilter),1,0))</f>
        <v>0</v>
      </c>
      <c r="AU158" s="18" t="str">
        <f aca="false">IF($D158="","",IFERROR(VLOOKUP(TRIM($K158),PropTypeMap,2,FALSE()),"Unmapped"))</f>
        <v/>
      </c>
      <c r="AV158" s="21" t="str">
        <f aca="false">IF($D158="","",IFERROR(VLOOKUP($J158,RegionMap,2,FALSE()),"Unmapped"))</f>
        <v/>
      </c>
      <c r="AW158" s="21" t="str">
        <f aca="false">IF($D158="","",IF($AC158="SOFR","Floating (SOFR)","Fixed / All-In"))</f>
        <v/>
      </c>
      <c r="AX158" s="24" t="str">
        <f aca="false">IF($D158="","",$AD158+SOFR)</f>
        <v/>
      </c>
      <c r="AY158" s="21" t="str">
        <f aca="false">IF($D158="","",IF($AF158="Waived","Waived",IF(ISNUMBER($AF158),IF($AF158&gt;AsOfDate,"In Place","Expired"),"None Reported")))</f>
        <v/>
      </c>
      <c r="AZ158" s="21" t="str">
        <f aca="false">IF($D158="","",IF(ISNUMBER($AG158),IF($AG158=0,"None",$AG158&amp;" Months"),IF($AG158="","None Reported",$AG158)))</f>
        <v/>
      </c>
      <c r="BA158" s="18" t="str">
        <f aca="false">IF($D158="","",IF($AK158="","Unlevered",$AK158))</f>
        <v/>
      </c>
      <c r="BB158" s="22" t="str">
        <f aca="false">IF($D158="","",SUM($AL158,$AO158))</f>
        <v/>
      </c>
      <c r="BC158" s="23" t="str">
        <f aca="false">IF($D158="","",IF($P158&gt;0,$BB158/$P158,0))</f>
        <v/>
      </c>
      <c r="BD158" s="25" t="str">
        <f aca="false">IF($D158="","",(AsOfDate-$AH158)/DaysPerMonth)</f>
        <v/>
      </c>
      <c r="BE158" s="25" t="str">
        <f aca="false">IF($D158="","",($AI158-AsOfDate)/DaysPerMonth)</f>
        <v/>
      </c>
      <c r="BF158" s="25" t="str">
        <f aca="false">IF($D158="","",($AJ158-AsOfDate)/DaysPerMonth)</f>
        <v/>
      </c>
      <c r="BG158" s="25" t="str">
        <f aca="false">IF($D158="","",MAX(0,$BE158))</f>
        <v/>
      </c>
      <c r="BH158" s="25" t="str">
        <f aca="false">IF($D158="","",MAX(0,$BF158))</f>
        <v/>
      </c>
      <c r="BI158" s="67" t="str">
        <f aca="false">IF($D158="","",YEAR($AI158))</f>
        <v/>
      </c>
      <c r="BJ158" s="67" t="str">
        <f aca="false">IF($D158="","",YEAR($AJ158))</f>
        <v/>
      </c>
      <c r="BK158" s="67" t="str">
        <f aca="false">IF($D158="","",YEAR($AH158))</f>
        <v/>
      </c>
      <c r="BM158" s="26" t="n">
        <f aca="false">IF($AT158=1,$P158+(1000-ROW())/1000000,0)</f>
        <v>0</v>
      </c>
    </row>
    <row r="159" customFormat="false" ht="15" hidden="false" customHeight="false" outlineLevel="0" collapsed="false">
      <c r="AT159" s="26" t="n">
        <f aca="false">IF($D159="",0,IF(OR(StratFilter="All Loans",$E159=StratFilter),1,0))</f>
        <v>0</v>
      </c>
      <c r="AU159" s="18" t="str">
        <f aca="false">IF($D159="","",IFERROR(VLOOKUP(TRIM($K159),PropTypeMap,2,FALSE()),"Unmapped"))</f>
        <v/>
      </c>
      <c r="AV159" s="21" t="str">
        <f aca="false">IF($D159="","",IFERROR(VLOOKUP($J159,RegionMap,2,FALSE()),"Unmapped"))</f>
        <v/>
      </c>
      <c r="AW159" s="21" t="str">
        <f aca="false">IF($D159="","",IF($AC159="SOFR","Floating (SOFR)","Fixed / All-In"))</f>
        <v/>
      </c>
      <c r="AX159" s="24" t="str">
        <f aca="false">IF($D159="","",$AD159+SOFR)</f>
        <v/>
      </c>
      <c r="AY159" s="21" t="str">
        <f aca="false">IF($D159="","",IF($AF159="Waived","Waived",IF(ISNUMBER($AF159),IF($AF159&gt;AsOfDate,"In Place","Expired"),"None Reported")))</f>
        <v/>
      </c>
      <c r="AZ159" s="21" t="str">
        <f aca="false">IF($D159="","",IF(ISNUMBER($AG159),IF($AG159=0,"None",$AG159&amp;" Months"),IF($AG159="","None Reported",$AG159)))</f>
        <v/>
      </c>
      <c r="BA159" s="18" t="str">
        <f aca="false">IF($D159="","",IF($AK159="","Unlevered",$AK159))</f>
        <v/>
      </c>
      <c r="BB159" s="22" t="str">
        <f aca="false">IF($D159="","",SUM($AL159,$AO159))</f>
        <v/>
      </c>
      <c r="BC159" s="23" t="str">
        <f aca="false">IF($D159="","",IF($P159&gt;0,$BB159/$P159,0))</f>
        <v/>
      </c>
      <c r="BD159" s="25" t="str">
        <f aca="false">IF($D159="","",(AsOfDate-$AH159)/DaysPerMonth)</f>
        <v/>
      </c>
      <c r="BE159" s="25" t="str">
        <f aca="false">IF($D159="","",($AI159-AsOfDate)/DaysPerMonth)</f>
        <v/>
      </c>
      <c r="BF159" s="25" t="str">
        <f aca="false">IF($D159="","",($AJ159-AsOfDate)/DaysPerMonth)</f>
        <v/>
      </c>
      <c r="BG159" s="25" t="str">
        <f aca="false">IF($D159="","",MAX(0,$BE159))</f>
        <v/>
      </c>
      <c r="BH159" s="25" t="str">
        <f aca="false">IF($D159="","",MAX(0,$BF159))</f>
        <v/>
      </c>
      <c r="BI159" s="67" t="str">
        <f aca="false">IF($D159="","",YEAR($AI159))</f>
        <v/>
      </c>
      <c r="BJ159" s="67" t="str">
        <f aca="false">IF($D159="","",YEAR($AJ159))</f>
        <v/>
      </c>
      <c r="BK159" s="67" t="str">
        <f aca="false">IF($D159="","",YEAR($AH159))</f>
        <v/>
      </c>
      <c r="BM159" s="26" t="n">
        <f aca="false">IF($AT159=1,$P159+(1000-ROW())/1000000,0)</f>
        <v>0</v>
      </c>
    </row>
    <row r="160" customFormat="false" ht="15" hidden="false" customHeight="false" outlineLevel="0" collapsed="false">
      <c r="AT160" s="26" t="n">
        <f aca="false">IF($D160="",0,IF(OR(StratFilter="All Loans",$E160=StratFilter),1,0))</f>
        <v>0</v>
      </c>
      <c r="AU160" s="18" t="str">
        <f aca="false">IF($D160="","",IFERROR(VLOOKUP(TRIM($K160),PropTypeMap,2,FALSE()),"Unmapped"))</f>
        <v/>
      </c>
      <c r="AV160" s="21" t="str">
        <f aca="false">IF($D160="","",IFERROR(VLOOKUP($J160,RegionMap,2,FALSE()),"Unmapped"))</f>
        <v/>
      </c>
      <c r="AW160" s="21" t="str">
        <f aca="false">IF($D160="","",IF($AC160="SOFR","Floating (SOFR)","Fixed / All-In"))</f>
        <v/>
      </c>
      <c r="AX160" s="24" t="str">
        <f aca="false">IF($D160="","",$AD160+SOFR)</f>
        <v/>
      </c>
      <c r="AY160" s="21" t="str">
        <f aca="false">IF($D160="","",IF($AF160="Waived","Waived",IF(ISNUMBER($AF160),IF($AF160&gt;AsOfDate,"In Place","Expired"),"None Reported")))</f>
        <v/>
      </c>
      <c r="AZ160" s="21" t="str">
        <f aca="false">IF($D160="","",IF(ISNUMBER($AG160),IF($AG160=0,"None",$AG160&amp;" Months"),IF($AG160="","None Reported",$AG160)))</f>
        <v/>
      </c>
      <c r="BA160" s="18" t="str">
        <f aca="false">IF($D160="","",IF($AK160="","Unlevered",$AK160))</f>
        <v/>
      </c>
      <c r="BB160" s="22" t="str">
        <f aca="false">IF($D160="","",SUM($AL160,$AO160))</f>
        <v/>
      </c>
      <c r="BC160" s="23" t="str">
        <f aca="false">IF($D160="","",IF($P160&gt;0,$BB160/$P160,0))</f>
        <v/>
      </c>
      <c r="BD160" s="25" t="str">
        <f aca="false">IF($D160="","",(AsOfDate-$AH160)/DaysPerMonth)</f>
        <v/>
      </c>
      <c r="BE160" s="25" t="str">
        <f aca="false">IF($D160="","",($AI160-AsOfDate)/DaysPerMonth)</f>
        <v/>
      </c>
      <c r="BF160" s="25" t="str">
        <f aca="false">IF($D160="","",($AJ160-AsOfDate)/DaysPerMonth)</f>
        <v/>
      </c>
      <c r="BG160" s="25" t="str">
        <f aca="false">IF($D160="","",MAX(0,$BE160))</f>
        <v/>
      </c>
      <c r="BH160" s="25" t="str">
        <f aca="false">IF($D160="","",MAX(0,$BF160))</f>
        <v/>
      </c>
      <c r="BI160" s="67" t="str">
        <f aca="false">IF($D160="","",YEAR($AI160))</f>
        <v/>
      </c>
      <c r="BJ160" s="67" t="str">
        <f aca="false">IF($D160="","",YEAR($AJ160))</f>
        <v/>
      </c>
      <c r="BK160" s="67" t="str">
        <f aca="false">IF($D160="","",YEAR($AH160))</f>
        <v/>
      </c>
      <c r="BM160" s="26" t="n">
        <f aca="false">IF($AT160=1,$P160+(1000-ROW())/1000000,0)</f>
        <v>0</v>
      </c>
    </row>
    <row r="161" customFormat="false" ht="15" hidden="false" customHeight="false" outlineLevel="0" collapsed="false">
      <c r="AT161" s="26" t="n">
        <f aca="false">IF($D161="",0,IF(OR(StratFilter="All Loans",$E161=StratFilter),1,0))</f>
        <v>0</v>
      </c>
      <c r="AU161" s="18" t="str">
        <f aca="false">IF($D161="","",IFERROR(VLOOKUP(TRIM($K161),PropTypeMap,2,FALSE()),"Unmapped"))</f>
        <v/>
      </c>
      <c r="AV161" s="21" t="str">
        <f aca="false">IF($D161="","",IFERROR(VLOOKUP($J161,RegionMap,2,FALSE()),"Unmapped"))</f>
        <v/>
      </c>
      <c r="AW161" s="21" t="str">
        <f aca="false">IF($D161="","",IF($AC161="SOFR","Floating (SOFR)","Fixed / All-In"))</f>
        <v/>
      </c>
      <c r="AX161" s="24" t="str">
        <f aca="false">IF($D161="","",$AD161+SOFR)</f>
        <v/>
      </c>
      <c r="AY161" s="21" t="str">
        <f aca="false">IF($D161="","",IF($AF161="Waived","Waived",IF(ISNUMBER($AF161),IF($AF161&gt;AsOfDate,"In Place","Expired"),"None Reported")))</f>
        <v/>
      </c>
      <c r="AZ161" s="21" t="str">
        <f aca="false">IF($D161="","",IF(ISNUMBER($AG161),IF($AG161=0,"None",$AG161&amp;" Months"),IF($AG161="","None Reported",$AG161)))</f>
        <v/>
      </c>
      <c r="BA161" s="18" t="str">
        <f aca="false">IF($D161="","",IF($AK161="","Unlevered",$AK161))</f>
        <v/>
      </c>
      <c r="BB161" s="22" t="str">
        <f aca="false">IF($D161="","",SUM($AL161,$AO161))</f>
        <v/>
      </c>
      <c r="BC161" s="23" t="str">
        <f aca="false">IF($D161="","",IF($P161&gt;0,$BB161/$P161,0))</f>
        <v/>
      </c>
      <c r="BD161" s="25" t="str">
        <f aca="false">IF($D161="","",(AsOfDate-$AH161)/DaysPerMonth)</f>
        <v/>
      </c>
      <c r="BE161" s="25" t="str">
        <f aca="false">IF($D161="","",($AI161-AsOfDate)/DaysPerMonth)</f>
        <v/>
      </c>
      <c r="BF161" s="25" t="str">
        <f aca="false">IF($D161="","",($AJ161-AsOfDate)/DaysPerMonth)</f>
        <v/>
      </c>
      <c r="BG161" s="25" t="str">
        <f aca="false">IF($D161="","",MAX(0,$BE161))</f>
        <v/>
      </c>
      <c r="BH161" s="25" t="str">
        <f aca="false">IF($D161="","",MAX(0,$BF161))</f>
        <v/>
      </c>
      <c r="BI161" s="67" t="str">
        <f aca="false">IF($D161="","",YEAR($AI161))</f>
        <v/>
      </c>
      <c r="BJ161" s="67" t="str">
        <f aca="false">IF($D161="","",YEAR($AJ161))</f>
        <v/>
      </c>
      <c r="BK161" s="67" t="str">
        <f aca="false">IF($D161="","",YEAR($AH161))</f>
        <v/>
      </c>
      <c r="BM161" s="26" t="n">
        <f aca="false">IF($AT161=1,$P161+(1000-ROW())/1000000,0)</f>
        <v>0</v>
      </c>
    </row>
    <row r="162" customFormat="false" ht="15" hidden="false" customHeight="false" outlineLevel="0" collapsed="false">
      <c r="AT162" s="26" t="n">
        <f aca="false">IF($D162="",0,IF(OR(StratFilter="All Loans",$E162=StratFilter),1,0))</f>
        <v>0</v>
      </c>
      <c r="AU162" s="18" t="str">
        <f aca="false">IF($D162="","",IFERROR(VLOOKUP(TRIM($K162),PropTypeMap,2,FALSE()),"Unmapped"))</f>
        <v/>
      </c>
      <c r="AV162" s="21" t="str">
        <f aca="false">IF($D162="","",IFERROR(VLOOKUP($J162,RegionMap,2,FALSE()),"Unmapped"))</f>
        <v/>
      </c>
      <c r="AW162" s="21" t="str">
        <f aca="false">IF($D162="","",IF($AC162="SOFR","Floating (SOFR)","Fixed / All-In"))</f>
        <v/>
      </c>
      <c r="AX162" s="24" t="str">
        <f aca="false">IF($D162="","",$AD162+SOFR)</f>
        <v/>
      </c>
      <c r="AY162" s="21" t="str">
        <f aca="false">IF($D162="","",IF($AF162="Waived","Waived",IF(ISNUMBER($AF162),IF($AF162&gt;AsOfDate,"In Place","Expired"),"None Reported")))</f>
        <v/>
      </c>
      <c r="AZ162" s="21" t="str">
        <f aca="false">IF($D162="","",IF(ISNUMBER($AG162),IF($AG162=0,"None",$AG162&amp;" Months"),IF($AG162="","None Reported",$AG162)))</f>
        <v/>
      </c>
      <c r="BA162" s="18" t="str">
        <f aca="false">IF($D162="","",IF($AK162="","Unlevered",$AK162))</f>
        <v/>
      </c>
      <c r="BB162" s="22" t="str">
        <f aca="false">IF($D162="","",SUM($AL162,$AO162))</f>
        <v/>
      </c>
      <c r="BC162" s="23" t="str">
        <f aca="false">IF($D162="","",IF($P162&gt;0,$BB162/$P162,0))</f>
        <v/>
      </c>
      <c r="BD162" s="25" t="str">
        <f aca="false">IF($D162="","",(AsOfDate-$AH162)/DaysPerMonth)</f>
        <v/>
      </c>
      <c r="BE162" s="25" t="str">
        <f aca="false">IF($D162="","",($AI162-AsOfDate)/DaysPerMonth)</f>
        <v/>
      </c>
      <c r="BF162" s="25" t="str">
        <f aca="false">IF($D162="","",($AJ162-AsOfDate)/DaysPerMonth)</f>
        <v/>
      </c>
      <c r="BG162" s="25" t="str">
        <f aca="false">IF($D162="","",MAX(0,$BE162))</f>
        <v/>
      </c>
      <c r="BH162" s="25" t="str">
        <f aca="false">IF($D162="","",MAX(0,$BF162))</f>
        <v/>
      </c>
      <c r="BI162" s="67" t="str">
        <f aca="false">IF($D162="","",YEAR($AI162))</f>
        <v/>
      </c>
      <c r="BJ162" s="67" t="str">
        <f aca="false">IF($D162="","",YEAR($AJ162))</f>
        <v/>
      </c>
      <c r="BK162" s="67" t="str">
        <f aca="false">IF($D162="","",YEAR($AH162))</f>
        <v/>
      </c>
      <c r="BM162" s="26" t="n">
        <f aca="false">IF($AT162=1,$P162+(1000-ROW())/1000000,0)</f>
        <v>0</v>
      </c>
    </row>
    <row r="163" customFormat="false" ht="15" hidden="false" customHeight="false" outlineLevel="0" collapsed="false">
      <c r="AT163" s="26" t="n">
        <f aca="false">IF($D163="",0,IF(OR(StratFilter="All Loans",$E163=StratFilter),1,0))</f>
        <v>0</v>
      </c>
      <c r="AU163" s="18" t="str">
        <f aca="false">IF($D163="","",IFERROR(VLOOKUP(TRIM($K163),PropTypeMap,2,FALSE()),"Unmapped"))</f>
        <v/>
      </c>
      <c r="AV163" s="21" t="str">
        <f aca="false">IF($D163="","",IFERROR(VLOOKUP($J163,RegionMap,2,FALSE()),"Unmapped"))</f>
        <v/>
      </c>
      <c r="AW163" s="21" t="str">
        <f aca="false">IF($D163="","",IF($AC163="SOFR","Floating (SOFR)","Fixed / All-In"))</f>
        <v/>
      </c>
      <c r="AX163" s="24" t="str">
        <f aca="false">IF($D163="","",$AD163+SOFR)</f>
        <v/>
      </c>
      <c r="AY163" s="21" t="str">
        <f aca="false">IF($D163="","",IF($AF163="Waived","Waived",IF(ISNUMBER($AF163),IF($AF163&gt;AsOfDate,"In Place","Expired"),"None Reported")))</f>
        <v/>
      </c>
      <c r="AZ163" s="21" t="str">
        <f aca="false">IF($D163="","",IF(ISNUMBER($AG163),IF($AG163=0,"None",$AG163&amp;" Months"),IF($AG163="","None Reported",$AG163)))</f>
        <v/>
      </c>
      <c r="BA163" s="18" t="str">
        <f aca="false">IF($D163="","",IF($AK163="","Unlevered",$AK163))</f>
        <v/>
      </c>
      <c r="BB163" s="22" t="str">
        <f aca="false">IF($D163="","",SUM($AL163,$AO163))</f>
        <v/>
      </c>
      <c r="BC163" s="23" t="str">
        <f aca="false">IF($D163="","",IF($P163&gt;0,$BB163/$P163,0))</f>
        <v/>
      </c>
      <c r="BD163" s="25" t="str">
        <f aca="false">IF($D163="","",(AsOfDate-$AH163)/DaysPerMonth)</f>
        <v/>
      </c>
      <c r="BE163" s="25" t="str">
        <f aca="false">IF($D163="","",($AI163-AsOfDate)/DaysPerMonth)</f>
        <v/>
      </c>
      <c r="BF163" s="25" t="str">
        <f aca="false">IF($D163="","",($AJ163-AsOfDate)/DaysPerMonth)</f>
        <v/>
      </c>
      <c r="BG163" s="25" t="str">
        <f aca="false">IF($D163="","",MAX(0,$BE163))</f>
        <v/>
      </c>
      <c r="BH163" s="25" t="str">
        <f aca="false">IF($D163="","",MAX(0,$BF163))</f>
        <v/>
      </c>
      <c r="BI163" s="67" t="str">
        <f aca="false">IF($D163="","",YEAR($AI163))</f>
        <v/>
      </c>
      <c r="BJ163" s="67" t="str">
        <f aca="false">IF($D163="","",YEAR($AJ163))</f>
        <v/>
      </c>
      <c r="BK163" s="67" t="str">
        <f aca="false">IF($D163="","",YEAR($AH163))</f>
        <v/>
      </c>
      <c r="BM163" s="26" t="n">
        <f aca="false">IF($AT163=1,$P163+(1000-ROW())/1000000,0)</f>
        <v>0</v>
      </c>
    </row>
    <row r="164" customFormat="false" ht="15" hidden="false" customHeight="false" outlineLevel="0" collapsed="false">
      <c r="AT164" s="26" t="n">
        <f aca="false">IF($D164="",0,IF(OR(StratFilter="All Loans",$E164=StratFilter),1,0))</f>
        <v>0</v>
      </c>
      <c r="AU164" s="18" t="str">
        <f aca="false">IF($D164="","",IFERROR(VLOOKUP(TRIM($K164),PropTypeMap,2,FALSE()),"Unmapped"))</f>
        <v/>
      </c>
      <c r="AV164" s="21" t="str">
        <f aca="false">IF($D164="","",IFERROR(VLOOKUP($J164,RegionMap,2,FALSE()),"Unmapped"))</f>
        <v/>
      </c>
      <c r="AW164" s="21" t="str">
        <f aca="false">IF($D164="","",IF($AC164="SOFR","Floating (SOFR)","Fixed / All-In"))</f>
        <v/>
      </c>
      <c r="AX164" s="24" t="str">
        <f aca="false">IF($D164="","",$AD164+SOFR)</f>
        <v/>
      </c>
      <c r="AY164" s="21" t="str">
        <f aca="false">IF($D164="","",IF($AF164="Waived","Waived",IF(ISNUMBER($AF164),IF($AF164&gt;AsOfDate,"In Place","Expired"),"None Reported")))</f>
        <v/>
      </c>
      <c r="AZ164" s="21" t="str">
        <f aca="false">IF($D164="","",IF(ISNUMBER($AG164),IF($AG164=0,"None",$AG164&amp;" Months"),IF($AG164="","None Reported",$AG164)))</f>
        <v/>
      </c>
      <c r="BA164" s="18" t="str">
        <f aca="false">IF($D164="","",IF($AK164="","Unlevered",$AK164))</f>
        <v/>
      </c>
      <c r="BB164" s="22" t="str">
        <f aca="false">IF($D164="","",SUM($AL164,$AO164))</f>
        <v/>
      </c>
      <c r="BC164" s="23" t="str">
        <f aca="false">IF($D164="","",IF($P164&gt;0,$BB164/$P164,0))</f>
        <v/>
      </c>
      <c r="BD164" s="25" t="str">
        <f aca="false">IF($D164="","",(AsOfDate-$AH164)/DaysPerMonth)</f>
        <v/>
      </c>
      <c r="BE164" s="25" t="str">
        <f aca="false">IF($D164="","",($AI164-AsOfDate)/DaysPerMonth)</f>
        <v/>
      </c>
      <c r="BF164" s="25" t="str">
        <f aca="false">IF($D164="","",($AJ164-AsOfDate)/DaysPerMonth)</f>
        <v/>
      </c>
      <c r="BG164" s="25" t="str">
        <f aca="false">IF($D164="","",MAX(0,$BE164))</f>
        <v/>
      </c>
      <c r="BH164" s="25" t="str">
        <f aca="false">IF($D164="","",MAX(0,$BF164))</f>
        <v/>
      </c>
      <c r="BI164" s="67" t="str">
        <f aca="false">IF($D164="","",YEAR($AI164))</f>
        <v/>
      </c>
      <c r="BJ164" s="67" t="str">
        <f aca="false">IF($D164="","",YEAR($AJ164))</f>
        <v/>
      </c>
      <c r="BK164" s="67" t="str">
        <f aca="false">IF($D164="","",YEAR($AH164))</f>
        <v/>
      </c>
      <c r="BM164" s="26" t="n">
        <f aca="false">IF($AT164=1,$P164+(1000-ROW())/1000000,0)</f>
        <v>0</v>
      </c>
    </row>
    <row r="165" customFormat="false" ht="15" hidden="false" customHeight="false" outlineLevel="0" collapsed="false">
      <c r="AT165" s="26" t="n">
        <f aca="false">IF($D165="",0,IF(OR(StratFilter="All Loans",$E165=StratFilter),1,0))</f>
        <v>0</v>
      </c>
      <c r="AU165" s="18" t="str">
        <f aca="false">IF($D165="","",IFERROR(VLOOKUP(TRIM($K165),PropTypeMap,2,FALSE()),"Unmapped"))</f>
        <v/>
      </c>
      <c r="AV165" s="21" t="str">
        <f aca="false">IF($D165="","",IFERROR(VLOOKUP($J165,RegionMap,2,FALSE()),"Unmapped"))</f>
        <v/>
      </c>
      <c r="AW165" s="21" t="str">
        <f aca="false">IF($D165="","",IF($AC165="SOFR","Floating (SOFR)","Fixed / All-In"))</f>
        <v/>
      </c>
      <c r="AX165" s="24" t="str">
        <f aca="false">IF($D165="","",$AD165+SOFR)</f>
        <v/>
      </c>
      <c r="AY165" s="21" t="str">
        <f aca="false">IF($D165="","",IF($AF165="Waived","Waived",IF(ISNUMBER($AF165),IF($AF165&gt;AsOfDate,"In Place","Expired"),"None Reported")))</f>
        <v/>
      </c>
      <c r="AZ165" s="21" t="str">
        <f aca="false">IF($D165="","",IF(ISNUMBER($AG165),IF($AG165=0,"None",$AG165&amp;" Months"),IF($AG165="","None Reported",$AG165)))</f>
        <v/>
      </c>
      <c r="BA165" s="18" t="str">
        <f aca="false">IF($D165="","",IF($AK165="","Unlevered",$AK165))</f>
        <v/>
      </c>
      <c r="BB165" s="22" t="str">
        <f aca="false">IF($D165="","",SUM($AL165,$AO165))</f>
        <v/>
      </c>
      <c r="BC165" s="23" t="str">
        <f aca="false">IF($D165="","",IF($P165&gt;0,$BB165/$P165,0))</f>
        <v/>
      </c>
      <c r="BD165" s="25" t="str">
        <f aca="false">IF($D165="","",(AsOfDate-$AH165)/DaysPerMonth)</f>
        <v/>
      </c>
      <c r="BE165" s="25" t="str">
        <f aca="false">IF($D165="","",($AI165-AsOfDate)/DaysPerMonth)</f>
        <v/>
      </c>
      <c r="BF165" s="25" t="str">
        <f aca="false">IF($D165="","",($AJ165-AsOfDate)/DaysPerMonth)</f>
        <v/>
      </c>
      <c r="BG165" s="25" t="str">
        <f aca="false">IF($D165="","",MAX(0,$BE165))</f>
        <v/>
      </c>
      <c r="BH165" s="25" t="str">
        <f aca="false">IF($D165="","",MAX(0,$BF165))</f>
        <v/>
      </c>
      <c r="BI165" s="67" t="str">
        <f aca="false">IF($D165="","",YEAR($AI165))</f>
        <v/>
      </c>
      <c r="BJ165" s="67" t="str">
        <f aca="false">IF($D165="","",YEAR($AJ165))</f>
        <v/>
      </c>
      <c r="BK165" s="67" t="str">
        <f aca="false">IF($D165="","",YEAR($AH165))</f>
        <v/>
      </c>
      <c r="BM165" s="26" t="n">
        <f aca="false">IF($AT165=1,$P165+(1000-ROW())/1000000,0)</f>
        <v>0</v>
      </c>
    </row>
    <row r="166" customFormat="false" ht="15" hidden="false" customHeight="false" outlineLevel="0" collapsed="false">
      <c r="AT166" s="26" t="n">
        <f aca="false">IF($D166="",0,IF(OR(StratFilter="All Loans",$E166=StratFilter),1,0))</f>
        <v>0</v>
      </c>
      <c r="AU166" s="18" t="str">
        <f aca="false">IF($D166="","",IFERROR(VLOOKUP(TRIM($K166),PropTypeMap,2,FALSE()),"Unmapped"))</f>
        <v/>
      </c>
      <c r="AV166" s="21" t="str">
        <f aca="false">IF($D166="","",IFERROR(VLOOKUP($J166,RegionMap,2,FALSE()),"Unmapped"))</f>
        <v/>
      </c>
      <c r="AW166" s="21" t="str">
        <f aca="false">IF($D166="","",IF($AC166="SOFR","Floating (SOFR)","Fixed / All-In"))</f>
        <v/>
      </c>
      <c r="AX166" s="24" t="str">
        <f aca="false">IF($D166="","",$AD166+SOFR)</f>
        <v/>
      </c>
      <c r="AY166" s="21" t="str">
        <f aca="false">IF($D166="","",IF($AF166="Waived","Waived",IF(ISNUMBER($AF166),IF($AF166&gt;AsOfDate,"In Place","Expired"),"None Reported")))</f>
        <v/>
      </c>
      <c r="AZ166" s="21" t="str">
        <f aca="false">IF($D166="","",IF(ISNUMBER($AG166),IF($AG166=0,"None",$AG166&amp;" Months"),IF($AG166="","None Reported",$AG166)))</f>
        <v/>
      </c>
      <c r="BA166" s="18" t="str">
        <f aca="false">IF($D166="","",IF($AK166="","Unlevered",$AK166))</f>
        <v/>
      </c>
      <c r="BB166" s="22" t="str">
        <f aca="false">IF($D166="","",SUM($AL166,$AO166))</f>
        <v/>
      </c>
      <c r="BC166" s="23" t="str">
        <f aca="false">IF($D166="","",IF($P166&gt;0,$BB166/$P166,0))</f>
        <v/>
      </c>
      <c r="BD166" s="25" t="str">
        <f aca="false">IF($D166="","",(AsOfDate-$AH166)/DaysPerMonth)</f>
        <v/>
      </c>
      <c r="BE166" s="25" t="str">
        <f aca="false">IF($D166="","",($AI166-AsOfDate)/DaysPerMonth)</f>
        <v/>
      </c>
      <c r="BF166" s="25" t="str">
        <f aca="false">IF($D166="","",($AJ166-AsOfDate)/DaysPerMonth)</f>
        <v/>
      </c>
      <c r="BG166" s="25" t="str">
        <f aca="false">IF($D166="","",MAX(0,$BE166))</f>
        <v/>
      </c>
      <c r="BH166" s="25" t="str">
        <f aca="false">IF($D166="","",MAX(0,$BF166))</f>
        <v/>
      </c>
      <c r="BI166" s="67" t="str">
        <f aca="false">IF($D166="","",YEAR($AI166))</f>
        <v/>
      </c>
      <c r="BJ166" s="67" t="str">
        <f aca="false">IF($D166="","",YEAR($AJ166))</f>
        <v/>
      </c>
      <c r="BK166" s="67" t="str">
        <f aca="false">IF($D166="","",YEAR($AH166))</f>
        <v/>
      </c>
      <c r="BM166" s="26" t="n">
        <f aca="false">IF($AT166=1,$P166+(1000-ROW())/1000000,0)</f>
        <v>0</v>
      </c>
    </row>
    <row r="167" customFormat="false" ht="15" hidden="false" customHeight="false" outlineLevel="0" collapsed="false">
      <c r="AT167" s="26" t="n">
        <f aca="false">IF($D167="",0,IF(OR(StratFilter="All Loans",$E167=StratFilter),1,0))</f>
        <v>0</v>
      </c>
      <c r="AU167" s="18" t="str">
        <f aca="false">IF($D167="","",IFERROR(VLOOKUP(TRIM($K167),PropTypeMap,2,FALSE()),"Unmapped"))</f>
        <v/>
      </c>
      <c r="AV167" s="21" t="str">
        <f aca="false">IF($D167="","",IFERROR(VLOOKUP($J167,RegionMap,2,FALSE()),"Unmapped"))</f>
        <v/>
      </c>
      <c r="AW167" s="21" t="str">
        <f aca="false">IF($D167="","",IF($AC167="SOFR","Floating (SOFR)","Fixed / All-In"))</f>
        <v/>
      </c>
      <c r="AX167" s="24" t="str">
        <f aca="false">IF($D167="","",$AD167+SOFR)</f>
        <v/>
      </c>
      <c r="AY167" s="21" t="str">
        <f aca="false">IF($D167="","",IF($AF167="Waived","Waived",IF(ISNUMBER($AF167),IF($AF167&gt;AsOfDate,"In Place","Expired"),"None Reported")))</f>
        <v/>
      </c>
      <c r="AZ167" s="21" t="str">
        <f aca="false">IF($D167="","",IF(ISNUMBER($AG167),IF($AG167=0,"None",$AG167&amp;" Months"),IF($AG167="","None Reported",$AG167)))</f>
        <v/>
      </c>
      <c r="BA167" s="18" t="str">
        <f aca="false">IF($D167="","",IF($AK167="","Unlevered",$AK167))</f>
        <v/>
      </c>
      <c r="BB167" s="22" t="str">
        <f aca="false">IF($D167="","",SUM($AL167,$AO167))</f>
        <v/>
      </c>
      <c r="BC167" s="23" t="str">
        <f aca="false">IF($D167="","",IF($P167&gt;0,$BB167/$P167,0))</f>
        <v/>
      </c>
      <c r="BD167" s="25" t="str">
        <f aca="false">IF($D167="","",(AsOfDate-$AH167)/DaysPerMonth)</f>
        <v/>
      </c>
      <c r="BE167" s="25" t="str">
        <f aca="false">IF($D167="","",($AI167-AsOfDate)/DaysPerMonth)</f>
        <v/>
      </c>
      <c r="BF167" s="25" t="str">
        <f aca="false">IF($D167="","",($AJ167-AsOfDate)/DaysPerMonth)</f>
        <v/>
      </c>
      <c r="BG167" s="25" t="str">
        <f aca="false">IF($D167="","",MAX(0,$BE167))</f>
        <v/>
      </c>
      <c r="BH167" s="25" t="str">
        <f aca="false">IF($D167="","",MAX(0,$BF167))</f>
        <v/>
      </c>
      <c r="BI167" s="67" t="str">
        <f aca="false">IF($D167="","",YEAR($AI167))</f>
        <v/>
      </c>
      <c r="BJ167" s="67" t="str">
        <f aca="false">IF($D167="","",YEAR($AJ167))</f>
        <v/>
      </c>
      <c r="BK167" s="67" t="str">
        <f aca="false">IF($D167="","",YEAR($AH167))</f>
        <v/>
      </c>
      <c r="BM167" s="26" t="n">
        <f aca="false">IF($AT167=1,$P167+(1000-ROW())/1000000,0)</f>
        <v>0</v>
      </c>
    </row>
    <row r="168" customFormat="false" ht="15" hidden="false" customHeight="false" outlineLevel="0" collapsed="false">
      <c r="AT168" s="26" t="n">
        <f aca="false">IF($D168="",0,IF(OR(StratFilter="All Loans",$E168=StratFilter),1,0))</f>
        <v>0</v>
      </c>
      <c r="AU168" s="18" t="str">
        <f aca="false">IF($D168="","",IFERROR(VLOOKUP(TRIM($K168),PropTypeMap,2,FALSE()),"Unmapped"))</f>
        <v/>
      </c>
      <c r="AV168" s="21" t="str">
        <f aca="false">IF($D168="","",IFERROR(VLOOKUP($J168,RegionMap,2,FALSE()),"Unmapped"))</f>
        <v/>
      </c>
      <c r="AW168" s="21" t="str">
        <f aca="false">IF($D168="","",IF($AC168="SOFR","Floating (SOFR)","Fixed / All-In"))</f>
        <v/>
      </c>
      <c r="AX168" s="24" t="str">
        <f aca="false">IF($D168="","",$AD168+SOFR)</f>
        <v/>
      </c>
      <c r="AY168" s="21" t="str">
        <f aca="false">IF($D168="","",IF($AF168="Waived","Waived",IF(ISNUMBER($AF168),IF($AF168&gt;AsOfDate,"In Place","Expired"),"None Reported")))</f>
        <v/>
      </c>
      <c r="AZ168" s="21" t="str">
        <f aca="false">IF($D168="","",IF(ISNUMBER($AG168),IF($AG168=0,"None",$AG168&amp;" Months"),IF($AG168="","None Reported",$AG168)))</f>
        <v/>
      </c>
      <c r="BA168" s="18" t="str">
        <f aca="false">IF($D168="","",IF($AK168="","Unlevered",$AK168))</f>
        <v/>
      </c>
      <c r="BB168" s="22" t="str">
        <f aca="false">IF($D168="","",SUM($AL168,$AO168))</f>
        <v/>
      </c>
      <c r="BC168" s="23" t="str">
        <f aca="false">IF($D168="","",IF($P168&gt;0,$BB168/$P168,0))</f>
        <v/>
      </c>
      <c r="BD168" s="25" t="str">
        <f aca="false">IF($D168="","",(AsOfDate-$AH168)/DaysPerMonth)</f>
        <v/>
      </c>
      <c r="BE168" s="25" t="str">
        <f aca="false">IF($D168="","",($AI168-AsOfDate)/DaysPerMonth)</f>
        <v/>
      </c>
      <c r="BF168" s="25" t="str">
        <f aca="false">IF($D168="","",($AJ168-AsOfDate)/DaysPerMonth)</f>
        <v/>
      </c>
      <c r="BG168" s="25" t="str">
        <f aca="false">IF($D168="","",MAX(0,$BE168))</f>
        <v/>
      </c>
      <c r="BH168" s="25" t="str">
        <f aca="false">IF($D168="","",MAX(0,$BF168))</f>
        <v/>
      </c>
      <c r="BI168" s="67" t="str">
        <f aca="false">IF($D168="","",YEAR($AI168))</f>
        <v/>
      </c>
      <c r="BJ168" s="67" t="str">
        <f aca="false">IF($D168="","",YEAR($AJ168))</f>
        <v/>
      </c>
      <c r="BK168" s="67" t="str">
        <f aca="false">IF($D168="","",YEAR($AH168))</f>
        <v/>
      </c>
      <c r="BM168" s="26" t="n">
        <f aca="false">IF($AT168=1,$P168+(1000-ROW())/1000000,0)</f>
        <v>0</v>
      </c>
    </row>
    <row r="169" customFormat="false" ht="15" hidden="false" customHeight="false" outlineLevel="0" collapsed="false">
      <c r="AT169" s="26" t="n">
        <f aca="false">IF($D169="",0,IF(OR(StratFilter="All Loans",$E169=StratFilter),1,0))</f>
        <v>0</v>
      </c>
      <c r="AU169" s="18" t="str">
        <f aca="false">IF($D169="","",IFERROR(VLOOKUP(TRIM($K169),PropTypeMap,2,FALSE()),"Unmapped"))</f>
        <v/>
      </c>
      <c r="AV169" s="21" t="str">
        <f aca="false">IF($D169="","",IFERROR(VLOOKUP($J169,RegionMap,2,FALSE()),"Unmapped"))</f>
        <v/>
      </c>
      <c r="AW169" s="21" t="str">
        <f aca="false">IF($D169="","",IF($AC169="SOFR","Floating (SOFR)","Fixed / All-In"))</f>
        <v/>
      </c>
      <c r="AX169" s="24" t="str">
        <f aca="false">IF($D169="","",$AD169+SOFR)</f>
        <v/>
      </c>
      <c r="AY169" s="21" t="str">
        <f aca="false">IF($D169="","",IF($AF169="Waived","Waived",IF(ISNUMBER($AF169),IF($AF169&gt;AsOfDate,"In Place","Expired"),"None Reported")))</f>
        <v/>
      </c>
      <c r="AZ169" s="21" t="str">
        <f aca="false">IF($D169="","",IF(ISNUMBER($AG169),IF($AG169=0,"None",$AG169&amp;" Months"),IF($AG169="","None Reported",$AG169)))</f>
        <v/>
      </c>
      <c r="BA169" s="18" t="str">
        <f aca="false">IF($D169="","",IF($AK169="","Unlevered",$AK169))</f>
        <v/>
      </c>
      <c r="BB169" s="22" t="str">
        <f aca="false">IF($D169="","",SUM($AL169,$AO169))</f>
        <v/>
      </c>
      <c r="BC169" s="23" t="str">
        <f aca="false">IF($D169="","",IF($P169&gt;0,$BB169/$P169,0))</f>
        <v/>
      </c>
      <c r="BD169" s="25" t="str">
        <f aca="false">IF($D169="","",(AsOfDate-$AH169)/DaysPerMonth)</f>
        <v/>
      </c>
      <c r="BE169" s="25" t="str">
        <f aca="false">IF($D169="","",($AI169-AsOfDate)/DaysPerMonth)</f>
        <v/>
      </c>
      <c r="BF169" s="25" t="str">
        <f aca="false">IF($D169="","",($AJ169-AsOfDate)/DaysPerMonth)</f>
        <v/>
      </c>
      <c r="BG169" s="25" t="str">
        <f aca="false">IF($D169="","",MAX(0,$BE169))</f>
        <v/>
      </c>
      <c r="BH169" s="25" t="str">
        <f aca="false">IF($D169="","",MAX(0,$BF169))</f>
        <v/>
      </c>
      <c r="BI169" s="67" t="str">
        <f aca="false">IF($D169="","",YEAR($AI169))</f>
        <v/>
      </c>
      <c r="BJ169" s="67" t="str">
        <f aca="false">IF($D169="","",YEAR($AJ169))</f>
        <v/>
      </c>
      <c r="BK169" s="67" t="str">
        <f aca="false">IF($D169="","",YEAR($AH169))</f>
        <v/>
      </c>
      <c r="BM169" s="26" t="n">
        <f aca="false">IF($AT169=1,$P169+(1000-ROW())/1000000,0)</f>
        <v>0</v>
      </c>
    </row>
    <row r="170" customFormat="false" ht="15" hidden="false" customHeight="false" outlineLevel="0" collapsed="false">
      <c r="AT170" s="26" t="n">
        <f aca="false">IF($D170="",0,IF(OR(StratFilter="All Loans",$E170=StratFilter),1,0))</f>
        <v>0</v>
      </c>
      <c r="AU170" s="18" t="str">
        <f aca="false">IF($D170="","",IFERROR(VLOOKUP(TRIM($K170),PropTypeMap,2,FALSE()),"Unmapped"))</f>
        <v/>
      </c>
      <c r="AV170" s="21" t="str">
        <f aca="false">IF($D170="","",IFERROR(VLOOKUP($J170,RegionMap,2,FALSE()),"Unmapped"))</f>
        <v/>
      </c>
      <c r="AW170" s="21" t="str">
        <f aca="false">IF($D170="","",IF($AC170="SOFR","Floating (SOFR)","Fixed / All-In"))</f>
        <v/>
      </c>
      <c r="AX170" s="24" t="str">
        <f aca="false">IF($D170="","",$AD170+SOFR)</f>
        <v/>
      </c>
      <c r="AY170" s="21" t="str">
        <f aca="false">IF($D170="","",IF($AF170="Waived","Waived",IF(ISNUMBER($AF170),IF($AF170&gt;AsOfDate,"In Place","Expired"),"None Reported")))</f>
        <v/>
      </c>
      <c r="AZ170" s="21" t="str">
        <f aca="false">IF($D170="","",IF(ISNUMBER($AG170),IF($AG170=0,"None",$AG170&amp;" Months"),IF($AG170="","None Reported",$AG170)))</f>
        <v/>
      </c>
      <c r="BA170" s="18" t="str">
        <f aca="false">IF($D170="","",IF($AK170="","Unlevered",$AK170))</f>
        <v/>
      </c>
      <c r="BB170" s="22" t="str">
        <f aca="false">IF($D170="","",SUM($AL170,$AO170))</f>
        <v/>
      </c>
      <c r="BC170" s="23" t="str">
        <f aca="false">IF($D170="","",IF($P170&gt;0,$BB170/$P170,0))</f>
        <v/>
      </c>
      <c r="BD170" s="25" t="str">
        <f aca="false">IF($D170="","",(AsOfDate-$AH170)/DaysPerMonth)</f>
        <v/>
      </c>
      <c r="BE170" s="25" t="str">
        <f aca="false">IF($D170="","",($AI170-AsOfDate)/DaysPerMonth)</f>
        <v/>
      </c>
      <c r="BF170" s="25" t="str">
        <f aca="false">IF($D170="","",($AJ170-AsOfDate)/DaysPerMonth)</f>
        <v/>
      </c>
      <c r="BG170" s="25" t="str">
        <f aca="false">IF($D170="","",MAX(0,$BE170))</f>
        <v/>
      </c>
      <c r="BH170" s="25" t="str">
        <f aca="false">IF($D170="","",MAX(0,$BF170))</f>
        <v/>
      </c>
      <c r="BI170" s="67" t="str">
        <f aca="false">IF($D170="","",YEAR($AI170))</f>
        <v/>
      </c>
      <c r="BJ170" s="67" t="str">
        <f aca="false">IF($D170="","",YEAR($AJ170))</f>
        <v/>
      </c>
      <c r="BK170" s="67" t="str">
        <f aca="false">IF($D170="","",YEAR($AH170))</f>
        <v/>
      </c>
      <c r="BM170" s="26" t="n">
        <f aca="false">IF($AT170=1,$P170+(1000-ROW())/1000000,0)</f>
        <v>0</v>
      </c>
    </row>
    <row r="171" customFormat="false" ht="15" hidden="false" customHeight="false" outlineLevel="0" collapsed="false">
      <c r="AT171" s="26" t="n">
        <f aca="false">IF($D171="",0,IF(OR(StratFilter="All Loans",$E171=StratFilter),1,0))</f>
        <v>0</v>
      </c>
      <c r="AU171" s="18" t="str">
        <f aca="false">IF($D171="","",IFERROR(VLOOKUP(TRIM($K171),PropTypeMap,2,FALSE()),"Unmapped"))</f>
        <v/>
      </c>
      <c r="AV171" s="21" t="str">
        <f aca="false">IF($D171="","",IFERROR(VLOOKUP($J171,RegionMap,2,FALSE()),"Unmapped"))</f>
        <v/>
      </c>
      <c r="AW171" s="21" t="str">
        <f aca="false">IF($D171="","",IF($AC171="SOFR","Floating (SOFR)","Fixed / All-In"))</f>
        <v/>
      </c>
      <c r="AX171" s="24" t="str">
        <f aca="false">IF($D171="","",$AD171+SOFR)</f>
        <v/>
      </c>
      <c r="AY171" s="21" t="str">
        <f aca="false">IF($D171="","",IF($AF171="Waived","Waived",IF(ISNUMBER($AF171),IF($AF171&gt;AsOfDate,"In Place","Expired"),"None Reported")))</f>
        <v/>
      </c>
      <c r="AZ171" s="21" t="str">
        <f aca="false">IF($D171="","",IF(ISNUMBER($AG171),IF($AG171=0,"None",$AG171&amp;" Months"),IF($AG171="","None Reported",$AG171)))</f>
        <v/>
      </c>
      <c r="BA171" s="18" t="str">
        <f aca="false">IF($D171="","",IF($AK171="","Unlevered",$AK171))</f>
        <v/>
      </c>
      <c r="BB171" s="22" t="str">
        <f aca="false">IF($D171="","",SUM($AL171,$AO171))</f>
        <v/>
      </c>
      <c r="BC171" s="23" t="str">
        <f aca="false">IF($D171="","",IF($P171&gt;0,$BB171/$P171,0))</f>
        <v/>
      </c>
      <c r="BD171" s="25" t="str">
        <f aca="false">IF($D171="","",(AsOfDate-$AH171)/DaysPerMonth)</f>
        <v/>
      </c>
      <c r="BE171" s="25" t="str">
        <f aca="false">IF($D171="","",($AI171-AsOfDate)/DaysPerMonth)</f>
        <v/>
      </c>
      <c r="BF171" s="25" t="str">
        <f aca="false">IF($D171="","",($AJ171-AsOfDate)/DaysPerMonth)</f>
        <v/>
      </c>
      <c r="BG171" s="25" t="str">
        <f aca="false">IF($D171="","",MAX(0,$BE171))</f>
        <v/>
      </c>
      <c r="BH171" s="25" t="str">
        <f aca="false">IF($D171="","",MAX(0,$BF171))</f>
        <v/>
      </c>
      <c r="BI171" s="67" t="str">
        <f aca="false">IF($D171="","",YEAR($AI171))</f>
        <v/>
      </c>
      <c r="BJ171" s="67" t="str">
        <f aca="false">IF($D171="","",YEAR($AJ171))</f>
        <v/>
      </c>
      <c r="BK171" s="67" t="str">
        <f aca="false">IF($D171="","",YEAR($AH171))</f>
        <v/>
      </c>
      <c r="BM171" s="26" t="n">
        <f aca="false">IF($AT171=1,$P171+(1000-ROW())/1000000,0)</f>
        <v>0</v>
      </c>
    </row>
    <row r="172" customFormat="false" ht="15" hidden="false" customHeight="false" outlineLevel="0" collapsed="false">
      <c r="AT172" s="26" t="n">
        <f aca="false">IF($D172="",0,IF(OR(StratFilter="All Loans",$E172=StratFilter),1,0))</f>
        <v>0</v>
      </c>
      <c r="AU172" s="18" t="str">
        <f aca="false">IF($D172="","",IFERROR(VLOOKUP(TRIM($K172),PropTypeMap,2,FALSE()),"Unmapped"))</f>
        <v/>
      </c>
      <c r="AV172" s="21" t="str">
        <f aca="false">IF($D172="","",IFERROR(VLOOKUP($J172,RegionMap,2,FALSE()),"Unmapped"))</f>
        <v/>
      </c>
      <c r="AW172" s="21" t="str">
        <f aca="false">IF($D172="","",IF($AC172="SOFR","Floating (SOFR)","Fixed / All-In"))</f>
        <v/>
      </c>
      <c r="AX172" s="24" t="str">
        <f aca="false">IF($D172="","",$AD172+SOFR)</f>
        <v/>
      </c>
      <c r="AY172" s="21" t="str">
        <f aca="false">IF($D172="","",IF($AF172="Waived","Waived",IF(ISNUMBER($AF172),IF($AF172&gt;AsOfDate,"In Place","Expired"),"None Reported")))</f>
        <v/>
      </c>
      <c r="AZ172" s="21" t="str">
        <f aca="false">IF($D172="","",IF(ISNUMBER($AG172),IF($AG172=0,"None",$AG172&amp;" Months"),IF($AG172="","None Reported",$AG172)))</f>
        <v/>
      </c>
      <c r="BA172" s="18" t="str">
        <f aca="false">IF($D172="","",IF($AK172="","Unlevered",$AK172))</f>
        <v/>
      </c>
      <c r="BB172" s="22" t="str">
        <f aca="false">IF($D172="","",SUM($AL172,$AO172))</f>
        <v/>
      </c>
      <c r="BC172" s="23" t="str">
        <f aca="false">IF($D172="","",IF($P172&gt;0,$BB172/$P172,0))</f>
        <v/>
      </c>
      <c r="BD172" s="25" t="str">
        <f aca="false">IF($D172="","",(AsOfDate-$AH172)/DaysPerMonth)</f>
        <v/>
      </c>
      <c r="BE172" s="25" t="str">
        <f aca="false">IF($D172="","",($AI172-AsOfDate)/DaysPerMonth)</f>
        <v/>
      </c>
      <c r="BF172" s="25" t="str">
        <f aca="false">IF($D172="","",($AJ172-AsOfDate)/DaysPerMonth)</f>
        <v/>
      </c>
      <c r="BG172" s="25" t="str">
        <f aca="false">IF($D172="","",MAX(0,$BE172))</f>
        <v/>
      </c>
      <c r="BH172" s="25" t="str">
        <f aca="false">IF($D172="","",MAX(0,$BF172))</f>
        <v/>
      </c>
      <c r="BI172" s="67" t="str">
        <f aca="false">IF($D172="","",YEAR($AI172))</f>
        <v/>
      </c>
      <c r="BJ172" s="67" t="str">
        <f aca="false">IF($D172="","",YEAR($AJ172))</f>
        <v/>
      </c>
      <c r="BK172" s="67" t="str">
        <f aca="false">IF($D172="","",YEAR($AH172))</f>
        <v/>
      </c>
      <c r="BM172" s="26" t="n">
        <f aca="false">IF($AT172=1,$P172+(1000-ROW())/1000000,0)</f>
        <v>0</v>
      </c>
    </row>
    <row r="173" customFormat="false" ht="15" hidden="false" customHeight="false" outlineLevel="0" collapsed="false">
      <c r="AT173" s="26" t="n">
        <f aca="false">IF($D173="",0,IF(OR(StratFilter="All Loans",$E173=StratFilter),1,0))</f>
        <v>0</v>
      </c>
      <c r="AU173" s="18" t="str">
        <f aca="false">IF($D173="","",IFERROR(VLOOKUP(TRIM($K173),PropTypeMap,2,FALSE()),"Unmapped"))</f>
        <v/>
      </c>
      <c r="AV173" s="21" t="str">
        <f aca="false">IF($D173="","",IFERROR(VLOOKUP($J173,RegionMap,2,FALSE()),"Unmapped"))</f>
        <v/>
      </c>
      <c r="AW173" s="21" t="str">
        <f aca="false">IF($D173="","",IF($AC173="SOFR","Floating (SOFR)","Fixed / All-In"))</f>
        <v/>
      </c>
      <c r="AX173" s="24" t="str">
        <f aca="false">IF($D173="","",$AD173+SOFR)</f>
        <v/>
      </c>
      <c r="AY173" s="21" t="str">
        <f aca="false">IF($D173="","",IF($AF173="Waived","Waived",IF(ISNUMBER($AF173),IF($AF173&gt;AsOfDate,"In Place","Expired"),"None Reported")))</f>
        <v/>
      </c>
      <c r="AZ173" s="21" t="str">
        <f aca="false">IF($D173="","",IF(ISNUMBER($AG173),IF($AG173=0,"None",$AG173&amp;" Months"),IF($AG173="","None Reported",$AG173)))</f>
        <v/>
      </c>
      <c r="BA173" s="18" t="str">
        <f aca="false">IF($D173="","",IF($AK173="","Unlevered",$AK173))</f>
        <v/>
      </c>
      <c r="BB173" s="22" t="str">
        <f aca="false">IF($D173="","",SUM($AL173,$AO173))</f>
        <v/>
      </c>
      <c r="BC173" s="23" t="str">
        <f aca="false">IF($D173="","",IF($P173&gt;0,$BB173/$P173,0))</f>
        <v/>
      </c>
      <c r="BD173" s="25" t="str">
        <f aca="false">IF($D173="","",(AsOfDate-$AH173)/DaysPerMonth)</f>
        <v/>
      </c>
      <c r="BE173" s="25" t="str">
        <f aca="false">IF($D173="","",($AI173-AsOfDate)/DaysPerMonth)</f>
        <v/>
      </c>
      <c r="BF173" s="25" t="str">
        <f aca="false">IF($D173="","",($AJ173-AsOfDate)/DaysPerMonth)</f>
        <v/>
      </c>
      <c r="BG173" s="25" t="str">
        <f aca="false">IF($D173="","",MAX(0,$BE173))</f>
        <v/>
      </c>
      <c r="BH173" s="25" t="str">
        <f aca="false">IF($D173="","",MAX(0,$BF173))</f>
        <v/>
      </c>
      <c r="BI173" s="67" t="str">
        <f aca="false">IF($D173="","",YEAR($AI173))</f>
        <v/>
      </c>
      <c r="BJ173" s="67" t="str">
        <f aca="false">IF($D173="","",YEAR($AJ173))</f>
        <v/>
      </c>
      <c r="BK173" s="67" t="str">
        <f aca="false">IF($D173="","",YEAR($AH173))</f>
        <v/>
      </c>
      <c r="BM173" s="26" t="n">
        <f aca="false">IF($AT173=1,$P173+(1000-ROW())/1000000,0)</f>
        <v>0</v>
      </c>
    </row>
    <row r="174" customFormat="false" ht="15" hidden="false" customHeight="false" outlineLevel="0" collapsed="false">
      <c r="AT174" s="26" t="n">
        <f aca="false">IF($D174="",0,IF(OR(StratFilter="All Loans",$E174=StratFilter),1,0))</f>
        <v>0</v>
      </c>
      <c r="AU174" s="18" t="str">
        <f aca="false">IF($D174="","",IFERROR(VLOOKUP(TRIM($K174),PropTypeMap,2,FALSE()),"Unmapped"))</f>
        <v/>
      </c>
      <c r="AV174" s="21" t="str">
        <f aca="false">IF($D174="","",IFERROR(VLOOKUP($J174,RegionMap,2,FALSE()),"Unmapped"))</f>
        <v/>
      </c>
      <c r="AW174" s="21" t="str">
        <f aca="false">IF($D174="","",IF($AC174="SOFR","Floating (SOFR)","Fixed / All-In"))</f>
        <v/>
      </c>
      <c r="AX174" s="24" t="str">
        <f aca="false">IF($D174="","",$AD174+SOFR)</f>
        <v/>
      </c>
      <c r="AY174" s="21" t="str">
        <f aca="false">IF($D174="","",IF($AF174="Waived","Waived",IF(ISNUMBER($AF174),IF($AF174&gt;AsOfDate,"In Place","Expired"),"None Reported")))</f>
        <v/>
      </c>
      <c r="AZ174" s="21" t="str">
        <f aca="false">IF($D174="","",IF(ISNUMBER($AG174),IF($AG174=0,"None",$AG174&amp;" Months"),IF($AG174="","None Reported",$AG174)))</f>
        <v/>
      </c>
      <c r="BA174" s="18" t="str">
        <f aca="false">IF($D174="","",IF($AK174="","Unlevered",$AK174))</f>
        <v/>
      </c>
      <c r="BB174" s="22" t="str">
        <f aca="false">IF($D174="","",SUM($AL174,$AO174))</f>
        <v/>
      </c>
      <c r="BC174" s="23" t="str">
        <f aca="false">IF($D174="","",IF($P174&gt;0,$BB174/$P174,0))</f>
        <v/>
      </c>
      <c r="BD174" s="25" t="str">
        <f aca="false">IF($D174="","",(AsOfDate-$AH174)/DaysPerMonth)</f>
        <v/>
      </c>
      <c r="BE174" s="25" t="str">
        <f aca="false">IF($D174="","",($AI174-AsOfDate)/DaysPerMonth)</f>
        <v/>
      </c>
      <c r="BF174" s="25" t="str">
        <f aca="false">IF($D174="","",($AJ174-AsOfDate)/DaysPerMonth)</f>
        <v/>
      </c>
      <c r="BG174" s="25" t="str">
        <f aca="false">IF($D174="","",MAX(0,$BE174))</f>
        <v/>
      </c>
      <c r="BH174" s="25" t="str">
        <f aca="false">IF($D174="","",MAX(0,$BF174))</f>
        <v/>
      </c>
      <c r="BI174" s="67" t="str">
        <f aca="false">IF($D174="","",YEAR($AI174))</f>
        <v/>
      </c>
      <c r="BJ174" s="67" t="str">
        <f aca="false">IF($D174="","",YEAR($AJ174))</f>
        <v/>
      </c>
      <c r="BK174" s="67" t="str">
        <f aca="false">IF($D174="","",YEAR($AH174))</f>
        <v/>
      </c>
      <c r="BM174" s="26" t="n">
        <f aca="false">IF($AT174=1,$P174+(1000-ROW())/1000000,0)</f>
        <v>0</v>
      </c>
    </row>
    <row r="175" customFormat="false" ht="15" hidden="false" customHeight="false" outlineLevel="0" collapsed="false">
      <c r="AT175" s="26" t="n">
        <f aca="false">IF($D175="",0,IF(OR(StratFilter="All Loans",$E175=StratFilter),1,0))</f>
        <v>0</v>
      </c>
      <c r="AU175" s="18" t="str">
        <f aca="false">IF($D175="","",IFERROR(VLOOKUP(TRIM($K175),PropTypeMap,2,FALSE()),"Unmapped"))</f>
        <v/>
      </c>
      <c r="AV175" s="21" t="str">
        <f aca="false">IF($D175="","",IFERROR(VLOOKUP($J175,RegionMap,2,FALSE()),"Unmapped"))</f>
        <v/>
      </c>
      <c r="AW175" s="21" t="str">
        <f aca="false">IF($D175="","",IF($AC175="SOFR","Floating (SOFR)","Fixed / All-In"))</f>
        <v/>
      </c>
      <c r="AX175" s="24" t="str">
        <f aca="false">IF($D175="","",$AD175+SOFR)</f>
        <v/>
      </c>
      <c r="AY175" s="21" t="str">
        <f aca="false">IF($D175="","",IF($AF175="Waived","Waived",IF(ISNUMBER($AF175),IF($AF175&gt;AsOfDate,"In Place","Expired"),"None Reported")))</f>
        <v/>
      </c>
      <c r="AZ175" s="21" t="str">
        <f aca="false">IF($D175="","",IF(ISNUMBER($AG175),IF($AG175=0,"None",$AG175&amp;" Months"),IF($AG175="","None Reported",$AG175)))</f>
        <v/>
      </c>
      <c r="BA175" s="18" t="str">
        <f aca="false">IF($D175="","",IF($AK175="","Unlevered",$AK175))</f>
        <v/>
      </c>
      <c r="BB175" s="22" t="str">
        <f aca="false">IF($D175="","",SUM($AL175,$AO175))</f>
        <v/>
      </c>
      <c r="BC175" s="23" t="str">
        <f aca="false">IF($D175="","",IF($P175&gt;0,$BB175/$P175,0))</f>
        <v/>
      </c>
      <c r="BD175" s="25" t="str">
        <f aca="false">IF($D175="","",(AsOfDate-$AH175)/DaysPerMonth)</f>
        <v/>
      </c>
      <c r="BE175" s="25" t="str">
        <f aca="false">IF($D175="","",($AI175-AsOfDate)/DaysPerMonth)</f>
        <v/>
      </c>
      <c r="BF175" s="25" t="str">
        <f aca="false">IF($D175="","",($AJ175-AsOfDate)/DaysPerMonth)</f>
        <v/>
      </c>
      <c r="BG175" s="25" t="str">
        <f aca="false">IF($D175="","",MAX(0,$BE175))</f>
        <v/>
      </c>
      <c r="BH175" s="25" t="str">
        <f aca="false">IF($D175="","",MAX(0,$BF175))</f>
        <v/>
      </c>
      <c r="BI175" s="67" t="str">
        <f aca="false">IF($D175="","",YEAR($AI175))</f>
        <v/>
      </c>
      <c r="BJ175" s="67" t="str">
        <f aca="false">IF($D175="","",YEAR($AJ175))</f>
        <v/>
      </c>
      <c r="BK175" s="67" t="str">
        <f aca="false">IF($D175="","",YEAR($AH175))</f>
        <v/>
      </c>
      <c r="BM175" s="26" t="n">
        <f aca="false">IF($AT175=1,$P175+(1000-ROW())/1000000,0)</f>
        <v>0</v>
      </c>
    </row>
    <row r="176" customFormat="false" ht="15" hidden="false" customHeight="false" outlineLevel="0" collapsed="false">
      <c r="AT176" s="26" t="n">
        <f aca="false">IF($D176="",0,IF(OR(StratFilter="All Loans",$E176=StratFilter),1,0))</f>
        <v>0</v>
      </c>
      <c r="AU176" s="18" t="str">
        <f aca="false">IF($D176="","",IFERROR(VLOOKUP(TRIM($K176),PropTypeMap,2,FALSE()),"Unmapped"))</f>
        <v/>
      </c>
      <c r="AV176" s="21" t="str">
        <f aca="false">IF($D176="","",IFERROR(VLOOKUP($J176,RegionMap,2,FALSE()),"Unmapped"))</f>
        <v/>
      </c>
      <c r="AW176" s="21" t="str">
        <f aca="false">IF($D176="","",IF($AC176="SOFR","Floating (SOFR)","Fixed / All-In"))</f>
        <v/>
      </c>
      <c r="AX176" s="24" t="str">
        <f aca="false">IF($D176="","",$AD176+SOFR)</f>
        <v/>
      </c>
      <c r="AY176" s="21" t="str">
        <f aca="false">IF($D176="","",IF($AF176="Waived","Waived",IF(ISNUMBER($AF176),IF($AF176&gt;AsOfDate,"In Place","Expired"),"None Reported")))</f>
        <v/>
      </c>
      <c r="AZ176" s="21" t="str">
        <f aca="false">IF($D176="","",IF(ISNUMBER($AG176),IF($AG176=0,"None",$AG176&amp;" Months"),IF($AG176="","None Reported",$AG176)))</f>
        <v/>
      </c>
      <c r="BA176" s="18" t="str">
        <f aca="false">IF($D176="","",IF($AK176="","Unlevered",$AK176))</f>
        <v/>
      </c>
      <c r="BB176" s="22" t="str">
        <f aca="false">IF($D176="","",SUM($AL176,$AO176))</f>
        <v/>
      </c>
      <c r="BC176" s="23" t="str">
        <f aca="false">IF($D176="","",IF($P176&gt;0,$BB176/$P176,0))</f>
        <v/>
      </c>
      <c r="BD176" s="25" t="str">
        <f aca="false">IF($D176="","",(AsOfDate-$AH176)/DaysPerMonth)</f>
        <v/>
      </c>
      <c r="BE176" s="25" t="str">
        <f aca="false">IF($D176="","",($AI176-AsOfDate)/DaysPerMonth)</f>
        <v/>
      </c>
      <c r="BF176" s="25" t="str">
        <f aca="false">IF($D176="","",($AJ176-AsOfDate)/DaysPerMonth)</f>
        <v/>
      </c>
      <c r="BG176" s="25" t="str">
        <f aca="false">IF($D176="","",MAX(0,$BE176))</f>
        <v/>
      </c>
      <c r="BH176" s="25" t="str">
        <f aca="false">IF($D176="","",MAX(0,$BF176))</f>
        <v/>
      </c>
      <c r="BI176" s="67" t="str">
        <f aca="false">IF($D176="","",YEAR($AI176))</f>
        <v/>
      </c>
      <c r="BJ176" s="67" t="str">
        <f aca="false">IF($D176="","",YEAR($AJ176))</f>
        <v/>
      </c>
      <c r="BK176" s="67" t="str">
        <f aca="false">IF($D176="","",YEAR($AH176))</f>
        <v/>
      </c>
      <c r="BM176" s="26" t="n">
        <f aca="false">IF($AT176=1,$P176+(1000-ROW())/1000000,0)</f>
        <v>0</v>
      </c>
    </row>
    <row r="177" customFormat="false" ht="15" hidden="false" customHeight="false" outlineLevel="0" collapsed="false">
      <c r="AT177" s="26" t="n">
        <f aca="false">IF($D177="",0,IF(OR(StratFilter="All Loans",$E177=StratFilter),1,0))</f>
        <v>0</v>
      </c>
      <c r="AU177" s="18" t="str">
        <f aca="false">IF($D177="","",IFERROR(VLOOKUP(TRIM($K177),PropTypeMap,2,FALSE()),"Unmapped"))</f>
        <v/>
      </c>
      <c r="AV177" s="21" t="str">
        <f aca="false">IF($D177="","",IFERROR(VLOOKUP($J177,RegionMap,2,FALSE()),"Unmapped"))</f>
        <v/>
      </c>
      <c r="AW177" s="21" t="str">
        <f aca="false">IF($D177="","",IF($AC177="SOFR","Floating (SOFR)","Fixed / All-In"))</f>
        <v/>
      </c>
      <c r="AX177" s="24" t="str">
        <f aca="false">IF($D177="","",$AD177+SOFR)</f>
        <v/>
      </c>
      <c r="AY177" s="21" t="str">
        <f aca="false">IF($D177="","",IF($AF177="Waived","Waived",IF(ISNUMBER($AF177),IF($AF177&gt;AsOfDate,"In Place","Expired"),"None Reported")))</f>
        <v/>
      </c>
      <c r="AZ177" s="21" t="str">
        <f aca="false">IF($D177="","",IF(ISNUMBER($AG177),IF($AG177=0,"None",$AG177&amp;" Months"),IF($AG177="","None Reported",$AG177)))</f>
        <v/>
      </c>
      <c r="BA177" s="18" t="str">
        <f aca="false">IF($D177="","",IF($AK177="","Unlevered",$AK177))</f>
        <v/>
      </c>
      <c r="BB177" s="22" t="str">
        <f aca="false">IF($D177="","",SUM($AL177,$AO177))</f>
        <v/>
      </c>
      <c r="BC177" s="23" t="str">
        <f aca="false">IF($D177="","",IF($P177&gt;0,$BB177/$P177,0))</f>
        <v/>
      </c>
      <c r="BD177" s="25" t="str">
        <f aca="false">IF($D177="","",(AsOfDate-$AH177)/DaysPerMonth)</f>
        <v/>
      </c>
      <c r="BE177" s="25" t="str">
        <f aca="false">IF($D177="","",($AI177-AsOfDate)/DaysPerMonth)</f>
        <v/>
      </c>
      <c r="BF177" s="25" t="str">
        <f aca="false">IF($D177="","",($AJ177-AsOfDate)/DaysPerMonth)</f>
        <v/>
      </c>
      <c r="BG177" s="25" t="str">
        <f aca="false">IF($D177="","",MAX(0,$BE177))</f>
        <v/>
      </c>
      <c r="BH177" s="25" t="str">
        <f aca="false">IF($D177="","",MAX(0,$BF177))</f>
        <v/>
      </c>
      <c r="BI177" s="67" t="str">
        <f aca="false">IF($D177="","",YEAR($AI177))</f>
        <v/>
      </c>
      <c r="BJ177" s="67" t="str">
        <f aca="false">IF($D177="","",YEAR($AJ177))</f>
        <v/>
      </c>
      <c r="BK177" s="67" t="str">
        <f aca="false">IF($D177="","",YEAR($AH177))</f>
        <v/>
      </c>
      <c r="BM177" s="26" t="n">
        <f aca="false">IF($AT177=1,$P177+(1000-ROW())/1000000,0)</f>
        <v>0</v>
      </c>
    </row>
    <row r="178" customFormat="false" ht="15" hidden="false" customHeight="false" outlineLevel="0" collapsed="false">
      <c r="AT178" s="26" t="n">
        <f aca="false">IF($D178="",0,IF(OR(StratFilter="All Loans",$E178=StratFilter),1,0))</f>
        <v>0</v>
      </c>
      <c r="AU178" s="18" t="str">
        <f aca="false">IF($D178="","",IFERROR(VLOOKUP(TRIM($K178),PropTypeMap,2,FALSE()),"Unmapped"))</f>
        <v/>
      </c>
      <c r="AV178" s="21" t="str">
        <f aca="false">IF($D178="","",IFERROR(VLOOKUP($J178,RegionMap,2,FALSE()),"Unmapped"))</f>
        <v/>
      </c>
      <c r="AW178" s="21" t="str">
        <f aca="false">IF($D178="","",IF($AC178="SOFR","Floating (SOFR)","Fixed / All-In"))</f>
        <v/>
      </c>
      <c r="AX178" s="24" t="str">
        <f aca="false">IF($D178="","",$AD178+SOFR)</f>
        <v/>
      </c>
      <c r="AY178" s="21" t="str">
        <f aca="false">IF($D178="","",IF($AF178="Waived","Waived",IF(ISNUMBER($AF178),IF($AF178&gt;AsOfDate,"In Place","Expired"),"None Reported")))</f>
        <v/>
      </c>
      <c r="AZ178" s="21" t="str">
        <f aca="false">IF($D178="","",IF(ISNUMBER($AG178),IF($AG178=0,"None",$AG178&amp;" Months"),IF($AG178="","None Reported",$AG178)))</f>
        <v/>
      </c>
      <c r="BA178" s="18" t="str">
        <f aca="false">IF($D178="","",IF($AK178="","Unlevered",$AK178))</f>
        <v/>
      </c>
      <c r="BB178" s="22" t="str">
        <f aca="false">IF($D178="","",SUM($AL178,$AO178))</f>
        <v/>
      </c>
      <c r="BC178" s="23" t="str">
        <f aca="false">IF($D178="","",IF($P178&gt;0,$BB178/$P178,0))</f>
        <v/>
      </c>
      <c r="BD178" s="25" t="str">
        <f aca="false">IF($D178="","",(AsOfDate-$AH178)/DaysPerMonth)</f>
        <v/>
      </c>
      <c r="BE178" s="25" t="str">
        <f aca="false">IF($D178="","",($AI178-AsOfDate)/DaysPerMonth)</f>
        <v/>
      </c>
      <c r="BF178" s="25" t="str">
        <f aca="false">IF($D178="","",($AJ178-AsOfDate)/DaysPerMonth)</f>
        <v/>
      </c>
      <c r="BG178" s="25" t="str">
        <f aca="false">IF($D178="","",MAX(0,$BE178))</f>
        <v/>
      </c>
      <c r="BH178" s="25" t="str">
        <f aca="false">IF($D178="","",MAX(0,$BF178))</f>
        <v/>
      </c>
      <c r="BI178" s="67" t="str">
        <f aca="false">IF($D178="","",YEAR($AI178))</f>
        <v/>
      </c>
      <c r="BJ178" s="67" t="str">
        <f aca="false">IF($D178="","",YEAR($AJ178))</f>
        <v/>
      </c>
      <c r="BK178" s="67" t="str">
        <f aca="false">IF($D178="","",YEAR($AH178))</f>
        <v/>
      </c>
      <c r="BM178" s="26" t="n">
        <f aca="false">IF($AT178=1,$P178+(1000-ROW())/1000000,0)</f>
        <v>0</v>
      </c>
    </row>
    <row r="179" customFormat="false" ht="15" hidden="false" customHeight="false" outlineLevel="0" collapsed="false">
      <c r="AT179" s="26" t="n">
        <f aca="false">IF($D179="",0,IF(OR(StratFilter="All Loans",$E179=StratFilter),1,0))</f>
        <v>0</v>
      </c>
      <c r="AU179" s="18" t="str">
        <f aca="false">IF($D179="","",IFERROR(VLOOKUP(TRIM($K179),PropTypeMap,2,FALSE()),"Unmapped"))</f>
        <v/>
      </c>
      <c r="AV179" s="21" t="str">
        <f aca="false">IF($D179="","",IFERROR(VLOOKUP($J179,RegionMap,2,FALSE()),"Unmapped"))</f>
        <v/>
      </c>
      <c r="AW179" s="21" t="str">
        <f aca="false">IF($D179="","",IF($AC179="SOFR","Floating (SOFR)","Fixed / All-In"))</f>
        <v/>
      </c>
      <c r="AX179" s="24" t="str">
        <f aca="false">IF($D179="","",$AD179+SOFR)</f>
        <v/>
      </c>
      <c r="AY179" s="21" t="str">
        <f aca="false">IF($D179="","",IF($AF179="Waived","Waived",IF(ISNUMBER($AF179),IF($AF179&gt;AsOfDate,"In Place","Expired"),"None Reported")))</f>
        <v/>
      </c>
      <c r="AZ179" s="21" t="str">
        <f aca="false">IF($D179="","",IF(ISNUMBER($AG179),IF($AG179=0,"None",$AG179&amp;" Months"),IF($AG179="","None Reported",$AG179)))</f>
        <v/>
      </c>
      <c r="BA179" s="18" t="str">
        <f aca="false">IF($D179="","",IF($AK179="","Unlevered",$AK179))</f>
        <v/>
      </c>
      <c r="BB179" s="22" t="str">
        <f aca="false">IF($D179="","",SUM($AL179,$AO179))</f>
        <v/>
      </c>
      <c r="BC179" s="23" t="str">
        <f aca="false">IF($D179="","",IF($P179&gt;0,$BB179/$P179,0))</f>
        <v/>
      </c>
      <c r="BD179" s="25" t="str">
        <f aca="false">IF($D179="","",(AsOfDate-$AH179)/DaysPerMonth)</f>
        <v/>
      </c>
      <c r="BE179" s="25" t="str">
        <f aca="false">IF($D179="","",($AI179-AsOfDate)/DaysPerMonth)</f>
        <v/>
      </c>
      <c r="BF179" s="25" t="str">
        <f aca="false">IF($D179="","",($AJ179-AsOfDate)/DaysPerMonth)</f>
        <v/>
      </c>
      <c r="BG179" s="25" t="str">
        <f aca="false">IF($D179="","",MAX(0,$BE179))</f>
        <v/>
      </c>
      <c r="BH179" s="25" t="str">
        <f aca="false">IF($D179="","",MAX(0,$BF179))</f>
        <v/>
      </c>
      <c r="BI179" s="67" t="str">
        <f aca="false">IF($D179="","",YEAR($AI179))</f>
        <v/>
      </c>
      <c r="BJ179" s="67" t="str">
        <f aca="false">IF($D179="","",YEAR($AJ179))</f>
        <v/>
      </c>
      <c r="BK179" s="67" t="str">
        <f aca="false">IF($D179="","",YEAR($AH179))</f>
        <v/>
      </c>
      <c r="BM179" s="26" t="n">
        <f aca="false">IF($AT179=1,$P179+(1000-ROW())/1000000,0)</f>
        <v>0</v>
      </c>
    </row>
    <row r="180" customFormat="false" ht="15" hidden="false" customHeight="false" outlineLevel="0" collapsed="false">
      <c r="AT180" s="26" t="n">
        <f aca="false">IF($D180="",0,IF(OR(StratFilter="All Loans",$E180=StratFilter),1,0))</f>
        <v>0</v>
      </c>
      <c r="AU180" s="18" t="str">
        <f aca="false">IF($D180="","",IFERROR(VLOOKUP(TRIM($K180),PropTypeMap,2,FALSE()),"Unmapped"))</f>
        <v/>
      </c>
      <c r="AV180" s="21" t="str">
        <f aca="false">IF($D180="","",IFERROR(VLOOKUP($J180,RegionMap,2,FALSE()),"Unmapped"))</f>
        <v/>
      </c>
      <c r="AW180" s="21" t="str">
        <f aca="false">IF($D180="","",IF($AC180="SOFR","Floating (SOFR)","Fixed / All-In"))</f>
        <v/>
      </c>
      <c r="AX180" s="24" t="str">
        <f aca="false">IF($D180="","",$AD180+SOFR)</f>
        <v/>
      </c>
      <c r="AY180" s="21" t="str">
        <f aca="false">IF($D180="","",IF($AF180="Waived","Waived",IF(ISNUMBER($AF180),IF($AF180&gt;AsOfDate,"In Place","Expired"),"None Reported")))</f>
        <v/>
      </c>
      <c r="AZ180" s="21" t="str">
        <f aca="false">IF($D180="","",IF(ISNUMBER($AG180),IF($AG180=0,"None",$AG180&amp;" Months"),IF($AG180="","None Reported",$AG180)))</f>
        <v/>
      </c>
      <c r="BA180" s="18" t="str">
        <f aca="false">IF($D180="","",IF($AK180="","Unlevered",$AK180))</f>
        <v/>
      </c>
      <c r="BB180" s="22" t="str">
        <f aca="false">IF($D180="","",SUM($AL180,$AO180))</f>
        <v/>
      </c>
      <c r="BC180" s="23" t="str">
        <f aca="false">IF($D180="","",IF($P180&gt;0,$BB180/$P180,0))</f>
        <v/>
      </c>
      <c r="BD180" s="25" t="str">
        <f aca="false">IF($D180="","",(AsOfDate-$AH180)/DaysPerMonth)</f>
        <v/>
      </c>
      <c r="BE180" s="25" t="str">
        <f aca="false">IF($D180="","",($AI180-AsOfDate)/DaysPerMonth)</f>
        <v/>
      </c>
      <c r="BF180" s="25" t="str">
        <f aca="false">IF($D180="","",($AJ180-AsOfDate)/DaysPerMonth)</f>
        <v/>
      </c>
      <c r="BG180" s="25" t="str">
        <f aca="false">IF($D180="","",MAX(0,$BE180))</f>
        <v/>
      </c>
      <c r="BH180" s="25" t="str">
        <f aca="false">IF($D180="","",MAX(0,$BF180))</f>
        <v/>
      </c>
      <c r="BI180" s="67" t="str">
        <f aca="false">IF($D180="","",YEAR($AI180))</f>
        <v/>
      </c>
      <c r="BJ180" s="67" t="str">
        <f aca="false">IF($D180="","",YEAR($AJ180))</f>
        <v/>
      </c>
      <c r="BK180" s="67" t="str">
        <f aca="false">IF($D180="","",YEAR($AH180))</f>
        <v/>
      </c>
      <c r="BM180" s="26" t="n">
        <f aca="false">IF($AT180=1,$P180+(1000-ROW())/1000000,0)</f>
        <v>0</v>
      </c>
    </row>
    <row r="181" customFormat="false" ht="15" hidden="false" customHeight="false" outlineLevel="0" collapsed="false">
      <c r="AT181" s="26" t="n">
        <f aca="false">IF($D181="",0,IF(OR(StratFilter="All Loans",$E181=StratFilter),1,0))</f>
        <v>0</v>
      </c>
      <c r="AU181" s="18" t="str">
        <f aca="false">IF($D181="","",IFERROR(VLOOKUP(TRIM($K181),PropTypeMap,2,FALSE()),"Unmapped"))</f>
        <v/>
      </c>
      <c r="AV181" s="21" t="str">
        <f aca="false">IF($D181="","",IFERROR(VLOOKUP($J181,RegionMap,2,FALSE()),"Unmapped"))</f>
        <v/>
      </c>
      <c r="AW181" s="21" t="str">
        <f aca="false">IF($D181="","",IF($AC181="SOFR","Floating (SOFR)","Fixed / All-In"))</f>
        <v/>
      </c>
      <c r="AX181" s="24" t="str">
        <f aca="false">IF($D181="","",$AD181+SOFR)</f>
        <v/>
      </c>
      <c r="AY181" s="21" t="str">
        <f aca="false">IF($D181="","",IF($AF181="Waived","Waived",IF(ISNUMBER($AF181),IF($AF181&gt;AsOfDate,"In Place","Expired"),"None Reported")))</f>
        <v/>
      </c>
      <c r="AZ181" s="21" t="str">
        <f aca="false">IF($D181="","",IF(ISNUMBER($AG181),IF($AG181=0,"None",$AG181&amp;" Months"),IF($AG181="","None Reported",$AG181)))</f>
        <v/>
      </c>
      <c r="BA181" s="18" t="str">
        <f aca="false">IF($D181="","",IF($AK181="","Unlevered",$AK181))</f>
        <v/>
      </c>
      <c r="BB181" s="22" t="str">
        <f aca="false">IF($D181="","",SUM($AL181,$AO181))</f>
        <v/>
      </c>
      <c r="BC181" s="23" t="str">
        <f aca="false">IF($D181="","",IF($P181&gt;0,$BB181/$P181,0))</f>
        <v/>
      </c>
      <c r="BD181" s="25" t="str">
        <f aca="false">IF($D181="","",(AsOfDate-$AH181)/DaysPerMonth)</f>
        <v/>
      </c>
      <c r="BE181" s="25" t="str">
        <f aca="false">IF($D181="","",($AI181-AsOfDate)/DaysPerMonth)</f>
        <v/>
      </c>
      <c r="BF181" s="25" t="str">
        <f aca="false">IF($D181="","",($AJ181-AsOfDate)/DaysPerMonth)</f>
        <v/>
      </c>
      <c r="BG181" s="25" t="str">
        <f aca="false">IF($D181="","",MAX(0,$BE181))</f>
        <v/>
      </c>
      <c r="BH181" s="25" t="str">
        <f aca="false">IF($D181="","",MAX(0,$BF181))</f>
        <v/>
      </c>
      <c r="BI181" s="67" t="str">
        <f aca="false">IF($D181="","",YEAR($AI181))</f>
        <v/>
      </c>
      <c r="BJ181" s="67" t="str">
        <f aca="false">IF($D181="","",YEAR($AJ181))</f>
        <v/>
      </c>
      <c r="BK181" s="67" t="str">
        <f aca="false">IF($D181="","",YEAR($AH181))</f>
        <v/>
      </c>
      <c r="BM181" s="26" t="n">
        <f aca="false">IF($AT181=1,$P181+(1000-ROW())/1000000,0)</f>
        <v>0</v>
      </c>
    </row>
    <row r="182" customFormat="false" ht="15" hidden="false" customHeight="false" outlineLevel="0" collapsed="false">
      <c r="AT182" s="26" t="n">
        <f aca="false">IF($D182="",0,IF(OR(StratFilter="All Loans",$E182=StratFilter),1,0))</f>
        <v>0</v>
      </c>
      <c r="AU182" s="18" t="str">
        <f aca="false">IF($D182="","",IFERROR(VLOOKUP(TRIM($K182),PropTypeMap,2,FALSE()),"Unmapped"))</f>
        <v/>
      </c>
      <c r="AV182" s="21" t="str">
        <f aca="false">IF($D182="","",IFERROR(VLOOKUP($J182,RegionMap,2,FALSE()),"Unmapped"))</f>
        <v/>
      </c>
      <c r="AW182" s="21" t="str">
        <f aca="false">IF($D182="","",IF($AC182="SOFR","Floating (SOFR)","Fixed / All-In"))</f>
        <v/>
      </c>
      <c r="AX182" s="24" t="str">
        <f aca="false">IF($D182="","",$AD182+SOFR)</f>
        <v/>
      </c>
      <c r="AY182" s="21" t="str">
        <f aca="false">IF($D182="","",IF($AF182="Waived","Waived",IF(ISNUMBER($AF182),IF($AF182&gt;AsOfDate,"In Place","Expired"),"None Reported")))</f>
        <v/>
      </c>
      <c r="AZ182" s="21" t="str">
        <f aca="false">IF($D182="","",IF(ISNUMBER($AG182),IF($AG182=0,"None",$AG182&amp;" Months"),IF($AG182="","None Reported",$AG182)))</f>
        <v/>
      </c>
      <c r="BA182" s="18" t="str">
        <f aca="false">IF($D182="","",IF($AK182="","Unlevered",$AK182))</f>
        <v/>
      </c>
      <c r="BB182" s="22" t="str">
        <f aca="false">IF($D182="","",SUM($AL182,$AO182))</f>
        <v/>
      </c>
      <c r="BC182" s="23" t="str">
        <f aca="false">IF($D182="","",IF($P182&gt;0,$BB182/$P182,0))</f>
        <v/>
      </c>
      <c r="BD182" s="25" t="str">
        <f aca="false">IF($D182="","",(AsOfDate-$AH182)/DaysPerMonth)</f>
        <v/>
      </c>
      <c r="BE182" s="25" t="str">
        <f aca="false">IF($D182="","",($AI182-AsOfDate)/DaysPerMonth)</f>
        <v/>
      </c>
      <c r="BF182" s="25" t="str">
        <f aca="false">IF($D182="","",($AJ182-AsOfDate)/DaysPerMonth)</f>
        <v/>
      </c>
      <c r="BG182" s="25" t="str">
        <f aca="false">IF($D182="","",MAX(0,$BE182))</f>
        <v/>
      </c>
      <c r="BH182" s="25" t="str">
        <f aca="false">IF($D182="","",MAX(0,$BF182))</f>
        <v/>
      </c>
      <c r="BI182" s="67" t="str">
        <f aca="false">IF($D182="","",YEAR($AI182))</f>
        <v/>
      </c>
      <c r="BJ182" s="67" t="str">
        <f aca="false">IF($D182="","",YEAR($AJ182))</f>
        <v/>
      </c>
      <c r="BK182" s="67" t="str">
        <f aca="false">IF($D182="","",YEAR($AH182))</f>
        <v/>
      </c>
      <c r="BM182" s="26" t="n">
        <f aca="false">IF($AT182=1,$P182+(1000-ROW())/1000000,0)</f>
        <v>0</v>
      </c>
    </row>
    <row r="183" customFormat="false" ht="15" hidden="false" customHeight="false" outlineLevel="0" collapsed="false">
      <c r="AT183" s="26" t="n">
        <f aca="false">IF($D183="",0,IF(OR(StratFilter="All Loans",$E183=StratFilter),1,0))</f>
        <v>0</v>
      </c>
      <c r="AU183" s="18" t="str">
        <f aca="false">IF($D183="","",IFERROR(VLOOKUP(TRIM($K183),PropTypeMap,2,FALSE()),"Unmapped"))</f>
        <v/>
      </c>
      <c r="AV183" s="21" t="str">
        <f aca="false">IF($D183="","",IFERROR(VLOOKUP($J183,RegionMap,2,FALSE()),"Unmapped"))</f>
        <v/>
      </c>
      <c r="AW183" s="21" t="str">
        <f aca="false">IF($D183="","",IF($AC183="SOFR","Floating (SOFR)","Fixed / All-In"))</f>
        <v/>
      </c>
      <c r="AX183" s="24" t="str">
        <f aca="false">IF($D183="","",$AD183+SOFR)</f>
        <v/>
      </c>
      <c r="AY183" s="21" t="str">
        <f aca="false">IF($D183="","",IF($AF183="Waived","Waived",IF(ISNUMBER($AF183),IF($AF183&gt;AsOfDate,"In Place","Expired"),"None Reported")))</f>
        <v/>
      </c>
      <c r="AZ183" s="21" t="str">
        <f aca="false">IF($D183="","",IF(ISNUMBER($AG183),IF($AG183=0,"None",$AG183&amp;" Months"),IF($AG183="","None Reported",$AG183)))</f>
        <v/>
      </c>
      <c r="BA183" s="18" t="str">
        <f aca="false">IF($D183="","",IF($AK183="","Unlevered",$AK183))</f>
        <v/>
      </c>
      <c r="BB183" s="22" t="str">
        <f aca="false">IF($D183="","",SUM($AL183,$AO183))</f>
        <v/>
      </c>
      <c r="BC183" s="23" t="str">
        <f aca="false">IF($D183="","",IF($P183&gt;0,$BB183/$P183,0))</f>
        <v/>
      </c>
      <c r="BD183" s="25" t="str">
        <f aca="false">IF($D183="","",(AsOfDate-$AH183)/DaysPerMonth)</f>
        <v/>
      </c>
      <c r="BE183" s="25" t="str">
        <f aca="false">IF($D183="","",($AI183-AsOfDate)/DaysPerMonth)</f>
        <v/>
      </c>
      <c r="BF183" s="25" t="str">
        <f aca="false">IF($D183="","",($AJ183-AsOfDate)/DaysPerMonth)</f>
        <v/>
      </c>
      <c r="BG183" s="25" t="str">
        <f aca="false">IF($D183="","",MAX(0,$BE183))</f>
        <v/>
      </c>
      <c r="BH183" s="25" t="str">
        <f aca="false">IF($D183="","",MAX(0,$BF183))</f>
        <v/>
      </c>
      <c r="BI183" s="67" t="str">
        <f aca="false">IF($D183="","",YEAR($AI183))</f>
        <v/>
      </c>
      <c r="BJ183" s="67" t="str">
        <f aca="false">IF($D183="","",YEAR($AJ183))</f>
        <v/>
      </c>
      <c r="BK183" s="67" t="str">
        <f aca="false">IF($D183="","",YEAR($AH183))</f>
        <v/>
      </c>
      <c r="BM183" s="26" t="n">
        <f aca="false">IF($AT183=1,$P183+(1000-ROW())/1000000,0)</f>
        <v>0</v>
      </c>
    </row>
    <row r="184" customFormat="false" ht="15" hidden="false" customHeight="false" outlineLevel="0" collapsed="false">
      <c r="AT184" s="26" t="n">
        <f aca="false">IF($D184="",0,IF(OR(StratFilter="All Loans",$E184=StratFilter),1,0))</f>
        <v>0</v>
      </c>
      <c r="AU184" s="18" t="str">
        <f aca="false">IF($D184="","",IFERROR(VLOOKUP(TRIM($K184),PropTypeMap,2,FALSE()),"Unmapped"))</f>
        <v/>
      </c>
      <c r="AV184" s="21" t="str">
        <f aca="false">IF($D184="","",IFERROR(VLOOKUP($J184,RegionMap,2,FALSE()),"Unmapped"))</f>
        <v/>
      </c>
      <c r="AW184" s="21" t="str">
        <f aca="false">IF($D184="","",IF($AC184="SOFR","Floating (SOFR)","Fixed / All-In"))</f>
        <v/>
      </c>
      <c r="AX184" s="24" t="str">
        <f aca="false">IF($D184="","",$AD184+SOFR)</f>
        <v/>
      </c>
      <c r="AY184" s="21" t="str">
        <f aca="false">IF($D184="","",IF($AF184="Waived","Waived",IF(ISNUMBER($AF184),IF($AF184&gt;AsOfDate,"In Place","Expired"),"None Reported")))</f>
        <v/>
      </c>
      <c r="AZ184" s="21" t="str">
        <f aca="false">IF($D184="","",IF(ISNUMBER($AG184),IF($AG184=0,"None",$AG184&amp;" Months"),IF($AG184="","None Reported",$AG184)))</f>
        <v/>
      </c>
      <c r="BA184" s="18" t="str">
        <f aca="false">IF($D184="","",IF($AK184="","Unlevered",$AK184))</f>
        <v/>
      </c>
      <c r="BB184" s="22" t="str">
        <f aca="false">IF($D184="","",SUM($AL184,$AO184))</f>
        <v/>
      </c>
      <c r="BC184" s="23" t="str">
        <f aca="false">IF($D184="","",IF($P184&gt;0,$BB184/$P184,0))</f>
        <v/>
      </c>
      <c r="BD184" s="25" t="str">
        <f aca="false">IF($D184="","",(AsOfDate-$AH184)/DaysPerMonth)</f>
        <v/>
      </c>
      <c r="BE184" s="25" t="str">
        <f aca="false">IF($D184="","",($AI184-AsOfDate)/DaysPerMonth)</f>
        <v/>
      </c>
      <c r="BF184" s="25" t="str">
        <f aca="false">IF($D184="","",($AJ184-AsOfDate)/DaysPerMonth)</f>
        <v/>
      </c>
      <c r="BG184" s="25" t="str">
        <f aca="false">IF($D184="","",MAX(0,$BE184))</f>
        <v/>
      </c>
      <c r="BH184" s="25" t="str">
        <f aca="false">IF($D184="","",MAX(0,$BF184))</f>
        <v/>
      </c>
      <c r="BI184" s="67" t="str">
        <f aca="false">IF($D184="","",YEAR($AI184))</f>
        <v/>
      </c>
      <c r="BJ184" s="67" t="str">
        <f aca="false">IF($D184="","",YEAR($AJ184))</f>
        <v/>
      </c>
      <c r="BK184" s="67" t="str">
        <f aca="false">IF($D184="","",YEAR($AH184))</f>
        <v/>
      </c>
      <c r="BM184" s="26" t="n">
        <f aca="false">IF($AT184=1,$P184+(1000-ROW())/1000000,0)</f>
        <v>0</v>
      </c>
    </row>
    <row r="185" customFormat="false" ht="15" hidden="false" customHeight="false" outlineLevel="0" collapsed="false">
      <c r="AT185" s="26" t="n">
        <f aca="false">IF($D185="",0,IF(OR(StratFilter="All Loans",$E185=StratFilter),1,0))</f>
        <v>0</v>
      </c>
      <c r="AU185" s="18" t="str">
        <f aca="false">IF($D185="","",IFERROR(VLOOKUP(TRIM($K185),PropTypeMap,2,FALSE()),"Unmapped"))</f>
        <v/>
      </c>
      <c r="AV185" s="21" t="str">
        <f aca="false">IF($D185="","",IFERROR(VLOOKUP($J185,RegionMap,2,FALSE()),"Unmapped"))</f>
        <v/>
      </c>
      <c r="AW185" s="21" t="str">
        <f aca="false">IF($D185="","",IF($AC185="SOFR","Floating (SOFR)","Fixed / All-In"))</f>
        <v/>
      </c>
      <c r="AX185" s="24" t="str">
        <f aca="false">IF($D185="","",$AD185+SOFR)</f>
        <v/>
      </c>
      <c r="AY185" s="21" t="str">
        <f aca="false">IF($D185="","",IF($AF185="Waived","Waived",IF(ISNUMBER($AF185),IF($AF185&gt;AsOfDate,"In Place","Expired"),"None Reported")))</f>
        <v/>
      </c>
      <c r="AZ185" s="21" t="str">
        <f aca="false">IF($D185="","",IF(ISNUMBER($AG185),IF($AG185=0,"None",$AG185&amp;" Months"),IF($AG185="","None Reported",$AG185)))</f>
        <v/>
      </c>
      <c r="BA185" s="18" t="str">
        <f aca="false">IF($D185="","",IF($AK185="","Unlevered",$AK185))</f>
        <v/>
      </c>
      <c r="BB185" s="22" t="str">
        <f aca="false">IF($D185="","",SUM($AL185,$AO185))</f>
        <v/>
      </c>
      <c r="BC185" s="23" t="str">
        <f aca="false">IF($D185="","",IF($P185&gt;0,$BB185/$P185,0))</f>
        <v/>
      </c>
      <c r="BD185" s="25" t="str">
        <f aca="false">IF($D185="","",(AsOfDate-$AH185)/DaysPerMonth)</f>
        <v/>
      </c>
      <c r="BE185" s="25" t="str">
        <f aca="false">IF($D185="","",($AI185-AsOfDate)/DaysPerMonth)</f>
        <v/>
      </c>
      <c r="BF185" s="25" t="str">
        <f aca="false">IF($D185="","",($AJ185-AsOfDate)/DaysPerMonth)</f>
        <v/>
      </c>
      <c r="BG185" s="25" t="str">
        <f aca="false">IF($D185="","",MAX(0,$BE185))</f>
        <v/>
      </c>
      <c r="BH185" s="25" t="str">
        <f aca="false">IF($D185="","",MAX(0,$BF185))</f>
        <v/>
      </c>
      <c r="BI185" s="67" t="str">
        <f aca="false">IF($D185="","",YEAR($AI185))</f>
        <v/>
      </c>
      <c r="BJ185" s="67" t="str">
        <f aca="false">IF($D185="","",YEAR($AJ185))</f>
        <v/>
      </c>
      <c r="BK185" s="67" t="str">
        <f aca="false">IF($D185="","",YEAR($AH185))</f>
        <v/>
      </c>
      <c r="BM185" s="26" t="n">
        <f aca="false">IF($AT185=1,$P185+(1000-ROW())/1000000,0)</f>
        <v>0</v>
      </c>
    </row>
    <row r="186" customFormat="false" ht="15" hidden="false" customHeight="false" outlineLevel="0" collapsed="false">
      <c r="AT186" s="26" t="n">
        <f aca="false">IF($D186="",0,IF(OR(StratFilter="All Loans",$E186=StratFilter),1,0))</f>
        <v>0</v>
      </c>
      <c r="AU186" s="18" t="str">
        <f aca="false">IF($D186="","",IFERROR(VLOOKUP(TRIM($K186),PropTypeMap,2,FALSE()),"Unmapped"))</f>
        <v/>
      </c>
      <c r="AV186" s="21" t="str">
        <f aca="false">IF($D186="","",IFERROR(VLOOKUP($J186,RegionMap,2,FALSE()),"Unmapped"))</f>
        <v/>
      </c>
      <c r="AW186" s="21" t="str">
        <f aca="false">IF($D186="","",IF($AC186="SOFR","Floating (SOFR)","Fixed / All-In"))</f>
        <v/>
      </c>
      <c r="AX186" s="24" t="str">
        <f aca="false">IF($D186="","",$AD186+SOFR)</f>
        <v/>
      </c>
      <c r="AY186" s="21" t="str">
        <f aca="false">IF($D186="","",IF($AF186="Waived","Waived",IF(ISNUMBER($AF186),IF($AF186&gt;AsOfDate,"In Place","Expired"),"None Reported")))</f>
        <v/>
      </c>
      <c r="AZ186" s="21" t="str">
        <f aca="false">IF($D186="","",IF(ISNUMBER($AG186),IF($AG186=0,"None",$AG186&amp;" Months"),IF($AG186="","None Reported",$AG186)))</f>
        <v/>
      </c>
      <c r="BA186" s="18" t="str">
        <f aca="false">IF($D186="","",IF($AK186="","Unlevered",$AK186))</f>
        <v/>
      </c>
      <c r="BB186" s="22" t="str">
        <f aca="false">IF($D186="","",SUM($AL186,$AO186))</f>
        <v/>
      </c>
      <c r="BC186" s="23" t="str">
        <f aca="false">IF($D186="","",IF($P186&gt;0,$BB186/$P186,0))</f>
        <v/>
      </c>
      <c r="BD186" s="25" t="str">
        <f aca="false">IF($D186="","",(AsOfDate-$AH186)/DaysPerMonth)</f>
        <v/>
      </c>
      <c r="BE186" s="25" t="str">
        <f aca="false">IF($D186="","",($AI186-AsOfDate)/DaysPerMonth)</f>
        <v/>
      </c>
      <c r="BF186" s="25" t="str">
        <f aca="false">IF($D186="","",($AJ186-AsOfDate)/DaysPerMonth)</f>
        <v/>
      </c>
      <c r="BG186" s="25" t="str">
        <f aca="false">IF($D186="","",MAX(0,$BE186))</f>
        <v/>
      </c>
      <c r="BH186" s="25" t="str">
        <f aca="false">IF($D186="","",MAX(0,$BF186))</f>
        <v/>
      </c>
      <c r="BI186" s="67" t="str">
        <f aca="false">IF($D186="","",YEAR($AI186))</f>
        <v/>
      </c>
      <c r="BJ186" s="67" t="str">
        <f aca="false">IF($D186="","",YEAR($AJ186))</f>
        <v/>
      </c>
      <c r="BK186" s="67" t="str">
        <f aca="false">IF($D186="","",YEAR($AH186))</f>
        <v/>
      </c>
      <c r="BM186" s="26" t="n">
        <f aca="false">IF($AT186=1,$P186+(1000-ROW())/1000000,0)</f>
        <v>0</v>
      </c>
    </row>
    <row r="187" customFormat="false" ht="15" hidden="false" customHeight="false" outlineLevel="0" collapsed="false">
      <c r="AT187" s="26" t="n">
        <f aca="false">IF($D187="",0,IF(OR(StratFilter="All Loans",$E187=StratFilter),1,0))</f>
        <v>0</v>
      </c>
      <c r="AU187" s="18" t="str">
        <f aca="false">IF($D187="","",IFERROR(VLOOKUP(TRIM($K187),PropTypeMap,2,FALSE()),"Unmapped"))</f>
        <v/>
      </c>
      <c r="AV187" s="21" t="str">
        <f aca="false">IF($D187="","",IFERROR(VLOOKUP($J187,RegionMap,2,FALSE()),"Unmapped"))</f>
        <v/>
      </c>
      <c r="AW187" s="21" t="str">
        <f aca="false">IF($D187="","",IF($AC187="SOFR","Floating (SOFR)","Fixed / All-In"))</f>
        <v/>
      </c>
      <c r="AX187" s="24" t="str">
        <f aca="false">IF($D187="","",$AD187+SOFR)</f>
        <v/>
      </c>
      <c r="AY187" s="21" t="str">
        <f aca="false">IF($D187="","",IF($AF187="Waived","Waived",IF(ISNUMBER($AF187),IF($AF187&gt;AsOfDate,"In Place","Expired"),"None Reported")))</f>
        <v/>
      </c>
      <c r="AZ187" s="21" t="str">
        <f aca="false">IF($D187="","",IF(ISNUMBER($AG187),IF($AG187=0,"None",$AG187&amp;" Months"),IF($AG187="","None Reported",$AG187)))</f>
        <v/>
      </c>
      <c r="BA187" s="18" t="str">
        <f aca="false">IF($D187="","",IF($AK187="","Unlevered",$AK187))</f>
        <v/>
      </c>
      <c r="BB187" s="22" t="str">
        <f aca="false">IF($D187="","",SUM($AL187,$AO187))</f>
        <v/>
      </c>
      <c r="BC187" s="23" t="str">
        <f aca="false">IF($D187="","",IF($P187&gt;0,$BB187/$P187,0))</f>
        <v/>
      </c>
      <c r="BD187" s="25" t="str">
        <f aca="false">IF($D187="","",(AsOfDate-$AH187)/DaysPerMonth)</f>
        <v/>
      </c>
      <c r="BE187" s="25" t="str">
        <f aca="false">IF($D187="","",($AI187-AsOfDate)/DaysPerMonth)</f>
        <v/>
      </c>
      <c r="BF187" s="25" t="str">
        <f aca="false">IF($D187="","",($AJ187-AsOfDate)/DaysPerMonth)</f>
        <v/>
      </c>
      <c r="BG187" s="25" t="str">
        <f aca="false">IF($D187="","",MAX(0,$BE187))</f>
        <v/>
      </c>
      <c r="BH187" s="25" t="str">
        <f aca="false">IF($D187="","",MAX(0,$BF187))</f>
        <v/>
      </c>
      <c r="BI187" s="67" t="str">
        <f aca="false">IF($D187="","",YEAR($AI187))</f>
        <v/>
      </c>
      <c r="BJ187" s="67" t="str">
        <f aca="false">IF($D187="","",YEAR($AJ187))</f>
        <v/>
      </c>
      <c r="BK187" s="67" t="str">
        <f aca="false">IF($D187="","",YEAR($AH187))</f>
        <v/>
      </c>
      <c r="BM187" s="26" t="n">
        <f aca="false">IF($AT187=1,$P187+(1000-ROW())/1000000,0)</f>
        <v>0</v>
      </c>
    </row>
    <row r="188" customFormat="false" ht="15" hidden="false" customHeight="false" outlineLevel="0" collapsed="false">
      <c r="AT188" s="26" t="n">
        <f aca="false">IF($D188="",0,IF(OR(StratFilter="All Loans",$E188=StratFilter),1,0))</f>
        <v>0</v>
      </c>
      <c r="AU188" s="18" t="str">
        <f aca="false">IF($D188="","",IFERROR(VLOOKUP(TRIM($K188),PropTypeMap,2,FALSE()),"Unmapped"))</f>
        <v/>
      </c>
      <c r="AV188" s="21" t="str">
        <f aca="false">IF($D188="","",IFERROR(VLOOKUP($J188,RegionMap,2,FALSE()),"Unmapped"))</f>
        <v/>
      </c>
      <c r="AW188" s="21" t="str">
        <f aca="false">IF($D188="","",IF($AC188="SOFR","Floating (SOFR)","Fixed / All-In"))</f>
        <v/>
      </c>
      <c r="AX188" s="24" t="str">
        <f aca="false">IF($D188="","",$AD188+SOFR)</f>
        <v/>
      </c>
      <c r="AY188" s="21" t="str">
        <f aca="false">IF($D188="","",IF($AF188="Waived","Waived",IF(ISNUMBER($AF188),IF($AF188&gt;AsOfDate,"In Place","Expired"),"None Reported")))</f>
        <v/>
      </c>
      <c r="AZ188" s="21" t="str">
        <f aca="false">IF($D188="","",IF(ISNUMBER($AG188),IF($AG188=0,"None",$AG188&amp;" Months"),IF($AG188="","None Reported",$AG188)))</f>
        <v/>
      </c>
      <c r="BA188" s="18" t="str">
        <f aca="false">IF($D188="","",IF($AK188="","Unlevered",$AK188))</f>
        <v/>
      </c>
      <c r="BB188" s="22" t="str">
        <f aca="false">IF($D188="","",SUM($AL188,$AO188))</f>
        <v/>
      </c>
      <c r="BC188" s="23" t="str">
        <f aca="false">IF($D188="","",IF($P188&gt;0,$BB188/$P188,0))</f>
        <v/>
      </c>
      <c r="BD188" s="25" t="str">
        <f aca="false">IF($D188="","",(AsOfDate-$AH188)/DaysPerMonth)</f>
        <v/>
      </c>
      <c r="BE188" s="25" t="str">
        <f aca="false">IF($D188="","",($AI188-AsOfDate)/DaysPerMonth)</f>
        <v/>
      </c>
      <c r="BF188" s="25" t="str">
        <f aca="false">IF($D188="","",($AJ188-AsOfDate)/DaysPerMonth)</f>
        <v/>
      </c>
      <c r="BG188" s="25" t="str">
        <f aca="false">IF($D188="","",MAX(0,$BE188))</f>
        <v/>
      </c>
      <c r="BH188" s="25" t="str">
        <f aca="false">IF($D188="","",MAX(0,$BF188))</f>
        <v/>
      </c>
      <c r="BI188" s="67" t="str">
        <f aca="false">IF($D188="","",YEAR($AI188))</f>
        <v/>
      </c>
      <c r="BJ188" s="67" t="str">
        <f aca="false">IF($D188="","",YEAR($AJ188))</f>
        <v/>
      </c>
      <c r="BK188" s="67" t="str">
        <f aca="false">IF($D188="","",YEAR($AH188))</f>
        <v/>
      </c>
      <c r="BM188" s="26" t="n">
        <f aca="false">IF($AT188=1,$P188+(1000-ROW())/1000000,0)</f>
        <v>0</v>
      </c>
    </row>
    <row r="189" customFormat="false" ht="15" hidden="false" customHeight="false" outlineLevel="0" collapsed="false">
      <c r="AT189" s="26" t="n">
        <f aca="false">IF($D189="",0,IF(OR(StratFilter="All Loans",$E189=StratFilter),1,0))</f>
        <v>0</v>
      </c>
      <c r="AU189" s="18" t="str">
        <f aca="false">IF($D189="","",IFERROR(VLOOKUP(TRIM($K189),PropTypeMap,2,FALSE()),"Unmapped"))</f>
        <v/>
      </c>
      <c r="AV189" s="21" t="str">
        <f aca="false">IF($D189="","",IFERROR(VLOOKUP($J189,RegionMap,2,FALSE()),"Unmapped"))</f>
        <v/>
      </c>
      <c r="AW189" s="21" t="str">
        <f aca="false">IF($D189="","",IF($AC189="SOFR","Floating (SOFR)","Fixed / All-In"))</f>
        <v/>
      </c>
      <c r="AX189" s="24" t="str">
        <f aca="false">IF($D189="","",$AD189+SOFR)</f>
        <v/>
      </c>
      <c r="AY189" s="21" t="str">
        <f aca="false">IF($D189="","",IF($AF189="Waived","Waived",IF(ISNUMBER($AF189),IF($AF189&gt;AsOfDate,"In Place","Expired"),"None Reported")))</f>
        <v/>
      </c>
      <c r="AZ189" s="21" t="str">
        <f aca="false">IF($D189="","",IF(ISNUMBER($AG189),IF($AG189=0,"None",$AG189&amp;" Months"),IF($AG189="","None Reported",$AG189)))</f>
        <v/>
      </c>
      <c r="BA189" s="18" t="str">
        <f aca="false">IF($D189="","",IF($AK189="","Unlevered",$AK189))</f>
        <v/>
      </c>
      <c r="BB189" s="22" t="str">
        <f aca="false">IF($D189="","",SUM($AL189,$AO189))</f>
        <v/>
      </c>
      <c r="BC189" s="23" t="str">
        <f aca="false">IF($D189="","",IF($P189&gt;0,$BB189/$P189,0))</f>
        <v/>
      </c>
      <c r="BD189" s="25" t="str">
        <f aca="false">IF($D189="","",(AsOfDate-$AH189)/DaysPerMonth)</f>
        <v/>
      </c>
      <c r="BE189" s="25" t="str">
        <f aca="false">IF($D189="","",($AI189-AsOfDate)/DaysPerMonth)</f>
        <v/>
      </c>
      <c r="BF189" s="25" t="str">
        <f aca="false">IF($D189="","",($AJ189-AsOfDate)/DaysPerMonth)</f>
        <v/>
      </c>
      <c r="BG189" s="25" t="str">
        <f aca="false">IF($D189="","",MAX(0,$BE189))</f>
        <v/>
      </c>
      <c r="BH189" s="25" t="str">
        <f aca="false">IF($D189="","",MAX(0,$BF189))</f>
        <v/>
      </c>
      <c r="BI189" s="67" t="str">
        <f aca="false">IF($D189="","",YEAR($AI189))</f>
        <v/>
      </c>
      <c r="BJ189" s="67" t="str">
        <f aca="false">IF($D189="","",YEAR($AJ189))</f>
        <v/>
      </c>
      <c r="BK189" s="67" t="str">
        <f aca="false">IF($D189="","",YEAR($AH189))</f>
        <v/>
      </c>
      <c r="BM189" s="26" t="n">
        <f aca="false">IF($AT189=1,$P189+(1000-ROW())/1000000,0)</f>
        <v>0</v>
      </c>
    </row>
    <row r="190" customFormat="false" ht="15" hidden="false" customHeight="false" outlineLevel="0" collapsed="false">
      <c r="AT190" s="26" t="n">
        <f aca="false">IF($D190="",0,IF(OR(StratFilter="All Loans",$E190=StratFilter),1,0))</f>
        <v>0</v>
      </c>
      <c r="AU190" s="18" t="str">
        <f aca="false">IF($D190="","",IFERROR(VLOOKUP(TRIM($K190),PropTypeMap,2,FALSE()),"Unmapped"))</f>
        <v/>
      </c>
      <c r="AV190" s="21" t="str">
        <f aca="false">IF($D190="","",IFERROR(VLOOKUP($J190,RegionMap,2,FALSE()),"Unmapped"))</f>
        <v/>
      </c>
      <c r="AW190" s="21" t="str">
        <f aca="false">IF($D190="","",IF($AC190="SOFR","Floating (SOFR)","Fixed / All-In"))</f>
        <v/>
      </c>
      <c r="AX190" s="24" t="str">
        <f aca="false">IF($D190="","",$AD190+SOFR)</f>
        <v/>
      </c>
      <c r="AY190" s="21" t="str">
        <f aca="false">IF($D190="","",IF($AF190="Waived","Waived",IF(ISNUMBER($AF190),IF($AF190&gt;AsOfDate,"In Place","Expired"),"None Reported")))</f>
        <v/>
      </c>
      <c r="AZ190" s="21" t="str">
        <f aca="false">IF($D190="","",IF(ISNUMBER($AG190),IF($AG190=0,"None",$AG190&amp;" Months"),IF($AG190="","None Reported",$AG190)))</f>
        <v/>
      </c>
      <c r="BA190" s="18" t="str">
        <f aca="false">IF($D190="","",IF($AK190="","Unlevered",$AK190))</f>
        <v/>
      </c>
      <c r="BB190" s="22" t="str">
        <f aca="false">IF($D190="","",SUM($AL190,$AO190))</f>
        <v/>
      </c>
      <c r="BC190" s="23" t="str">
        <f aca="false">IF($D190="","",IF($P190&gt;0,$BB190/$P190,0))</f>
        <v/>
      </c>
      <c r="BD190" s="25" t="str">
        <f aca="false">IF($D190="","",(AsOfDate-$AH190)/DaysPerMonth)</f>
        <v/>
      </c>
      <c r="BE190" s="25" t="str">
        <f aca="false">IF($D190="","",($AI190-AsOfDate)/DaysPerMonth)</f>
        <v/>
      </c>
      <c r="BF190" s="25" t="str">
        <f aca="false">IF($D190="","",($AJ190-AsOfDate)/DaysPerMonth)</f>
        <v/>
      </c>
      <c r="BG190" s="25" t="str">
        <f aca="false">IF($D190="","",MAX(0,$BE190))</f>
        <v/>
      </c>
      <c r="BH190" s="25" t="str">
        <f aca="false">IF($D190="","",MAX(0,$BF190))</f>
        <v/>
      </c>
      <c r="BI190" s="67" t="str">
        <f aca="false">IF($D190="","",YEAR($AI190))</f>
        <v/>
      </c>
      <c r="BJ190" s="67" t="str">
        <f aca="false">IF($D190="","",YEAR($AJ190))</f>
        <v/>
      </c>
      <c r="BK190" s="67" t="str">
        <f aca="false">IF($D190="","",YEAR($AH190))</f>
        <v/>
      </c>
      <c r="BM190" s="26" t="n">
        <f aca="false">IF($AT190=1,$P190+(1000-ROW())/1000000,0)</f>
        <v>0</v>
      </c>
    </row>
    <row r="191" customFormat="false" ht="15" hidden="false" customHeight="false" outlineLevel="0" collapsed="false">
      <c r="AT191" s="26" t="n">
        <f aca="false">IF($D191="",0,IF(OR(StratFilter="All Loans",$E191=StratFilter),1,0))</f>
        <v>0</v>
      </c>
      <c r="AU191" s="18" t="str">
        <f aca="false">IF($D191="","",IFERROR(VLOOKUP(TRIM($K191),PropTypeMap,2,FALSE()),"Unmapped"))</f>
        <v/>
      </c>
      <c r="AV191" s="21" t="str">
        <f aca="false">IF($D191="","",IFERROR(VLOOKUP($J191,RegionMap,2,FALSE()),"Unmapped"))</f>
        <v/>
      </c>
      <c r="AW191" s="21" t="str">
        <f aca="false">IF($D191="","",IF($AC191="SOFR","Floating (SOFR)","Fixed / All-In"))</f>
        <v/>
      </c>
      <c r="AX191" s="24" t="str">
        <f aca="false">IF($D191="","",$AD191+SOFR)</f>
        <v/>
      </c>
      <c r="AY191" s="21" t="str">
        <f aca="false">IF($D191="","",IF($AF191="Waived","Waived",IF(ISNUMBER($AF191),IF($AF191&gt;AsOfDate,"In Place","Expired"),"None Reported")))</f>
        <v/>
      </c>
      <c r="AZ191" s="21" t="str">
        <f aca="false">IF($D191="","",IF(ISNUMBER($AG191),IF($AG191=0,"None",$AG191&amp;" Months"),IF($AG191="","None Reported",$AG191)))</f>
        <v/>
      </c>
      <c r="BA191" s="18" t="str">
        <f aca="false">IF($D191="","",IF($AK191="","Unlevered",$AK191))</f>
        <v/>
      </c>
      <c r="BB191" s="22" t="str">
        <f aca="false">IF($D191="","",SUM($AL191,$AO191))</f>
        <v/>
      </c>
      <c r="BC191" s="23" t="str">
        <f aca="false">IF($D191="","",IF($P191&gt;0,$BB191/$P191,0))</f>
        <v/>
      </c>
      <c r="BD191" s="25" t="str">
        <f aca="false">IF($D191="","",(AsOfDate-$AH191)/DaysPerMonth)</f>
        <v/>
      </c>
      <c r="BE191" s="25" t="str">
        <f aca="false">IF($D191="","",($AI191-AsOfDate)/DaysPerMonth)</f>
        <v/>
      </c>
      <c r="BF191" s="25" t="str">
        <f aca="false">IF($D191="","",($AJ191-AsOfDate)/DaysPerMonth)</f>
        <v/>
      </c>
      <c r="BG191" s="25" t="str">
        <f aca="false">IF($D191="","",MAX(0,$BE191))</f>
        <v/>
      </c>
      <c r="BH191" s="25" t="str">
        <f aca="false">IF($D191="","",MAX(0,$BF191))</f>
        <v/>
      </c>
      <c r="BI191" s="67" t="str">
        <f aca="false">IF($D191="","",YEAR($AI191))</f>
        <v/>
      </c>
      <c r="BJ191" s="67" t="str">
        <f aca="false">IF($D191="","",YEAR($AJ191))</f>
        <v/>
      </c>
      <c r="BK191" s="67" t="str">
        <f aca="false">IF($D191="","",YEAR($AH191))</f>
        <v/>
      </c>
      <c r="BM191" s="26" t="n">
        <f aca="false">IF($AT191=1,$P191+(1000-ROW())/1000000,0)</f>
        <v>0</v>
      </c>
    </row>
    <row r="192" customFormat="false" ht="15" hidden="false" customHeight="false" outlineLevel="0" collapsed="false">
      <c r="AT192" s="26" t="n">
        <f aca="false">IF($D192="",0,IF(OR(StratFilter="All Loans",$E192=StratFilter),1,0))</f>
        <v>0</v>
      </c>
      <c r="AU192" s="18" t="str">
        <f aca="false">IF($D192="","",IFERROR(VLOOKUP(TRIM($K192),PropTypeMap,2,FALSE()),"Unmapped"))</f>
        <v/>
      </c>
      <c r="AV192" s="21" t="str">
        <f aca="false">IF($D192="","",IFERROR(VLOOKUP($J192,RegionMap,2,FALSE()),"Unmapped"))</f>
        <v/>
      </c>
      <c r="AW192" s="21" t="str">
        <f aca="false">IF($D192="","",IF($AC192="SOFR","Floating (SOFR)","Fixed / All-In"))</f>
        <v/>
      </c>
      <c r="AX192" s="24" t="str">
        <f aca="false">IF($D192="","",$AD192+SOFR)</f>
        <v/>
      </c>
      <c r="AY192" s="21" t="str">
        <f aca="false">IF($D192="","",IF($AF192="Waived","Waived",IF(ISNUMBER($AF192),IF($AF192&gt;AsOfDate,"In Place","Expired"),"None Reported")))</f>
        <v/>
      </c>
      <c r="AZ192" s="21" t="str">
        <f aca="false">IF($D192="","",IF(ISNUMBER($AG192),IF($AG192=0,"None",$AG192&amp;" Months"),IF($AG192="","None Reported",$AG192)))</f>
        <v/>
      </c>
      <c r="BA192" s="18" t="str">
        <f aca="false">IF($D192="","",IF($AK192="","Unlevered",$AK192))</f>
        <v/>
      </c>
      <c r="BB192" s="22" t="str">
        <f aca="false">IF($D192="","",SUM($AL192,$AO192))</f>
        <v/>
      </c>
      <c r="BC192" s="23" t="str">
        <f aca="false">IF($D192="","",IF($P192&gt;0,$BB192/$P192,0))</f>
        <v/>
      </c>
      <c r="BD192" s="25" t="str">
        <f aca="false">IF($D192="","",(AsOfDate-$AH192)/DaysPerMonth)</f>
        <v/>
      </c>
      <c r="BE192" s="25" t="str">
        <f aca="false">IF($D192="","",($AI192-AsOfDate)/DaysPerMonth)</f>
        <v/>
      </c>
      <c r="BF192" s="25" t="str">
        <f aca="false">IF($D192="","",($AJ192-AsOfDate)/DaysPerMonth)</f>
        <v/>
      </c>
      <c r="BG192" s="25" t="str">
        <f aca="false">IF($D192="","",MAX(0,$BE192))</f>
        <v/>
      </c>
      <c r="BH192" s="25" t="str">
        <f aca="false">IF($D192="","",MAX(0,$BF192))</f>
        <v/>
      </c>
      <c r="BI192" s="67" t="str">
        <f aca="false">IF($D192="","",YEAR($AI192))</f>
        <v/>
      </c>
      <c r="BJ192" s="67" t="str">
        <f aca="false">IF($D192="","",YEAR($AJ192))</f>
        <v/>
      </c>
      <c r="BK192" s="67" t="str">
        <f aca="false">IF($D192="","",YEAR($AH192))</f>
        <v/>
      </c>
      <c r="BM192" s="26" t="n">
        <f aca="false">IF($AT192=1,$P192+(1000-ROW())/1000000,0)</f>
        <v>0</v>
      </c>
    </row>
    <row r="193" customFormat="false" ht="15" hidden="false" customHeight="false" outlineLevel="0" collapsed="false">
      <c r="AT193" s="26" t="n">
        <f aca="false">IF($D193="",0,IF(OR(StratFilter="All Loans",$E193=StratFilter),1,0))</f>
        <v>0</v>
      </c>
      <c r="AU193" s="18" t="str">
        <f aca="false">IF($D193="","",IFERROR(VLOOKUP(TRIM($K193),PropTypeMap,2,FALSE()),"Unmapped"))</f>
        <v/>
      </c>
      <c r="AV193" s="21" t="str">
        <f aca="false">IF($D193="","",IFERROR(VLOOKUP($J193,RegionMap,2,FALSE()),"Unmapped"))</f>
        <v/>
      </c>
      <c r="AW193" s="21" t="str">
        <f aca="false">IF($D193="","",IF($AC193="SOFR","Floating (SOFR)","Fixed / All-In"))</f>
        <v/>
      </c>
      <c r="AX193" s="24" t="str">
        <f aca="false">IF($D193="","",$AD193+SOFR)</f>
        <v/>
      </c>
      <c r="AY193" s="21" t="str">
        <f aca="false">IF($D193="","",IF($AF193="Waived","Waived",IF(ISNUMBER($AF193),IF($AF193&gt;AsOfDate,"In Place","Expired"),"None Reported")))</f>
        <v/>
      </c>
      <c r="AZ193" s="21" t="str">
        <f aca="false">IF($D193="","",IF(ISNUMBER($AG193),IF($AG193=0,"None",$AG193&amp;" Months"),IF($AG193="","None Reported",$AG193)))</f>
        <v/>
      </c>
      <c r="BA193" s="18" t="str">
        <f aca="false">IF($D193="","",IF($AK193="","Unlevered",$AK193))</f>
        <v/>
      </c>
      <c r="BB193" s="22" t="str">
        <f aca="false">IF($D193="","",SUM($AL193,$AO193))</f>
        <v/>
      </c>
      <c r="BC193" s="23" t="str">
        <f aca="false">IF($D193="","",IF($P193&gt;0,$BB193/$P193,0))</f>
        <v/>
      </c>
      <c r="BD193" s="25" t="str">
        <f aca="false">IF($D193="","",(AsOfDate-$AH193)/DaysPerMonth)</f>
        <v/>
      </c>
      <c r="BE193" s="25" t="str">
        <f aca="false">IF($D193="","",($AI193-AsOfDate)/DaysPerMonth)</f>
        <v/>
      </c>
      <c r="BF193" s="25" t="str">
        <f aca="false">IF($D193="","",($AJ193-AsOfDate)/DaysPerMonth)</f>
        <v/>
      </c>
      <c r="BG193" s="25" t="str">
        <f aca="false">IF($D193="","",MAX(0,$BE193))</f>
        <v/>
      </c>
      <c r="BH193" s="25" t="str">
        <f aca="false">IF($D193="","",MAX(0,$BF193))</f>
        <v/>
      </c>
      <c r="BI193" s="67" t="str">
        <f aca="false">IF($D193="","",YEAR($AI193))</f>
        <v/>
      </c>
      <c r="BJ193" s="67" t="str">
        <f aca="false">IF($D193="","",YEAR($AJ193))</f>
        <v/>
      </c>
      <c r="BK193" s="67" t="str">
        <f aca="false">IF($D193="","",YEAR($AH193))</f>
        <v/>
      </c>
      <c r="BM193" s="26" t="n">
        <f aca="false">IF($AT193=1,$P193+(1000-ROW())/1000000,0)</f>
        <v>0</v>
      </c>
    </row>
    <row r="194" customFormat="false" ht="15" hidden="false" customHeight="false" outlineLevel="0" collapsed="false">
      <c r="AT194" s="26" t="n">
        <f aca="false">IF($D194="",0,IF(OR(StratFilter="All Loans",$E194=StratFilter),1,0))</f>
        <v>0</v>
      </c>
      <c r="AU194" s="18" t="str">
        <f aca="false">IF($D194="","",IFERROR(VLOOKUP(TRIM($K194),PropTypeMap,2,FALSE()),"Unmapped"))</f>
        <v/>
      </c>
      <c r="AV194" s="21" t="str">
        <f aca="false">IF($D194="","",IFERROR(VLOOKUP($J194,RegionMap,2,FALSE()),"Unmapped"))</f>
        <v/>
      </c>
      <c r="AW194" s="21" t="str">
        <f aca="false">IF($D194="","",IF($AC194="SOFR","Floating (SOFR)","Fixed / All-In"))</f>
        <v/>
      </c>
      <c r="AX194" s="24" t="str">
        <f aca="false">IF($D194="","",$AD194+SOFR)</f>
        <v/>
      </c>
      <c r="AY194" s="21" t="str">
        <f aca="false">IF($D194="","",IF($AF194="Waived","Waived",IF(ISNUMBER($AF194),IF($AF194&gt;AsOfDate,"In Place","Expired"),"None Reported")))</f>
        <v/>
      </c>
      <c r="AZ194" s="21" t="str">
        <f aca="false">IF($D194="","",IF(ISNUMBER($AG194),IF($AG194=0,"None",$AG194&amp;" Months"),IF($AG194="","None Reported",$AG194)))</f>
        <v/>
      </c>
      <c r="BA194" s="18" t="str">
        <f aca="false">IF($D194="","",IF($AK194="","Unlevered",$AK194))</f>
        <v/>
      </c>
      <c r="BB194" s="22" t="str">
        <f aca="false">IF($D194="","",SUM($AL194,$AO194))</f>
        <v/>
      </c>
      <c r="BC194" s="23" t="str">
        <f aca="false">IF($D194="","",IF($P194&gt;0,$BB194/$P194,0))</f>
        <v/>
      </c>
      <c r="BD194" s="25" t="str">
        <f aca="false">IF($D194="","",(AsOfDate-$AH194)/DaysPerMonth)</f>
        <v/>
      </c>
      <c r="BE194" s="25" t="str">
        <f aca="false">IF($D194="","",($AI194-AsOfDate)/DaysPerMonth)</f>
        <v/>
      </c>
      <c r="BF194" s="25" t="str">
        <f aca="false">IF($D194="","",($AJ194-AsOfDate)/DaysPerMonth)</f>
        <v/>
      </c>
      <c r="BG194" s="25" t="str">
        <f aca="false">IF($D194="","",MAX(0,$BE194))</f>
        <v/>
      </c>
      <c r="BH194" s="25" t="str">
        <f aca="false">IF($D194="","",MAX(0,$BF194))</f>
        <v/>
      </c>
      <c r="BI194" s="67" t="str">
        <f aca="false">IF($D194="","",YEAR($AI194))</f>
        <v/>
      </c>
      <c r="BJ194" s="67" t="str">
        <f aca="false">IF($D194="","",YEAR($AJ194))</f>
        <v/>
      </c>
      <c r="BK194" s="67" t="str">
        <f aca="false">IF($D194="","",YEAR($AH194))</f>
        <v/>
      </c>
      <c r="BM194" s="26" t="n">
        <f aca="false">IF($AT194=1,$P194+(1000-ROW())/1000000,0)</f>
        <v>0</v>
      </c>
    </row>
    <row r="195" customFormat="false" ht="15" hidden="false" customHeight="false" outlineLevel="0" collapsed="false">
      <c r="AT195" s="26" t="n">
        <f aca="false">IF($D195="",0,IF(OR(StratFilter="All Loans",$E195=StratFilter),1,0))</f>
        <v>0</v>
      </c>
      <c r="AU195" s="18" t="str">
        <f aca="false">IF($D195="","",IFERROR(VLOOKUP(TRIM($K195),PropTypeMap,2,FALSE()),"Unmapped"))</f>
        <v/>
      </c>
      <c r="AV195" s="21" t="str">
        <f aca="false">IF($D195="","",IFERROR(VLOOKUP($J195,RegionMap,2,FALSE()),"Unmapped"))</f>
        <v/>
      </c>
      <c r="AW195" s="21" t="str">
        <f aca="false">IF($D195="","",IF($AC195="SOFR","Floating (SOFR)","Fixed / All-In"))</f>
        <v/>
      </c>
      <c r="AX195" s="24" t="str">
        <f aca="false">IF($D195="","",$AD195+SOFR)</f>
        <v/>
      </c>
      <c r="AY195" s="21" t="str">
        <f aca="false">IF($D195="","",IF($AF195="Waived","Waived",IF(ISNUMBER($AF195),IF($AF195&gt;AsOfDate,"In Place","Expired"),"None Reported")))</f>
        <v/>
      </c>
      <c r="AZ195" s="21" t="str">
        <f aca="false">IF($D195="","",IF(ISNUMBER($AG195),IF($AG195=0,"None",$AG195&amp;" Months"),IF($AG195="","None Reported",$AG195)))</f>
        <v/>
      </c>
      <c r="BA195" s="18" t="str">
        <f aca="false">IF($D195="","",IF($AK195="","Unlevered",$AK195))</f>
        <v/>
      </c>
      <c r="BB195" s="22" t="str">
        <f aca="false">IF($D195="","",SUM($AL195,$AO195))</f>
        <v/>
      </c>
      <c r="BC195" s="23" t="str">
        <f aca="false">IF($D195="","",IF($P195&gt;0,$BB195/$P195,0))</f>
        <v/>
      </c>
      <c r="BD195" s="25" t="str">
        <f aca="false">IF($D195="","",(AsOfDate-$AH195)/DaysPerMonth)</f>
        <v/>
      </c>
      <c r="BE195" s="25" t="str">
        <f aca="false">IF($D195="","",($AI195-AsOfDate)/DaysPerMonth)</f>
        <v/>
      </c>
      <c r="BF195" s="25" t="str">
        <f aca="false">IF($D195="","",($AJ195-AsOfDate)/DaysPerMonth)</f>
        <v/>
      </c>
      <c r="BG195" s="25" t="str">
        <f aca="false">IF($D195="","",MAX(0,$BE195))</f>
        <v/>
      </c>
      <c r="BH195" s="25" t="str">
        <f aca="false">IF($D195="","",MAX(0,$BF195))</f>
        <v/>
      </c>
      <c r="BI195" s="67" t="str">
        <f aca="false">IF($D195="","",YEAR($AI195))</f>
        <v/>
      </c>
      <c r="BJ195" s="67" t="str">
        <f aca="false">IF($D195="","",YEAR($AJ195))</f>
        <v/>
      </c>
      <c r="BK195" s="67" t="str">
        <f aca="false">IF($D195="","",YEAR($AH195))</f>
        <v/>
      </c>
      <c r="BM195" s="26" t="n">
        <f aca="false">IF($AT195=1,$P195+(1000-ROW())/1000000,0)</f>
        <v>0</v>
      </c>
    </row>
    <row r="196" customFormat="false" ht="15" hidden="false" customHeight="false" outlineLevel="0" collapsed="false">
      <c r="AT196" s="26" t="n">
        <f aca="false">IF($D196="",0,IF(OR(StratFilter="All Loans",$E196=StratFilter),1,0))</f>
        <v>0</v>
      </c>
      <c r="AU196" s="18" t="str">
        <f aca="false">IF($D196="","",IFERROR(VLOOKUP(TRIM($K196),PropTypeMap,2,FALSE()),"Unmapped"))</f>
        <v/>
      </c>
      <c r="AV196" s="21" t="str">
        <f aca="false">IF($D196="","",IFERROR(VLOOKUP($J196,RegionMap,2,FALSE()),"Unmapped"))</f>
        <v/>
      </c>
      <c r="AW196" s="21" t="str">
        <f aca="false">IF($D196="","",IF($AC196="SOFR","Floating (SOFR)","Fixed / All-In"))</f>
        <v/>
      </c>
      <c r="AX196" s="24" t="str">
        <f aca="false">IF($D196="","",$AD196+SOFR)</f>
        <v/>
      </c>
      <c r="AY196" s="21" t="str">
        <f aca="false">IF($D196="","",IF($AF196="Waived","Waived",IF(ISNUMBER($AF196),IF($AF196&gt;AsOfDate,"In Place","Expired"),"None Reported")))</f>
        <v/>
      </c>
      <c r="AZ196" s="21" t="str">
        <f aca="false">IF($D196="","",IF(ISNUMBER($AG196),IF($AG196=0,"None",$AG196&amp;" Months"),IF($AG196="","None Reported",$AG196)))</f>
        <v/>
      </c>
      <c r="BA196" s="18" t="str">
        <f aca="false">IF($D196="","",IF($AK196="","Unlevered",$AK196))</f>
        <v/>
      </c>
      <c r="BB196" s="22" t="str">
        <f aca="false">IF($D196="","",SUM($AL196,$AO196))</f>
        <v/>
      </c>
      <c r="BC196" s="23" t="str">
        <f aca="false">IF($D196="","",IF($P196&gt;0,$BB196/$P196,0))</f>
        <v/>
      </c>
      <c r="BD196" s="25" t="str">
        <f aca="false">IF($D196="","",(AsOfDate-$AH196)/DaysPerMonth)</f>
        <v/>
      </c>
      <c r="BE196" s="25" t="str">
        <f aca="false">IF($D196="","",($AI196-AsOfDate)/DaysPerMonth)</f>
        <v/>
      </c>
      <c r="BF196" s="25" t="str">
        <f aca="false">IF($D196="","",($AJ196-AsOfDate)/DaysPerMonth)</f>
        <v/>
      </c>
      <c r="BG196" s="25" t="str">
        <f aca="false">IF($D196="","",MAX(0,$BE196))</f>
        <v/>
      </c>
      <c r="BH196" s="25" t="str">
        <f aca="false">IF($D196="","",MAX(0,$BF196))</f>
        <v/>
      </c>
      <c r="BI196" s="67" t="str">
        <f aca="false">IF($D196="","",YEAR($AI196))</f>
        <v/>
      </c>
      <c r="BJ196" s="67" t="str">
        <f aca="false">IF($D196="","",YEAR($AJ196))</f>
        <v/>
      </c>
      <c r="BK196" s="67" t="str">
        <f aca="false">IF($D196="","",YEAR($AH196))</f>
        <v/>
      </c>
      <c r="BM196" s="26" t="n">
        <f aca="false">IF($AT196=1,$P196+(1000-ROW())/1000000,0)</f>
        <v>0</v>
      </c>
    </row>
    <row r="197" customFormat="false" ht="15" hidden="false" customHeight="false" outlineLevel="0" collapsed="false">
      <c r="AT197" s="26" t="n">
        <f aca="false">IF($D197="",0,IF(OR(StratFilter="All Loans",$E197=StratFilter),1,0))</f>
        <v>0</v>
      </c>
      <c r="AU197" s="18" t="str">
        <f aca="false">IF($D197="","",IFERROR(VLOOKUP(TRIM($K197),PropTypeMap,2,FALSE()),"Unmapped"))</f>
        <v/>
      </c>
      <c r="AV197" s="21" t="str">
        <f aca="false">IF($D197="","",IFERROR(VLOOKUP($J197,RegionMap,2,FALSE()),"Unmapped"))</f>
        <v/>
      </c>
      <c r="AW197" s="21" t="str">
        <f aca="false">IF($D197="","",IF($AC197="SOFR","Floating (SOFR)","Fixed / All-In"))</f>
        <v/>
      </c>
      <c r="AX197" s="24" t="str">
        <f aca="false">IF($D197="","",$AD197+SOFR)</f>
        <v/>
      </c>
      <c r="AY197" s="21" t="str">
        <f aca="false">IF($D197="","",IF($AF197="Waived","Waived",IF(ISNUMBER($AF197),IF($AF197&gt;AsOfDate,"In Place","Expired"),"None Reported")))</f>
        <v/>
      </c>
      <c r="AZ197" s="21" t="str">
        <f aca="false">IF($D197="","",IF(ISNUMBER($AG197),IF($AG197=0,"None",$AG197&amp;" Months"),IF($AG197="","None Reported",$AG197)))</f>
        <v/>
      </c>
      <c r="BA197" s="18" t="str">
        <f aca="false">IF($D197="","",IF($AK197="","Unlevered",$AK197))</f>
        <v/>
      </c>
      <c r="BB197" s="22" t="str">
        <f aca="false">IF($D197="","",SUM($AL197,$AO197))</f>
        <v/>
      </c>
      <c r="BC197" s="23" t="str">
        <f aca="false">IF($D197="","",IF($P197&gt;0,$BB197/$P197,0))</f>
        <v/>
      </c>
      <c r="BD197" s="25" t="str">
        <f aca="false">IF($D197="","",(AsOfDate-$AH197)/DaysPerMonth)</f>
        <v/>
      </c>
      <c r="BE197" s="25" t="str">
        <f aca="false">IF($D197="","",($AI197-AsOfDate)/DaysPerMonth)</f>
        <v/>
      </c>
      <c r="BF197" s="25" t="str">
        <f aca="false">IF($D197="","",($AJ197-AsOfDate)/DaysPerMonth)</f>
        <v/>
      </c>
      <c r="BG197" s="25" t="str">
        <f aca="false">IF($D197="","",MAX(0,$BE197))</f>
        <v/>
      </c>
      <c r="BH197" s="25" t="str">
        <f aca="false">IF($D197="","",MAX(0,$BF197))</f>
        <v/>
      </c>
      <c r="BI197" s="67" t="str">
        <f aca="false">IF($D197="","",YEAR($AI197))</f>
        <v/>
      </c>
      <c r="BJ197" s="67" t="str">
        <f aca="false">IF($D197="","",YEAR($AJ197))</f>
        <v/>
      </c>
      <c r="BK197" s="67" t="str">
        <f aca="false">IF($D197="","",YEAR($AH197))</f>
        <v/>
      </c>
      <c r="BM197" s="26" t="n">
        <f aca="false">IF($AT197=1,$P197+(1000-ROW())/1000000,0)</f>
        <v>0</v>
      </c>
    </row>
    <row r="198" customFormat="false" ht="15" hidden="false" customHeight="false" outlineLevel="0" collapsed="false">
      <c r="AT198" s="26" t="n">
        <f aca="false">IF($D198="",0,IF(OR(StratFilter="All Loans",$E198=StratFilter),1,0))</f>
        <v>0</v>
      </c>
      <c r="AU198" s="18" t="str">
        <f aca="false">IF($D198="","",IFERROR(VLOOKUP(TRIM($K198),PropTypeMap,2,FALSE()),"Unmapped"))</f>
        <v/>
      </c>
      <c r="AV198" s="21" t="str">
        <f aca="false">IF($D198="","",IFERROR(VLOOKUP($J198,RegionMap,2,FALSE()),"Unmapped"))</f>
        <v/>
      </c>
      <c r="AW198" s="21" t="str">
        <f aca="false">IF($D198="","",IF($AC198="SOFR","Floating (SOFR)","Fixed / All-In"))</f>
        <v/>
      </c>
      <c r="AX198" s="24" t="str">
        <f aca="false">IF($D198="","",$AD198+SOFR)</f>
        <v/>
      </c>
      <c r="AY198" s="21" t="str">
        <f aca="false">IF($D198="","",IF($AF198="Waived","Waived",IF(ISNUMBER($AF198),IF($AF198&gt;AsOfDate,"In Place","Expired"),"None Reported")))</f>
        <v/>
      </c>
      <c r="AZ198" s="21" t="str">
        <f aca="false">IF($D198="","",IF(ISNUMBER($AG198),IF($AG198=0,"None",$AG198&amp;" Months"),IF($AG198="","None Reported",$AG198)))</f>
        <v/>
      </c>
      <c r="BA198" s="18" t="str">
        <f aca="false">IF($D198="","",IF($AK198="","Unlevered",$AK198))</f>
        <v/>
      </c>
      <c r="BB198" s="22" t="str">
        <f aca="false">IF($D198="","",SUM($AL198,$AO198))</f>
        <v/>
      </c>
      <c r="BC198" s="23" t="str">
        <f aca="false">IF($D198="","",IF($P198&gt;0,$BB198/$P198,0))</f>
        <v/>
      </c>
      <c r="BD198" s="25" t="str">
        <f aca="false">IF($D198="","",(AsOfDate-$AH198)/DaysPerMonth)</f>
        <v/>
      </c>
      <c r="BE198" s="25" t="str">
        <f aca="false">IF($D198="","",($AI198-AsOfDate)/DaysPerMonth)</f>
        <v/>
      </c>
      <c r="BF198" s="25" t="str">
        <f aca="false">IF($D198="","",($AJ198-AsOfDate)/DaysPerMonth)</f>
        <v/>
      </c>
      <c r="BG198" s="25" t="str">
        <f aca="false">IF($D198="","",MAX(0,$BE198))</f>
        <v/>
      </c>
      <c r="BH198" s="25" t="str">
        <f aca="false">IF($D198="","",MAX(0,$BF198))</f>
        <v/>
      </c>
      <c r="BI198" s="67" t="str">
        <f aca="false">IF($D198="","",YEAR($AI198))</f>
        <v/>
      </c>
      <c r="BJ198" s="67" t="str">
        <f aca="false">IF($D198="","",YEAR($AJ198))</f>
        <v/>
      </c>
      <c r="BK198" s="67" t="str">
        <f aca="false">IF($D198="","",YEAR($AH198))</f>
        <v/>
      </c>
      <c r="BM198" s="26" t="n">
        <f aca="false">IF($AT198=1,$P198+(1000-ROW())/1000000,0)</f>
        <v>0</v>
      </c>
    </row>
    <row r="199" customFormat="false" ht="15" hidden="false" customHeight="false" outlineLevel="0" collapsed="false">
      <c r="AT199" s="26" t="n">
        <f aca="false">IF($D199="",0,IF(OR(StratFilter="All Loans",$E199=StratFilter),1,0))</f>
        <v>0</v>
      </c>
      <c r="AU199" s="18" t="str">
        <f aca="false">IF($D199="","",IFERROR(VLOOKUP(TRIM($K199),PropTypeMap,2,FALSE()),"Unmapped"))</f>
        <v/>
      </c>
      <c r="AV199" s="21" t="str">
        <f aca="false">IF($D199="","",IFERROR(VLOOKUP($J199,RegionMap,2,FALSE()),"Unmapped"))</f>
        <v/>
      </c>
      <c r="AW199" s="21" t="str">
        <f aca="false">IF($D199="","",IF($AC199="SOFR","Floating (SOFR)","Fixed / All-In"))</f>
        <v/>
      </c>
      <c r="AX199" s="24" t="str">
        <f aca="false">IF($D199="","",$AD199+SOFR)</f>
        <v/>
      </c>
      <c r="AY199" s="21" t="str">
        <f aca="false">IF($D199="","",IF($AF199="Waived","Waived",IF(ISNUMBER($AF199),IF($AF199&gt;AsOfDate,"In Place","Expired"),"None Reported")))</f>
        <v/>
      </c>
      <c r="AZ199" s="21" t="str">
        <f aca="false">IF($D199="","",IF(ISNUMBER($AG199),IF($AG199=0,"None",$AG199&amp;" Months"),IF($AG199="","None Reported",$AG199)))</f>
        <v/>
      </c>
      <c r="BA199" s="18" t="str">
        <f aca="false">IF($D199="","",IF($AK199="","Unlevered",$AK199))</f>
        <v/>
      </c>
      <c r="BB199" s="22" t="str">
        <f aca="false">IF($D199="","",SUM($AL199,$AO199))</f>
        <v/>
      </c>
      <c r="BC199" s="23" t="str">
        <f aca="false">IF($D199="","",IF($P199&gt;0,$BB199/$P199,0))</f>
        <v/>
      </c>
      <c r="BD199" s="25" t="str">
        <f aca="false">IF($D199="","",(AsOfDate-$AH199)/DaysPerMonth)</f>
        <v/>
      </c>
      <c r="BE199" s="25" t="str">
        <f aca="false">IF($D199="","",($AI199-AsOfDate)/DaysPerMonth)</f>
        <v/>
      </c>
      <c r="BF199" s="25" t="str">
        <f aca="false">IF($D199="","",($AJ199-AsOfDate)/DaysPerMonth)</f>
        <v/>
      </c>
      <c r="BG199" s="25" t="str">
        <f aca="false">IF($D199="","",MAX(0,$BE199))</f>
        <v/>
      </c>
      <c r="BH199" s="25" t="str">
        <f aca="false">IF($D199="","",MAX(0,$BF199))</f>
        <v/>
      </c>
      <c r="BI199" s="67" t="str">
        <f aca="false">IF($D199="","",YEAR($AI199))</f>
        <v/>
      </c>
      <c r="BJ199" s="67" t="str">
        <f aca="false">IF($D199="","",YEAR($AJ199))</f>
        <v/>
      </c>
      <c r="BK199" s="67" t="str">
        <f aca="false">IF($D199="","",YEAR($AH199))</f>
        <v/>
      </c>
      <c r="BM199" s="26" t="n">
        <f aca="false">IF($AT199=1,$P199+(1000-ROW())/1000000,0)</f>
        <v>0</v>
      </c>
    </row>
    <row r="200" customFormat="false" ht="15" hidden="false" customHeight="false" outlineLevel="0" collapsed="false">
      <c r="AT200" s="26" t="n">
        <f aca="false">IF($D200="",0,IF(OR(StratFilter="All Loans",$E200=StratFilter),1,0))</f>
        <v>0</v>
      </c>
      <c r="AU200" s="18" t="str">
        <f aca="false">IF($D200="","",IFERROR(VLOOKUP(TRIM($K200),PropTypeMap,2,FALSE()),"Unmapped"))</f>
        <v/>
      </c>
      <c r="AV200" s="21" t="str">
        <f aca="false">IF($D200="","",IFERROR(VLOOKUP($J200,RegionMap,2,FALSE()),"Unmapped"))</f>
        <v/>
      </c>
      <c r="AW200" s="21" t="str">
        <f aca="false">IF($D200="","",IF($AC200="SOFR","Floating (SOFR)","Fixed / All-In"))</f>
        <v/>
      </c>
      <c r="AX200" s="24" t="str">
        <f aca="false">IF($D200="","",$AD200+SOFR)</f>
        <v/>
      </c>
      <c r="AY200" s="21" t="str">
        <f aca="false">IF($D200="","",IF($AF200="Waived","Waived",IF(ISNUMBER($AF200),IF($AF200&gt;AsOfDate,"In Place","Expired"),"None Reported")))</f>
        <v/>
      </c>
      <c r="AZ200" s="21" t="str">
        <f aca="false">IF($D200="","",IF(ISNUMBER($AG200),IF($AG200=0,"None",$AG200&amp;" Months"),IF($AG200="","None Reported",$AG200)))</f>
        <v/>
      </c>
      <c r="BA200" s="18" t="str">
        <f aca="false">IF($D200="","",IF($AK200="","Unlevered",$AK200))</f>
        <v/>
      </c>
      <c r="BB200" s="22" t="str">
        <f aca="false">IF($D200="","",SUM($AL200,$AO200))</f>
        <v/>
      </c>
      <c r="BC200" s="23" t="str">
        <f aca="false">IF($D200="","",IF($P200&gt;0,$BB200/$P200,0))</f>
        <v/>
      </c>
      <c r="BD200" s="25" t="str">
        <f aca="false">IF($D200="","",(AsOfDate-$AH200)/DaysPerMonth)</f>
        <v/>
      </c>
      <c r="BE200" s="25" t="str">
        <f aca="false">IF($D200="","",($AI200-AsOfDate)/DaysPerMonth)</f>
        <v/>
      </c>
      <c r="BF200" s="25" t="str">
        <f aca="false">IF($D200="","",($AJ200-AsOfDate)/DaysPerMonth)</f>
        <v/>
      </c>
      <c r="BG200" s="25" t="str">
        <f aca="false">IF($D200="","",MAX(0,$BE200))</f>
        <v/>
      </c>
      <c r="BH200" s="25" t="str">
        <f aca="false">IF($D200="","",MAX(0,$BF200))</f>
        <v/>
      </c>
      <c r="BI200" s="67" t="str">
        <f aca="false">IF($D200="","",YEAR($AI200))</f>
        <v/>
      </c>
      <c r="BJ200" s="67" t="str">
        <f aca="false">IF($D200="","",YEAR($AJ200))</f>
        <v/>
      </c>
      <c r="BK200" s="67" t="str">
        <f aca="false">IF($D200="","",YEAR($AH200))</f>
        <v/>
      </c>
      <c r="BM200" s="26" t="n">
        <f aca="false">IF($AT200=1,$P200+(1000-ROW())/1000000,0)</f>
        <v>0</v>
      </c>
    </row>
    <row r="201" customFormat="false" ht="15" hidden="false" customHeight="false" outlineLevel="0" collapsed="false">
      <c r="AT201" s="26" t="n">
        <f aca="false">IF($D201="",0,IF(OR(StratFilter="All Loans",$E201=StratFilter),1,0))</f>
        <v>0</v>
      </c>
      <c r="AU201" s="18" t="str">
        <f aca="false">IF($D201="","",IFERROR(VLOOKUP(TRIM($K201),PropTypeMap,2,FALSE()),"Unmapped"))</f>
        <v/>
      </c>
      <c r="AV201" s="21" t="str">
        <f aca="false">IF($D201="","",IFERROR(VLOOKUP($J201,RegionMap,2,FALSE()),"Unmapped"))</f>
        <v/>
      </c>
      <c r="AW201" s="21" t="str">
        <f aca="false">IF($D201="","",IF($AC201="SOFR","Floating (SOFR)","Fixed / All-In"))</f>
        <v/>
      </c>
      <c r="AX201" s="24" t="str">
        <f aca="false">IF($D201="","",$AD201+SOFR)</f>
        <v/>
      </c>
      <c r="AY201" s="21" t="str">
        <f aca="false">IF($D201="","",IF($AF201="Waived","Waived",IF(ISNUMBER($AF201),IF($AF201&gt;AsOfDate,"In Place","Expired"),"None Reported")))</f>
        <v/>
      </c>
      <c r="AZ201" s="21" t="str">
        <f aca="false">IF($D201="","",IF(ISNUMBER($AG201),IF($AG201=0,"None",$AG201&amp;" Months"),IF($AG201="","None Reported",$AG201)))</f>
        <v/>
      </c>
      <c r="BA201" s="18" t="str">
        <f aca="false">IF($D201="","",IF($AK201="","Unlevered",$AK201))</f>
        <v/>
      </c>
      <c r="BB201" s="22" t="str">
        <f aca="false">IF($D201="","",SUM($AL201,$AO201))</f>
        <v/>
      </c>
      <c r="BC201" s="23" t="str">
        <f aca="false">IF($D201="","",IF($P201&gt;0,$BB201/$P201,0))</f>
        <v/>
      </c>
      <c r="BD201" s="25" t="str">
        <f aca="false">IF($D201="","",(AsOfDate-$AH201)/DaysPerMonth)</f>
        <v/>
      </c>
      <c r="BE201" s="25" t="str">
        <f aca="false">IF($D201="","",($AI201-AsOfDate)/DaysPerMonth)</f>
        <v/>
      </c>
      <c r="BF201" s="25" t="str">
        <f aca="false">IF($D201="","",($AJ201-AsOfDate)/DaysPerMonth)</f>
        <v/>
      </c>
      <c r="BG201" s="25" t="str">
        <f aca="false">IF($D201="","",MAX(0,$BE201))</f>
        <v/>
      </c>
      <c r="BH201" s="25" t="str">
        <f aca="false">IF($D201="","",MAX(0,$BF201))</f>
        <v/>
      </c>
      <c r="BI201" s="67" t="str">
        <f aca="false">IF($D201="","",YEAR($AI201))</f>
        <v/>
      </c>
      <c r="BJ201" s="67" t="str">
        <f aca="false">IF($D201="","",YEAR($AJ201))</f>
        <v/>
      </c>
      <c r="BK201" s="67" t="str">
        <f aca="false">IF($D201="","",YEAR($AH201))</f>
        <v/>
      </c>
      <c r="BM201" s="26" t="n">
        <f aca="false">IF($AT201=1,$P201+(1000-ROW())/1000000,0)</f>
        <v>0</v>
      </c>
    </row>
    <row r="202" customFormat="false" ht="15" hidden="false" customHeight="false" outlineLevel="0" collapsed="false">
      <c r="AT202" s="26" t="n">
        <f aca="false">IF($D202="",0,IF(OR(StratFilter="All Loans",$E202=StratFilter),1,0))</f>
        <v>0</v>
      </c>
      <c r="AU202" s="18" t="str">
        <f aca="false">IF($D202="","",IFERROR(VLOOKUP(TRIM($K202),PropTypeMap,2,FALSE()),"Unmapped"))</f>
        <v/>
      </c>
      <c r="AV202" s="21" t="str">
        <f aca="false">IF($D202="","",IFERROR(VLOOKUP($J202,RegionMap,2,FALSE()),"Unmapped"))</f>
        <v/>
      </c>
      <c r="AW202" s="21" t="str">
        <f aca="false">IF($D202="","",IF($AC202="SOFR","Floating (SOFR)","Fixed / All-In"))</f>
        <v/>
      </c>
      <c r="AX202" s="24" t="str">
        <f aca="false">IF($D202="","",$AD202+SOFR)</f>
        <v/>
      </c>
      <c r="AY202" s="21" t="str">
        <f aca="false">IF($D202="","",IF($AF202="Waived","Waived",IF(ISNUMBER($AF202),IF($AF202&gt;AsOfDate,"In Place","Expired"),"None Reported")))</f>
        <v/>
      </c>
      <c r="AZ202" s="21" t="str">
        <f aca="false">IF($D202="","",IF(ISNUMBER($AG202),IF($AG202=0,"None",$AG202&amp;" Months"),IF($AG202="","None Reported",$AG202)))</f>
        <v/>
      </c>
      <c r="BA202" s="18" t="str">
        <f aca="false">IF($D202="","",IF($AK202="","Unlevered",$AK202))</f>
        <v/>
      </c>
      <c r="BB202" s="22" t="str">
        <f aca="false">IF($D202="","",SUM($AL202,$AO202))</f>
        <v/>
      </c>
      <c r="BC202" s="23" t="str">
        <f aca="false">IF($D202="","",IF($P202&gt;0,$BB202/$P202,0))</f>
        <v/>
      </c>
      <c r="BD202" s="25" t="str">
        <f aca="false">IF($D202="","",(AsOfDate-$AH202)/DaysPerMonth)</f>
        <v/>
      </c>
      <c r="BE202" s="25" t="str">
        <f aca="false">IF($D202="","",($AI202-AsOfDate)/DaysPerMonth)</f>
        <v/>
      </c>
      <c r="BF202" s="25" t="str">
        <f aca="false">IF($D202="","",($AJ202-AsOfDate)/DaysPerMonth)</f>
        <v/>
      </c>
      <c r="BG202" s="25" t="str">
        <f aca="false">IF($D202="","",MAX(0,$BE202))</f>
        <v/>
      </c>
      <c r="BH202" s="25" t="str">
        <f aca="false">IF($D202="","",MAX(0,$BF202))</f>
        <v/>
      </c>
      <c r="BI202" s="67" t="str">
        <f aca="false">IF($D202="","",YEAR($AI202))</f>
        <v/>
      </c>
      <c r="BJ202" s="67" t="str">
        <f aca="false">IF($D202="","",YEAR($AJ202))</f>
        <v/>
      </c>
      <c r="BK202" s="67" t="str">
        <f aca="false">IF($D202="","",YEAR($AH202))</f>
        <v/>
      </c>
      <c r="BM202" s="26" t="n">
        <f aca="false">IF($AT202=1,$P202+(1000-ROW())/1000000,0)</f>
        <v>0</v>
      </c>
    </row>
    <row r="203" customFormat="false" ht="15" hidden="false" customHeight="false" outlineLevel="0" collapsed="false">
      <c r="AT203" s="26" t="n">
        <f aca="false">IF($D203="",0,IF(OR(StratFilter="All Loans",$E203=StratFilter),1,0))</f>
        <v>0</v>
      </c>
      <c r="AU203" s="18" t="str">
        <f aca="false">IF($D203="","",IFERROR(VLOOKUP(TRIM($K203),PropTypeMap,2,FALSE()),"Unmapped"))</f>
        <v/>
      </c>
      <c r="AV203" s="21" t="str">
        <f aca="false">IF($D203="","",IFERROR(VLOOKUP($J203,RegionMap,2,FALSE()),"Unmapped"))</f>
        <v/>
      </c>
      <c r="AW203" s="21" t="str">
        <f aca="false">IF($D203="","",IF($AC203="SOFR","Floating (SOFR)","Fixed / All-In"))</f>
        <v/>
      </c>
      <c r="AX203" s="24" t="str">
        <f aca="false">IF($D203="","",$AD203+SOFR)</f>
        <v/>
      </c>
      <c r="AY203" s="21" t="str">
        <f aca="false">IF($D203="","",IF($AF203="Waived","Waived",IF(ISNUMBER($AF203),IF($AF203&gt;AsOfDate,"In Place","Expired"),"None Reported")))</f>
        <v/>
      </c>
      <c r="AZ203" s="21" t="str">
        <f aca="false">IF($D203="","",IF(ISNUMBER($AG203),IF($AG203=0,"None",$AG203&amp;" Months"),IF($AG203="","None Reported",$AG203)))</f>
        <v/>
      </c>
      <c r="BA203" s="18" t="str">
        <f aca="false">IF($D203="","",IF($AK203="","Unlevered",$AK203))</f>
        <v/>
      </c>
      <c r="BB203" s="22" t="str">
        <f aca="false">IF($D203="","",SUM($AL203,$AO203))</f>
        <v/>
      </c>
      <c r="BC203" s="23" t="str">
        <f aca="false">IF($D203="","",IF($P203&gt;0,$BB203/$P203,0))</f>
        <v/>
      </c>
      <c r="BD203" s="25" t="str">
        <f aca="false">IF($D203="","",(AsOfDate-$AH203)/DaysPerMonth)</f>
        <v/>
      </c>
      <c r="BE203" s="25" t="str">
        <f aca="false">IF($D203="","",($AI203-AsOfDate)/DaysPerMonth)</f>
        <v/>
      </c>
      <c r="BF203" s="25" t="str">
        <f aca="false">IF($D203="","",($AJ203-AsOfDate)/DaysPerMonth)</f>
        <v/>
      </c>
      <c r="BG203" s="25" t="str">
        <f aca="false">IF($D203="","",MAX(0,$BE203))</f>
        <v/>
      </c>
      <c r="BH203" s="25" t="str">
        <f aca="false">IF($D203="","",MAX(0,$BF203))</f>
        <v/>
      </c>
      <c r="BI203" s="67" t="str">
        <f aca="false">IF($D203="","",YEAR($AI203))</f>
        <v/>
      </c>
      <c r="BJ203" s="67" t="str">
        <f aca="false">IF($D203="","",YEAR($AJ203))</f>
        <v/>
      </c>
      <c r="BK203" s="67" t="str">
        <f aca="false">IF($D203="","",YEAR($AH203))</f>
        <v/>
      </c>
      <c r="BM203" s="26" t="n">
        <f aca="false">IF($AT203=1,$P203+(1000-ROW())/1000000,0)</f>
        <v>0</v>
      </c>
    </row>
    <row r="204" customFormat="false" ht="15" hidden="false" customHeight="false" outlineLevel="0" collapsed="false">
      <c r="AT204" s="26" t="n">
        <f aca="false">IF($D204="",0,IF(OR(StratFilter="All Loans",$E204=StratFilter),1,0))</f>
        <v>0</v>
      </c>
      <c r="AU204" s="18" t="str">
        <f aca="false">IF($D204="","",IFERROR(VLOOKUP(TRIM($K204),PropTypeMap,2,FALSE()),"Unmapped"))</f>
        <v/>
      </c>
      <c r="AV204" s="21" t="str">
        <f aca="false">IF($D204="","",IFERROR(VLOOKUP($J204,RegionMap,2,FALSE()),"Unmapped"))</f>
        <v/>
      </c>
      <c r="AW204" s="21" t="str">
        <f aca="false">IF($D204="","",IF($AC204="SOFR","Floating (SOFR)","Fixed / All-In"))</f>
        <v/>
      </c>
      <c r="AX204" s="24" t="str">
        <f aca="false">IF($D204="","",$AD204+SOFR)</f>
        <v/>
      </c>
      <c r="AY204" s="21" t="str">
        <f aca="false">IF($D204="","",IF($AF204="Waived","Waived",IF(ISNUMBER($AF204),IF($AF204&gt;AsOfDate,"In Place","Expired"),"None Reported")))</f>
        <v/>
      </c>
      <c r="AZ204" s="21" t="str">
        <f aca="false">IF($D204="","",IF(ISNUMBER($AG204),IF($AG204=0,"None",$AG204&amp;" Months"),IF($AG204="","None Reported",$AG204)))</f>
        <v/>
      </c>
      <c r="BA204" s="18" t="str">
        <f aca="false">IF($D204="","",IF($AK204="","Unlevered",$AK204))</f>
        <v/>
      </c>
      <c r="BB204" s="22" t="str">
        <f aca="false">IF($D204="","",SUM($AL204,$AO204))</f>
        <v/>
      </c>
      <c r="BC204" s="23" t="str">
        <f aca="false">IF($D204="","",IF($P204&gt;0,$BB204/$P204,0))</f>
        <v/>
      </c>
      <c r="BD204" s="25" t="str">
        <f aca="false">IF($D204="","",(AsOfDate-$AH204)/DaysPerMonth)</f>
        <v/>
      </c>
      <c r="BE204" s="25" t="str">
        <f aca="false">IF($D204="","",($AI204-AsOfDate)/DaysPerMonth)</f>
        <v/>
      </c>
      <c r="BF204" s="25" t="str">
        <f aca="false">IF($D204="","",($AJ204-AsOfDate)/DaysPerMonth)</f>
        <v/>
      </c>
      <c r="BG204" s="25" t="str">
        <f aca="false">IF($D204="","",MAX(0,$BE204))</f>
        <v/>
      </c>
      <c r="BH204" s="25" t="str">
        <f aca="false">IF($D204="","",MAX(0,$BF204))</f>
        <v/>
      </c>
      <c r="BI204" s="67" t="str">
        <f aca="false">IF($D204="","",YEAR($AI204))</f>
        <v/>
      </c>
      <c r="BJ204" s="67" t="str">
        <f aca="false">IF($D204="","",YEAR($AJ204))</f>
        <v/>
      </c>
      <c r="BK204" s="67" t="str">
        <f aca="false">IF($D204="","",YEAR($AH204))</f>
        <v/>
      </c>
      <c r="BM204" s="26" t="n">
        <f aca="false">IF($AT204=1,$P204+(1000-ROW())/1000000,0)</f>
        <v>0</v>
      </c>
    </row>
    <row r="205" customFormat="false" ht="15" hidden="false" customHeight="false" outlineLevel="0" collapsed="false">
      <c r="AT205" s="26" t="n">
        <f aca="false">IF($D205="",0,IF(OR(StratFilter="All Loans",$E205=StratFilter),1,0))</f>
        <v>0</v>
      </c>
      <c r="AU205" s="18" t="str">
        <f aca="false">IF($D205="","",IFERROR(VLOOKUP(TRIM($K205),PropTypeMap,2,FALSE()),"Unmapped"))</f>
        <v/>
      </c>
      <c r="AV205" s="21" t="str">
        <f aca="false">IF($D205="","",IFERROR(VLOOKUP($J205,RegionMap,2,FALSE()),"Unmapped"))</f>
        <v/>
      </c>
      <c r="AW205" s="21" t="str">
        <f aca="false">IF($D205="","",IF($AC205="SOFR","Floating (SOFR)","Fixed / All-In"))</f>
        <v/>
      </c>
      <c r="AX205" s="24" t="str">
        <f aca="false">IF($D205="","",$AD205+SOFR)</f>
        <v/>
      </c>
      <c r="AY205" s="21" t="str">
        <f aca="false">IF($D205="","",IF($AF205="Waived","Waived",IF(ISNUMBER($AF205),IF($AF205&gt;AsOfDate,"In Place","Expired"),"None Reported")))</f>
        <v/>
      </c>
      <c r="AZ205" s="21" t="str">
        <f aca="false">IF($D205="","",IF(ISNUMBER($AG205),IF($AG205=0,"None",$AG205&amp;" Months"),IF($AG205="","None Reported",$AG205)))</f>
        <v/>
      </c>
      <c r="BA205" s="18" t="str">
        <f aca="false">IF($D205="","",IF($AK205="","Unlevered",$AK205))</f>
        <v/>
      </c>
      <c r="BB205" s="22" t="str">
        <f aca="false">IF($D205="","",SUM($AL205,$AO205))</f>
        <v/>
      </c>
      <c r="BC205" s="23" t="str">
        <f aca="false">IF($D205="","",IF($P205&gt;0,$BB205/$P205,0))</f>
        <v/>
      </c>
      <c r="BD205" s="25" t="str">
        <f aca="false">IF($D205="","",(AsOfDate-$AH205)/DaysPerMonth)</f>
        <v/>
      </c>
      <c r="BE205" s="25" t="str">
        <f aca="false">IF($D205="","",($AI205-AsOfDate)/DaysPerMonth)</f>
        <v/>
      </c>
      <c r="BF205" s="25" t="str">
        <f aca="false">IF($D205="","",($AJ205-AsOfDate)/DaysPerMonth)</f>
        <v/>
      </c>
      <c r="BG205" s="25" t="str">
        <f aca="false">IF($D205="","",MAX(0,$BE205))</f>
        <v/>
      </c>
      <c r="BH205" s="25" t="str">
        <f aca="false">IF($D205="","",MAX(0,$BF205))</f>
        <v/>
      </c>
      <c r="BI205" s="67" t="str">
        <f aca="false">IF($D205="","",YEAR($AI205))</f>
        <v/>
      </c>
      <c r="BJ205" s="67" t="str">
        <f aca="false">IF($D205="","",YEAR($AJ205))</f>
        <v/>
      </c>
      <c r="BK205" s="67" t="str">
        <f aca="false">IF($D205="","",YEAR($AH205))</f>
        <v/>
      </c>
      <c r="BM205" s="26" t="n">
        <f aca="false">IF($AT205=1,$P205+(1000-ROW())/1000000,0)</f>
        <v>0</v>
      </c>
    </row>
    <row r="206" customFormat="false" ht="15" hidden="false" customHeight="false" outlineLevel="0" collapsed="false">
      <c r="AT206" s="26" t="n">
        <f aca="false">IF($D206="",0,IF(OR(StratFilter="All Loans",$E206=StratFilter),1,0))</f>
        <v>0</v>
      </c>
      <c r="AU206" s="18" t="str">
        <f aca="false">IF($D206="","",IFERROR(VLOOKUP(TRIM($K206),PropTypeMap,2,FALSE()),"Unmapped"))</f>
        <v/>
      </c>
      <c r="AV206" s="21" t="str">
        <f aca="false">IF($D206="","",IFERROR(VLOOKUP($J206,RegionMap,2,FALSE()),"Unmapped"))</f>
        <v/>
      </c>
      <c r="AW206" s="21" t="str">
        <f aca="false">IF($D206="","",IF($AC206="SOFR","Floating (SOFR)","Fixed / All-In"))</f>
        <v/>
      </c>
      <c r="AX206" s="24" t="str">
        <f aca="false">IF($D206="","",$AD206+SOFR)</f>
        <v/>
      </c>
      <c r="AY206" s="21" t="str">
        <f aca="false">IF($D206="","",IF($AF206="Waived","Waived",IF(ISNUMBER($AF206),IF($AF206&gt;AsOfDate,"In Place","Expired"),"None Reported")))</f>
        <v/>
      </c>
      <c r="AZ206" s="21" t="str">
        <f aca="false">IF($D206="","",IF(ISNUMBER($AG206),IF($AG206=0,"None",$AG206&amp;" Months"),IF($AG206="","None Reported",$AG206)))</f>
        <v/>
      </c>
      <c r="BA206" s="18" t="str">
        <f aca="false">IF($D206="","",IF($AK206="","Unlevered",$AK206))</f>
        <v/>
      </c>
      <c r="BB206" s="22" t="str">
        <f aca="false">IF($D206="","",SUM($AL206,$AO206))</f>
        <v/>
      </c>
      <c r="BC206" s="23" t="str">
        <f aca="false">IF($D206="","",IF($P206&gt;0,$BB206/$P206,0))</f>
        <v/>
      </c>
      <c r="BD206" s="25" t="str">
        <f aca="false">IF($D206="","",(AsOfDate-$AH206)/DaysPerMonth)</f>
        <v/>
      </c>
      <c r="BE206" s="25" t="str">
        <f aca="false">IF($D206="","",($AI206-AsOfDate)/DaysPerMonth)</f>
        <v/>
      </c>
      <c r="BF206" s="25" t="str">
        <f aca="false">IF($D206="","",($AJ206-AsOfDate)/DaysPerMonth)</f>
        <v/>
      </c>
      <c r="BG206" s="25" t="str">
        <f aca="false">IF($D206="","",MAX(0,$BE206))</f>
        <v/>
      </c>
      <c r="BH206" s="25" t="str">
        <f aca="false">IF($D206="","",MAX(0,$BF206))</f>
        <v/>
      </c>
      <c r="BI206" s="67" t="str">
        <f aca="false">IF($D206="","",YEAR($AI206))</f>
        <v/>
      </c>
      <c r="BJ206" s="67" t="str">
        <f aca="false">IF($D206="","",YEAR($AJ206))</f>
        <v/>
      </c>
      <c r="BK206" s="67" t="str">
        <f aca="false">IF($D206="","",YEAR($AH206))</f>
        <v/>
      </c>
      <c r="BM206" s="26" t="n">
        <f aca="false">IF($AT206=1,$P206+(1000-ROW())/1000000,0)</f>
        <v>0</v>
      </c>
    </row>
    <row r="207" customFormat="false" ht="15" hidden="false" customHeight="false" outlineLevel="0" collapsed="false">
      <c r="AT207" s="26" t="n">
        <f aca="false">IF($D207="",0,IF(OR(StratFilter="All Loans",$E207=StratFilter),1,0))</f>
        <v>0</v>
      </c>
      <c r="AU207" s="18" t="str">
        <f aca="false">IF($D207="","",IFERROR(VLOOKUP(TRIM($K207),PropTypeMap,2,FALSE()),"Unmapped"))</f>
        <v/>
      </c>
      <c r="AV207" s="21" t="str">
        <f aca="false">IF($D207="","",IFERROR(VLOOKUP($J207,RegionMap,2,FALSE()),"Unmapped"))</f>
        <v/>
      </c>
      <c r="AW207" s="21" t="str">
        <f aca="false">IF($D207="","",IF($AC207="SOFR","Floating (SOFR)","Fixed / All-In"))</f>
        <v/>
      </c>
      <c r="AX207" s="24" t="str">
        <f aca="false">IF($D207="","",$AD207+SOFR)</f>
        <v/>
      </c>
      <c r="AY207" s="21" t="str">
        <f aca="false">IF($D207="","",IF($AF207="Waived","Waived",IF(ISNUMBER($AF207),IF($AF207&gt;AsOfDate,"In Place","Expired"),"None Reported")))</f>
        <v/>
      </c>
      <c r="AZ207" s="21" t="str">
        <f aca="false">IF($D207="","",IF(ISNUMBER($AG207),IF($AG207=0,"None",$AG207&amp;" Months"),IF($AG207="","None Reported",$AG207)))</f>
        <v/>
      </c>
      <c r="BA207" s="18" t="str">
        <f aca="false">IF($D207="","",IF($AK207="","Unlevered",$AK207))</f>
        <v/>
      </c>
      <c r="BB207" s="22" t="str">
        <f aca="false">IF($D207="","",SUM($AL207,$AO207))</f>
        <v/>
      </c>
      <c r="BC207" s="23" t="str">
        <f aca="false">IF($D207="","",IF($P207&gt;0,$BB207/$P207,0))</f>
        <v/>
      </c>
      <c r="BD207" s="25" t="str">
        <f aca="false">IF($D207="","",(AsOfDate-$AH207)/DaysPerMonth)</f>
        <v/>
      </c>
      <c r="BE207" s="25" t="str">
        <f aca="false">IF($D207="","",($AI207-AsOfDate)/DaysPerMonth)</f>
        <v/>
      </c>
      <c r="BF207" s="25" t="str">
        <f aca="false">IF($D207="","",($AJ207-AsOfDate)/DaysPerMonth)</f>
        <v/>
      </c>
      <c r="BG207" s="25" t="str">
        <f aca="false">IF($D207="","",MAX(0,$BE207))</f>
        <v/>
      </c>
      <c r="BH207" s="25" t="str">
        <f aca="false">IF($D207="","",MAX(0,$BF207))</f>
        <v/>
      </c>
      <c r="BI207" s="67" t="str">
        <f aca="false">IF($D207="","",YEAR($AI207))</f>
        <v/>
      </c>
      <c r="BJ207" s="67" t="str">
        <f aca="false">IF($D207="","",YEAR($AJ207))</f>
        <v/>
      </c>
      <c r="BK207" s="67" t="str">
        <f aca="false">IF($D207="","",YEAR($AH207))</f>
        <v/>
      </c>
      <c r="BM207" s="26" t="n">
        <f aca="false">IF($AT207=1,$P207+(1000-ROW())/1000000,0)</f>
        <v>0</v>
      </c>
    </row>
    <row r="208" customFormat="false" ht="15" hidden="false" customHeight="false" outlineLevel="0" collapsed="false">
      <c r="AT208" s="26" t="n">
        <f aca="false">IF($D208="",0,IF(OR(StratFilter="All Loans",$E208=StratFilter),1,0))</f>
        <v>0</v>
      </c>
      <c r="AU208" s="18" t="str">
        <f aca="false">IF($D208="","",IFERROR(VLOOKUP(TRIM($K208),PropTypeMap,2,FALSE()),"Unmapped"))</f>
        <v/>
      </c>
      <c r="AV208" s="21" t="str">
        <f aca="false">IF($D208="","",IFERROR(VLOOKUP($J208,RegionMap,2,FALSE()),"Unmapped"))</f>
        <v/>
      </c>
      <c r="AW208" s="21" t="str">
        <f aca="false">IF($D208="","",IF($AC208="SOFR","Floating (SOFR)","Fixed / All-In"))</f>
        <v/>
      </c>
      <c r="AX208" s="24" t="str">
        <f aca="false">IF($D208="","",$AD208+SOFR)</f>
        <v/>
      </c>
      <c r="AY208" s="21" t="str">
        <f aca="false">IF($D208="","",IF($AF208="Waived","Waived",IF(ISNUMBER($AF208),IF($AF208&gt;AsOfDate,"In Place","Expired"),"None Reported")))</f>
        <v/>
      </c>
      <c r="AZ208" s="21" t="str">
        <f aca="false">IF($D208="","",IF(ISNUMBER($AG208),IF($AG208=0,"None",$AG208&amp;" Months"),IF($AG208="","None Reported",$AG208)))</f>
        <v/>
      </c>
      <c r="BA208" s="18" t="str">
        <f aca="false">IF($D208="","",IF($AK208="","Unlevered",$AK208))</f>
        <v/>
      </c>
      <c r="BB208" s="22" t="str">
        <f aca="false">IF($D208="","",SUM($AL208,$AO208))</f>
        <v/>
      </c>
      <c r="BC208" s="23" t="str">
        <f aca="false">IF($D208="","",IF($P208&gt;0,$BB208/$P208,0))</f>
        <v/>
      </c>
      <c r="BD208" s="25" t="str">
        <f aca="false">IF($D208="","",(AsOfDate-$AH208)/DaysPerMonth)</f>
        <v/>
      </c>
      <c r="BE208" s="25" t="str">
        <f aca="false">IF($D208="","",($AI208-AsOfDate)/DaysPerMonth)</f>
        <v/>
      </c>
      <c r="BF208" s="25" t="str">
        <f aca="false">IF($D208="","",($AJ208-AsOfDate)/DaysPerMonth)</f>
        <v/>
      </c>
      <c r="BG208" s="25" t="str">
        <f aca="false">IF($D208="","",MAX(0,$BE208))</f>
        <v/>
      </c>
      <c r="BH208" s="25" t="str">
        <f aca="false">IF($D208="","",MAX(0,$BF208))</f>
        <v/>
      </c>
      <c r="BI208" s="67" t="str">
        <f aca="false">IF($D208="","",YEAR($AI208))</f>
        <v/>
      </c>
      <c r="BJ208" s="67" t="str">
        <f aca="false">IF($D208="","",YEAR($AJ208))</f>
        <v/>
      </c>
      <c r="BK208" s="67" t="str">
        <f aca="false">IF($D208="","",YEAR($AH208))</f>
        <v/>
      </c>
      <c r="BM208" s="26" t="n">
        <f aca="false">IF($AT208=1,$P208+(1000-ROW())/1000000,0)</f>
        <v>0</v>
      </c>
    </row>
    <row r="209" customFormat="false" ht="15" hidden="false" customHeight="false" outlineLevel="0" collapsed="false">
      <c r="AT209" s="26" t="n">
        <f aca="false">IF($D209="",0,IF(OR(StratFilter="All Loans",$E209=StratFilter),1,0))</f>
        <v>0</v>
      </c>
      <c r="AU209" s="18" t="str">
        <f aca="false">IF($D209="","",IFERROR(VLOOKUP(TRIM($K209),PropTypeMap,2,FALSE()),"Unmapped"))</f>
        <v/>
      </c>
      <c r="AV209" s="21" t="str">
        <f aca="false">IF($D209="","",IFERROR(VLOOKUP($J209,RegionMap,2,FALSE()),"Unmapped"))</f>
        <v/>
      </c>
      <c r="AW209" s="21" t="str">
        <f aca="false">IF($D209="","",IF($AC209="SOFR","Floating (SOFR)","Fixed / All-In"))</f>
        <v/>
      </c>
      <c r="AX209" s="24" t="str">
        <f aca="false">IF($D209="","",$AD209+SOFR)</f>
        <v/>
      </c>
      <c r="AY209" s="21" t="str">
        <f aca="false">IF($D209="","",IF($AF209="Waived","Waived",IF(ISNUMBER($AF209),IF($AF209&gt;AsOfDate,"In Place","Expired"),"None Reported")))</f>
        <v/>
      </c>
      <c r="AZ209" s="21" t="str">
        <f aca="false">IF($D209="","",IF(ISNUMBER($AG209),IF($AG209=0,"None",$AG209&amp;" Months"),IF($AG209="","None Reported",$AG209)))</f>
        <v/>
      </c>
      <c r="BA209" s="18" t="str">
        <f aca="false">IF($D209="","",IF($AK209="","Unlevered",$AK209))</f>
        <v/>
      </c>
      <c r="BB209" s="22" t="str">
        <f aca="false">IF($D209="","",SUM($AL209,$AO209))</f>
        <v/>
      </c>
      <c r="BC209" s="23" t="str">
        <f aca="false">IF($D209="","",IF($P209&gt;0,$BB209/$P209,0))</f>
        <v/>
      </c>
      <c r="BD209" s="25" t="str">
        <f aca="false">IF($D209="","",(AsOfDate-$AH209)/DaysPerMonth)</f>
        <v/>
      </c>
      <c r="BE209" s="25" t="str">
        <f aca="false">IF($D209="","",($AI209-AsOfDate)/DaysPerMonth)</f>
        <v/>
      </c>
      <c r="BF209" s="25" t="str">
        <f aca="false">IF($D209="","",($AJ209-AsOfDate)/DaysPerMonth)</f>
        <v/>
      </c>
      <c r="BG209" s="25" t="str">
        <f aca="false">IF($D209="","",MAX(0,$BE209))</f>
        <v/>
      </c>
      <c r="BH209" s="25" t="str">
        <f aca="false">IF($D209="","",MAX(0,$BF209))</f>
        <v/>
      </c>
      <c r="BI209" s="67" t="str">
        <f aca="false">IF($D209="","",YEAR($AI209))</f>
        <v/>
      </c>
      <c r="BJ209" s="67" t="str">
        <f aca="false">IF($D209="","",YEAR($AJ209))</f>
        <v/>
      </c>
      <c r="BK209" s="67" t="str">
        <f aca="false">IF($D209="","",YEAR($AH209))</f>
        <v/>
      </c>
      <c r="BM209" s="26" t="n">
        <f aca="false">IF($AT209=1,$P209+(1000-ROW())/1000000,0)</f>
        <v>0</v>
      </c>
    </row>
    <row r="210" customFormat="false" ht="15" hidden="false" customHeight="false" outlineLevel="0" collapsed="false">
      <c r="AT210" s="26" t="n">
        <f aca="false">IF($D210="",0,IF(OR(StratFilter="All Loans",$E210=StratFilter),1,0))</f>
        <v>0</v>
      </c>
      <c r="AU210" s="18" t="str">
        <f aca="false">IF($D210="","",IFERROR(VLOOKUP(TRIM($K210),PropTypeMap,2,FALSE()),"Unmapped"))</f>
        <v/>
      </c>
      <c r="AV210" s="21" t="str">
        <f aca="false">IF($D210="","",IFERROR(VLOOKUP($J210,RegionMap,2,FALSE()),"Unmapped"))</f>
        <v/>
      </c>
      <c r="AW210" s="21" t="str">
        <f aca="false">IF($D210="","",IF($AC210="SOFR","Floating (SOFR)","Fixed / All-In"))</f>
        <v/>
      </c>
      <c r="AX210" s="24" t="str">
        <f aca="false">IF($D210="","",$AD210+SOFR)</f>
        <v/>
      </c>
      <c r="AY210" s="21" t="str">
        <f aca="false">IF($D210="","",IF($AF210="Waived","Waived",IF(ISNUMBER($AF210),IF($AF210&gt;AsOfDate,"In Place","Expired"),"None Reported")))</f>
        <v/>
      </c>
      <c r="AZ210" s="21" t="str">
        <f aca="false">IF($D210="","",IF(ISNUMBER($AG210),IF($AG210=0,"None",$AG210&amp;" Months"),IF($AG210="","None Reported",$AG210)))</f>
        <v/>
      </c>
      <c r="BA210" s="18" t="str">
        <f aca="false">IF($D210="","",IF($AK210="","Unlevered",$AK210))</f>
        <v/>
      </c>
      <c r="BB210" s="22" t="str">
        <f aca="false">IF($D210="","",SUM($AL210,$AO210))</f>
        <v/>
      </c>
      <c r="BC210" s="23" t="str">
        <f aca="false">IF($D210="","",IF($P210&gt;0,$BB210/$P210,0))</f>
        <v/>
      </c>
      <c r="BD210" s="25" t="str">
        <f aca="false">IF($D210="","",(AsOfDate-$AH210)/DaysPerMonth)</f>
        <v/>
      </c>
      <c r="BE210" s="25" t="str">
        <f aca="false">IF($D210="","",($AI210-AsOfDate)/DaysPerMonth)</f>
        <v/>
      </c>
      <c r="BF210" s="25" t="str">
        <f aca="false">IF($D210="","",($AJ210-AsOfDate)/DaysPerMonth)</f>
        <v/>
      </c>
      <c r="BG210" s="25" t="str">
        <f aca="false">IF($D210="","",MAX(0,$BE210))</f>
        <v/>
      </c>
      <c r="BH210" s="25" t="str">
        <f aca="false">IF($D210="","",MAX(0,$BF210))</f>
        <v/>
      </c>
      <c r="BI210" s="67" t="str">
        <f aca="false">IF($D210="","",YEAR($AI210))</f>
        <v/>
      </c>
      <c r="BJ210" s="67" t="str">
        <f aca="false">IF($D210="","",YEAR($AJ210))</f>
        <v/>
      </c>
      <c r="BK210" s="67" t="str">
        <f aca="false">IF($D210="","",YEAR($AH210))</f>
        <v/>
      </c>
      <c r="BM210" s="26" t="n">
        <f aca="false">IF($AT210=1,$P210+(1000-ROW())/1000000,0)</f>
        <v>0</v>
      </c>
    </row>
    <row r="211" customFormat="false" ht="15" hidden="false" customHeight="false" outlineLevel="0" collapsed="false">
      <c r="AT211" s="26" t="n">
        <f aca="false">IF($D211="",0,IF(OR(StratFilter="All Loans",$E211=StratFilter),1,0))</f>
        <v>0</v>
      </c>
      <c r="AU211" s="18" t="str">
        <f aca="false">IF($D211="","",IFERROR(VLOOKUP(TRIM($K211),PropTypeMap,2,FALSE()),"Unmapped"))</f>
        <v/>
      </c>
      <c r="AV211" s="21" t="str">
        <f aca="false">IF($D211="","",IFERROR(VLOOKUP($J211,RegionMap,2,FALSE()),"Unmapped"))</f>
        <v/>
      </c>
      <c r="AW211" s="21" t="str">
        <f aca="false">IF($D211="","",IF($AC211="SOFR","Floating (SOFR)","Fixed / All-In"))</f>
        <v/>
      </c>
      <c r="AX211" s="24" t="str">
        <f aca="false">IF($D211="","",$AD211+SOFR)</f>
        <v/>
      </c>
      <c r="AY211" s="21" t="str">
        <f aca="false">IF($D211="","",IF($AF211="Waived","Waived",IF(ISNUMBER($AF211),IF($AF211&gt;AsOfDate,"In Place","Expired"),"None Reported")))</f>
        <v/>
      </c>
      <c r="AZ211" s="21" t="str">
        <f aca="false">IF($D211="","",IF(ISNUMBER($AG211),IF($AG211=0,"None",$AG211&amp;" Months"),IF($AG211="","None Reported",$AG211)))</f>
        <v/>
      </c>
      <c r="BA211" s="18" t="str">
        <f aca="false">IF($D211="","",IF($AK211="","Unlevered",$AK211))</f>
        <v/>
      </c>
      <c r="BB211" s="22" t="str">
        <f aca="false">IF($D211="","",SUM($AL211,$AO211))</f>
        <v/>
      </c>
      <c r="BC211" s="23" t="str">
        <f aca="false">IF($D211="","",IF($P211&gt;0,$BB211/$P211,0))</f>
        <v/>
      </c>
      <c r="BD211" s="25" t="str">
        <f aca="false">IF($D211="","",(AsOfDate-$AH211)/DaysPerMonth)</f>
        <v/>
      </c>
      <c r="BE211" s="25" t="str">
        <f aca="false">IF($D211="","",($AI211-AsOfDate)/DaysPerMonth)</f>
        <v/>
      </c>
      <c r="BF211" s="25" t="str">
        <f aca="false">IF($D211="","",($AJ211-AsOfDate)/DaysPerMonth)</f>
        <v/>
      </c>
      <c r="BG211" s="25" t="str">
        <f aca="false">IF($D211="","",MAX(0,$BE211))</f>
        <v/>
      </c>
      <c r="BH211" s="25" t="str">
        <f aca="false">IF($D211="","",MAX(0,$BF211))</f>
        <v/>
      </c>
      <c r="BI211" s="67" t="str">
        <f aca="false">IF($D211="","",YEAR($AI211))</f>
        <v/>
      </c>
      <c r="BJ211" s="67" t="str">
        <f aca="false">IF($D211="","",YEAR($AJ211))</f>
        <v/>
      </c>
      <c r="BK211" s="67" t="str">
        <f aca="false">IF($D211="","",YEAR($AH211))</f>
        <v/>
      </c>
      <c r="BM211" s="26" t="n">
        <f aca="false">IF($AT211=1,$P211+(1000-ROW())/1000000,0)</f>
        <v>0</v>
      </c>
    </row>
    <row r="212" customFormat="false" ht="15" hidden="false" customHeight="false" outlineLevel="0" collapsed="false">
      <c r="AT212" s="26" t="n">
        <f aca="false">IF($D212="",0,IF(OR(StratFilter="All Loans",$E212=StratFilter),1,0))</f>
        <v>0</v>
      </c>
      <c r="AU212" s="18" t="str">
        <f aca="false">IF($D212="","",IFERROR(VLOOKUP(TRIM($K212),PropTypeMap,2,FALSE()),"Unmapped"))</f>
        <v/>
      </c>
      <c r="AV212" s="21" t="str">
        <f aca="false">IF($D212="","",IFERROR(VLOOKUP($J212,RegionMap,2,FALSE()),"Unmapped"))</f>
        <v/>
      </c>
      <c r="AW212" s="21" t="str">
        <f aca="false">IF($D212="","",IF($AC212="SOFR","Floating (SOFR)","Fixed / All-In"))</f>
        <v/>
      </c>
      <c r="AX212" s="24" t="str">
        <f aca="false">IF($D212="","",$AD212+SOFR)</f>
        <v/>
      </c>
      <c r="AY212" s="21" t="str">
        <f aca="false">IF($D212="","",IF($AF212="Waived","Waived",IF(ISNUMBER($AF212),IF($AF212&gt;AsOfDate,"In Place","Expired"),"None Reported")))</f>
        <v/>
      </c>
      <c r="AZ212" s="21" t="str">
        <f aca="false">IF($D212="","",IF(ISNUMBER($AG212),IF($AG212=0,"None",$AG212&amp;" Months"),IF($AG212="","None Reported",$AG212)))</f>
        <v/>
      </c>
      <c r="BA212" s="18" t="str">
        <f aca="false">IF($D212="","",IF($AK212="","Unlevered",$AK212))</f>
        <v/>
      </c>
      <c r="BB212" s="22" t="str">
        <f aca="false">IF($D212="","",SUM($AL212,$AO212))</f>
        <v/>
      </c>
      <c r="BC212" s="23" t="str">
        <f aca="false">IF($D212="","",IF($P212&gt;0,$BB212/$P212,0))</f>
        <v/>
      </c>
      <c r="BD212" s="25" t="str">
        <f aca="false">IF($D212="","",(AsOfDate-$AH212)/DaysPerMonth)</f>
        <v/>
      </c>
      <c r="BE212" s="25" t="str">
        <f aca="false">IF($D212="","",($AI212-AsOfDate)/DaysPerMonth)</f>
        <v/>
      </c>
      <c r="BF212" s="25" t="str">
        <f aca="false">IF($D212="","",($AJ212-AsOfDate)/DaysPerMonth)</f>
        <v/>
      </c>
      <c r="BG212" s="25" t="str">
        <f aca="false">IF($D212="","",MAX(0,$BE212))</f>
        <v/>
      </c>
      <c r="BH212" s="25" t="str">
        <f aca="false">IF($D212="","",MAX(0,$BF212))</f>
        <v/>
      </c>
      <c r="BI212" s="67" t="str">
        <f aca="false">IF($D212="","",YEAR($AI212))</f>
        <v/>
      </c>
      <c r="BJ212" s="67" t="str">
        <f aca="false">IF($D212="","",YEAR($AJ212))</f>
        <v/>
      </c>
      <c r="BK212" s="67" t="str">
        <f aca="false">IF($D212="","",YEAR($AH212))</f>
        <v/>
      </c>
      <c r="BM212" s="26" t="n">
        <f aca="false">IF($AT212=1,$P212+(1000-ROW())/1000000,0)</f>
        <v>0</v>
      </c>
    </row>
    <row r="213" customFormat="false" ht="15" hidden="false" customHeight="false" outlineLevel="0" collapsed="false">
      <c r="AT213" s="26" t="n">
        <f aca="false">IF($D213="",0,IF(OR(StratFilter="All Loans",$E213=StratFilter),1,0))</f>
        <v>0</v>
      </c>
      <c r="AU213" s="18" t="str">
        <f aca="false">IF($D213="","",IFERROR(VLOOKUP(TRIM($K213),PropTypeMap,2,FALSE()),"Unmapped"))</f>
        <v/>
      </c>
      <c r="AV213" s="21" t="str">
        <f aca="false">IF($D213="","",IFERROR(VLOOKUP($J213,RegionMap,2,FALSE()),"Unmapped"))</f>
        <v/>
      </c>
      <c r="AW213" s="21" t="str">
        <f aca="false">IF($D213="","",IF($AC213="SOFR","Floating (SOFR)","Fixed / All-In"))</f>
        <v/>
      </c>
      <c r="AX213" s="24" t="str">
        <f aca="false">IF($D213="","",$AD213+SOFR)</f>
        <v/>
      </c>
      <c r="AY213" s="21" t="str">
        <f aca="false">IF($D213="","",IF($AF213="Waived","Waived",IF(ISNUMBER($AF213),IF($AF213&gt;AsOfDate,"In Place","Expired"),"None Reported")))</f>
        <v/>
      </c>
      <c r="AZ213" s="21" t="str">
        <f aca="false">IF($D213="","",IF(ISNUMBER($AG213),IF($AG213=0,"None",$AG213&amp;" Months"),IF($AG213="","None Reported",$AG213)))</f>
        <v/>
      </c>
      <c r="BA213" s="18" t="str">
        <f aca="false">IF($D213="","",IF($AK213="","Unlevered",$AK213))</f>
        <v/>
      </c>
      <c r="BB213" s="22" t="str">
        <f aca="false">IF($D213="","",SUM($AL213,$AO213))</f>
        <v/>
      </c>
      <c r="BC213" s="23" t="str">
        <f aca="false">IF($D213="","",IF($P213&gt;0,$BB213/$P213,0))</f>
        <v/>
      </c>
      <c r="BD213" s="25" t="str">
        <f aca="false">IF($D213="","",(AsOfDate-$AH213)/DaysPerMonth)</f>
        <v/>
      </c>
      <c r="BE213" s="25" t="str">
        <f aca="false">IF($D213="","",($AI213-AsOfDate)/DaysPerMonth)</f>
        <v/>
      </c>
      <c r="BF213" s="25" t="str">
        <f aca="false">IF($D213="","",($AJ213-AsOfDate)/DaysPerMonth)</f>
        <v/>
      </c>
      <c r="BG213" s="25" t="str">
        <f aca="false">IF($D213="","",MAX(0,$BE213))</f>
        <v/>
      </c>
      <c r="BH213" s="25" t="str">
        <f aca="false">IF($D213="","",MAX(0,$BF213))</f>
        <v/>
      </c>
      <c r="BI213" s="67" t="str">
        <f aca="false">IF($D213="","",YEAR($AI213))</f>
        <v/>
      </c>
      <c r="BJ213" s="67" t="str">
        <f aca="false">IF($D213="","",YEAR($AJ213))</f>
        <v/>
      </c>
      <c r="BK213" s="67" t="str">
        <f aca="false">IF($D213="","",YEAR($AH213))</f>
        <v/>
      </c>
      <c r="BM213" s="26" t="n">
        <f aca="false">IF($AT213=1,$P213+(1000-ROW())/1000000,0)</f>
        <v>0</v>
      </c>
    </row>
    <row r="214" customFormat="false" ht="15" hidden="false" customHeight="false" outlineLevel="0" collapsed="false">
      <c r="AT214" s="26" t="n">
        <f aca="false">IF($D214="",0,IF(OR(StratFilter="All Loans",$E214=StratFilter),1,0))</f>
        <v>0</v>
      </c>
      <c r="AU214" s="18" t="str">
        <f aca="false">IF($D214="","",IFERROR(VLOOKUP(TRIM($K214),PropTypeMap,2,FALSE()),"Unmapped"))</f>
        <v/>
      </c>
      <c r="AV214" s="21" t="str">
        <f aca="false">IF($D214="","",IFERROR(VLOOKUP($J214,RegionMap,2,FALSE()),"Unmapped"))</f>
        <v/>
      </c>
      <c r="AW214" s="21" t="str">
        <f aca="false">IF($D214="","",IF($AC214="SOFR","Floating (SOFR)","Fixed / All-In"))</f>
        <v/>
      </c>
      <c r="AX214" s="24" t="str">
        <f aca="false">IF($D214="","",$AD214+SOFR)</f>
        <v/>
      </c>
      <c r="AY214" s="21" t="str">
        <f aca="false">IF($D214="","",IF($AF214="Waived","Waived",IF(ISNUMBER($AF214),IF($AF214&gt;AsOfDate,"In Place","Expired"),"None Reported")))</f>
        <v/>
      </c>
      <c r="AZ214" s="21" t="str">
        <f aca="false">IF($D214="","",IF(ISNUMBER($AG214),IF($AG214=0,"None",$AG214&amp;" Months"),IF($AG214="","None Reported",$AG214)))</f>
        <v/>
      </c>
      <c r="BA214" s="18" t="str">
        <f aca="false">IF($D214="","",IF($AK214="","Unlevered",$AK214))</f>
        <v/>
      </c>
      <c r="BB214" s="22" t="str">
        <f aca="false">IF($D214="","",SUM($AL214,$AO214))</f>
        <v/>
      </c>
      <c r="BC214" s="23" t="str">
        <f aca="false">IF($D214="","",IF($P214&gt;0,$BB214/$P214,0))</f>
        <v/>
      </c>
      <c r="BD214" s="25" t="str">
        <f aca="false">IF($D214="","",(AsOfDate-$AH214)/DaysPerMonth)</f>
        <v/>
      </c>
      <c r="BE214" s="25" t="str">
        <f aca="false">IF($D214="","",($AI214-AsOfDate)/DaysPerMonth)</f>
        <v/>
      </c>
      <c r="BF214" s="25" t="str">
        <f aca="false">IF($D214="","",($AJ214-AsOfDate)/DaysPerMonth)</f>
        <v/>
      </c>
      <c r="BG214" s="25" t="str">
        <f aca="false">IF($D214="","",MAX(0,$BE214))</f>
        <v/>
      </c>
      <c r="BH214" s="25" t="str">
        <f aca="false">IF($D214="","",MAX(0,$BF214))</f>
        <v/>
      </c>
      <c r="BI214" s="67" t="str">
        <f aca="false">IF($D214="","",YEAR($AI214))</f>
        <v/>
      </c>
      <c r="BJ214" s="67" t="str">
        <f aca="false">IF($D214="","",YEAR($AJ214))</f>
        <v/>
      </c>
      <c r="BK214" s="67" t="str">
        <f aca="false">IF($D214="","",YEAR($AH214))</f>
        <v/>
      </c>
      <c r="BM214" s="26" t="n">
        <f aca="false">IF($AT214=1,$P214+(1000-ROW())/1000000,0)</f>
        <v>0</v>
      </c>
    </row>
    <row r="215" customFormat="false" ht="15" hidden="false" customHeight="false" outlineLevel="0" collapsed="false">
      <c r="AT215" s="26" t="n">
        <f aca="false">IF($D215="",0,IF(OR(StratFilter="All Loans",$E215=StratFilter),1,0))</f>
        <v>0</v>
      </c>
      <c r="AU215" s="18" t="str">
        <f aca="false">IF($D215="","",IFERROR(VLOOKUP(TRIM($K215),PropTypeMap,2,FALSE()),"Unmapped"))</f>
        <v/>
      </c>
      <c r="AV215" s="21" t="str">
        <f aca="false">IF($D215="","",IFERROR(VLOOKUP($J215,RegionMap,2,FALSE()),"Unmapped"))</f>
        <v/>
      </c>
      <c r="AW215" s="21" t="str">
        <f aca="false">IF($D215="","",IF($AC215="SOFR","Floating (SOFR)","Fixed / All-In"))</f>
        <v/>
      </c>
      <c r="AX215" s="24" t="str">
        <f aca="false">IF($D215="","",$AD215+SOFR)</f>
        <v/>
      </c>
      <c r="AY215" s="21" t="str">
        <f aca="false">IF($D215="","",IF($AF215="Waived","Waived",IF(ISNUMBER($AF215),IF($AF215&gt;AsOfDate,"In Place","Expired"),"None Reported")))</f>
        <v/>
      </c>
      <c r="AZ215" s="21" t="str">
        <f aca="false">IF($D215="","",IF(ISNUMBER($AG215),IF($AG215=0,"None",$AG215&amp;" Months"),IF($AG215="","None Reported",$AG215)))</f>
        <v/>
      </c>
      <c r="BA215" s="18" t="str">
        <f aca="false">IF($D215="","",IF($AK215="","Unlevered",$AK215))</f>
        <v/>
      </c>
      <c r="BB215" s="22" t="str">
        <f aca="false">IF($D215="","",SUM($AL215,$AO215))</f>
        <v/>
      </c>
      <c r="BC215" s="23" t="str">
        <f aca="false">IF($D215="","",IF($P215&gt;0,$BB215/$P215,0))</f>
        <v/>
      </c>
      <c r="BD215" s="25" t="str">
        <f aca="false">IF($D215="","",(AsOfDate-$AH215)/DaysPerMonth)</f>
        <v/>
      </c>
      <c r="BE215" s="25" t="str">
        <f aca="false">IF($D215="","",($AI215-AsOfDate)/DaysPerMonth)</f>
        <v/>
      </c>
      <c r="BF215" s="25" t="str">
        <f aca="false">IF($D215="","",($AJ215-AsOfDate)/DaysPerMonth)</f>
        <v/>
      </c>
      <c r="BG215" s="25" t="str">
        <f aca="false">IF($D215="","",MAX(0,$BE215))</f>
        <v/>
      </c>
      <c r="BH215" s="25" t="str">
        <f aca="false">IF($D215="","",MAX(0,$BF215))</f>
        <v/>
      </c>
      <c r="BI215" s="67" t="str">
        <f aca="false">IF($D215="","",YEAR($AI215))</f>
        <v/>
      </c>
      <c r="BJ215" s="67" t="str">
        <f aca="false">IF($D215="","",YEAR($AJ215))</f>
        <v/>
      </c>
      <c r="BK215" s="67" t="str">
        <f aca="false">IF($D215="","",YEAR($AH215))</f>
        <v/>
      </c>
      <c r="BM215" s="26" t="n">
        <f aca="false">IF($AT215=1,$P215+(1000-ROW())/1000000,0)</f>
        <v>0</v>
      </c>
    </row>
    <row r="216" customFormat="false" ht="15" hidden="false" customHeight="false" outlineLevel="0" collapsed="false">
      <c r="AT216" s="26" t="n">
        <f aca="false">IF($D216="",0,IF(OR(StratFilter="All Loans",$E216=StratFilter),1,0))</f>
        <v>0</v>
      </c>
      <c r="AU216" s="18" t="str">
        <f aca="false">IF($D216="","",IFERROR(VLOOKUP(TRIM($K216),PropTypeMap,2,FALSE()),"Unmapped"))</f>
        <v/>
      </c>
      <c r="AV216" s="21" t="str">
        <f aca="false">IF($D216="","",IFERROR(VLOOKUP($J216,RegionMap,2,FALSE()),"Unmapped"))</f>
        <v/>
      </c>
      <c r="AW216" s="21" t="str">
        <f aca="false">IF($D216="","",IF($AC216="SOFR","Floating (SOFR)","Fixed / All-In"))</f>
        <v/>
      </c>
      <c r="AX216" s="24" t="str">
        <f aca="false">IF($D216="","",$AD216+SOFR)</f>
        <v/>
      </c>
      <c r="AY216" s="21" t="str">
        <f aca="false">IF($D216="","",IF($AF216="Waived","Waived",IF(ISNUMBER($AF216),IF($AF216&gt;AsOfDate,"In Place","Expired"),"None Reported")))</f>
        <v/>
      </c>
      <c r="AZ216" s="21" t="str">
        <f aca="false">IF($D216="","",IF(ISNUMBER($AG216),IF($AG216=0,"None",$AG216&amp;" Months"),IF($AG216="","None Reported",$AG216)))</f>
        <v/>
      </c>
      <c r="BA216" s="18" t="str">
        <f aca="false">IF($D216="","",IF($AK216="","Unlevered",$AK216))</f>
        <v/>
      </c>
      <c r="BB216" s="22" t="str">
        <f aca="false">IF($D216="","",SUM($AL216,$AO216))</f>
        <v/>
      </c>
      <c r="BC216" s="23" t="str">
        <f aca="false">IF($D216="","",IF($P216&gt;0,$BB216/$P216,0))</f>
        <v/>
      </c>
      <c r="BD216" s="25" t="str">
        <f aca="false">IF($D216="","",(AsOfDate-$AH216)/DaysPerMonth)</f>
        <v/>
      </c>
      <c r="BE216" s="25" t="str">
        <f aca="false">IF($D216="","",($AI216-AsOfDate)/DaysPerMonth)</f>
        <v/>
      </c>
      <c r="BF216" s="25" t="str">
        <f aca="false">IF($D216="","",($AJ216-AsOfDate)/DaysPerMonth)</f>
        <v/>
      </c>
      <c r="BG216" s="25" t="str">
        <f aca="false">IF($D216="","",MAX(0,$BE216))</f>
        <v/>
      </c>
      <c r="BH216" s="25" t="str">
        <f aca="false">IF($D216="","",MAX(0,$BF216))</f>
        <v/>
      </c>
      <c r="BI216" s="67" t="str">
        <f aca="false">IF($D216="","",YEAR($AI216))</f>
        <v/>
      </c>
      <c r="BJ216" s="67" t="str">
        <f aca="false">IF($D216="","",YEAR($AJ216))</f>
        <v/>
      </c>
      <c r="BK216" s="67" t="str">
        <f aca="false">IF($D216="","",YEAR($AH216))</f>
        <v/>
      </c>
      <c r="BM216" s="26" t="n">
        <f aca="false">IF($AT216=1,$P216+(1000-ROW())/1000000,0)</f>
        <v>0</v>
      </c>
    </row>
    <row r="217" customFormat="false" ht="15" hidden="false" customHeight="false" outlineLevel="0" collapsed="false">
      <c r="AT217" s="26" t="n">
        <f aca="false">IF($D217="",0,IF(OR(StratFilter="All Loans",$E217=StratFilter),1,0))</f>
        <v>0</v>
      </c>
      <c r="AU217" s="18" t="str">
        <f aca="false">IF($D217="","",IFERROR(VLOOKUP(TRIM($K217),PropTypeMap,2,FALSE()),"Unmapped"))</f>
        <v/>
      </c>
      <c r="AV217" s="21" t="str">
        <f aca="false">IF($D217="","",IFERROR(VLOOKUP($J217,RegionMap,2,FALSE()),"Unmapped"))</f>
        <v/>
      </c>
      <c r="AW217" s="21" t="str">
        <f aca="false">IF($D217="","",IF($AC217="SOFR","Floating (SOFR)","Fixed / All-In"))</f>
        <v/>
      </c>
      <c r="AX217" s="24" t="str">
        <f aca="false">IF($D217="","",$AD217+SOFR)</f>
        <v/>
      </c>
      <c r="AY217" s="21" t="str">
        <f aca="false">IF($D217="","",IF($AF217="Waived","Waived",IF(ISNUMBER($AF217),IF($AF217&gt;AsOfDate,"In Place","Expired"),"None Reported")))</f>
        <v/>
      </c>
      <c r="AZ217" s="21" t="str">
        <f aca="false">IF($D217="","",IF(ISNUMBER($AG217),IF($AG217=0,"None",$AG217&amp;" Months"),IF($AG217="","None Reported",$AG217)))</f>
        <v/>
      </c>
      <c r="BA217" s="18" t="str">
        <f aca="false">IF($D217="","",IF($AK217="","Unlevered",$AK217))</f>
        <v/>
      </c>
      <c r="BB217" s="22" t="str">
        <f aca="false">IF($D217="","",SUM($AL217,$AO217))</f>
        <v/>
      </c>
      <c r="BC217" s="23" t="str">
        <f aca="false">IF($D217="","",IF($P217&gt;0,$BB217/$P217,0))</f>
        <v/>
      </c>
      <c r="BD217" s="25" t="str">
        <f aca="false">IF($D217="","",(AsOfDate-$AH217)/DaysPerMonth)</f>
        <v/>
      </c>
      <c r="BE217" s="25" t="str">
        <f aca="false">IF($D217="","",($AI217-AsOfDate)/DaysPerMonth)</f>
        <v/>
      </c>
      <c r="BF217" s="25" t="str">
        <f aca="false">IF($D217="","",($AJ217-AsOfDate)/DaysPerMonth)</f>
        <v/>
      </c>
      <c r="BG217" s="25" t="str">
        <f aca="false">IF($D217="","",MAX(0,$BE217))</f>
        <v/>
      </c>
      <c r="BH217" s="25" t="str">
        <f aca="false">IF($D217="","",MAX(0,$BF217))</f>
        <v/>
      </c>
      <c r="BI217" s="67" t="str">
        <f aca="false">IF($D217="","",YEAR($AI217))</f>
        <v/>
      </c>
      <c r="BJ217" s="67" t="str">
        <f aca="false">IF($D217="","",YEAR($AJ217))</f>
        <v/>
      </c>
      <c r="BK217" s="67" t="str">
        <f aca="false">IF($D217="","",YEAR($AH217))</f>
        <v/>
      </c>
      <c r="BM217" s="26" t="n">
        <f aca="false">IF($AT217=1,$P217+(1000-ROW())/1000000,0)</f>
        <v>0</v>
      </c>
    </row>
    <row r="218" customFormat="false" ht="15" hidden="false" customHeight="false" outlineLevel="0" collapsed="false">
      <c r="AT218" s="26" t="n">
        <f aca="false">IF($D218="",0,IF(OR(StratFilter="All Loans",$E218=StratFilter),1,0))</f>
        <v>0</v>
      </c>
      <c r="AU218" s="18" t="str">
        <f aca="false">IF($D218="","",IFERROR(VLOOKUP(TRIM($K218),PropTypeMap,2,FALSE()),"Unmapped"))</f>
        <v/>
      </c>
      <c r="AV218" s="21" t="str">
        <f aca="false">IF($D218="","",IFERROR(VLOOKUP($J218,RegionMap,2,FALSE()),"Unmapped"))</f>
        <v/>
      </c>
      <c r="AW218" s="21" t="str">
        <f aca="false">IF($D218="","",IF($AC218="SOFR","Floating (SOFR)","Fixed / All-In"))</f>
        <v/>
      </c>
      <c r="AX218" s="24" t="str">
        <f aca="false">IF($D218="","",$AD218+SOFR)</f>
        <v/>
      </c>
      <c r="AY218" s="21" t="str">
        <f aca="false">IF($D218="","",IF($AF218="Waived","Waived",IF(ISNUMBER($AF218),IF($AF218&gt;AsOfDate,"In Place","Expired"),"None Reported")))</f>
        <v/>
      </c>
      <c r="AZ218" s="21" t="str">
        <f aca="false">IF($D218="","",IF(ISNUMBER($AG218),IF($AG218=0,"None",$AG218&amp;" Months"),IF($AG218="","None Reported",$AG218)))</f>
        <v/>
      </c>
      <c r="BA218" s="18" t="str">
        <f aca="false">IF($D218="","",IF($AK218="","Unlevered",$AK218))</f>
        <v/>
      </c>
      <c r="BB218" s="22" t="str">
        <f aca="false">IF($D218="","",SUM($AL218,$AO218))</f>
        <v/>
      </c>
      <c r="BC218" s="23" t="str">
        <f aca="false">IF($D218="","",IF($P218&gt;0,$BB218/$P218,0))</f>
        <v/>
      </c>
      <c r="BD218" s="25" t="str">
        <f aca="false">IF($D218="","",(AsOfDate-$AH218)/DaysPerMonth)</f>
        <v/>
      </c>
      <c r="BE218" s="25" t="str">
        <f aca="false">IF($D218="","",($AI218-AsOfDate)/DaysPerMonth)</f>
        <v/>
      </c>
      <c r="BF218" s="25" t="str">
        <f aca="false">IF($D218="","",($AJ218-AsOfDate)/DaysPerMonth)</f>
        <v/>
      </c>
      <c r="BG218" s="25" t="str">
        <f aca="false">IF($D218="","",MAX(0,$BE218))</f>
        <v/>
      </c>
      <c r="BH218" s="25" t="str">
        <f aca="false">IF($D218="","",MAX(0,$BF218))</f>
        <v/>
      </c>
      <c r="BI218" s="67" t="str">
        <f aca="false">IF($D218="","",YEAR($AI218))</f>
        <v/>
      </c>
      <c r="BJ218" s="67" t="str">
        <f aca="false">IF($D218="","",YEAR($AJ218))</f>
        <v/>
      </c>
      <c r="BK218" s="67" t="str">
        <f aca="false">IF($D218="","",YEAR($AH218))</f>
        <v/>
      </c>
      <c r="BM218" s="26" t="n">
        <f aca="false">IF($AT218=1,$P218+(1000-ROW())/1000000,0)</f>
        <v>0</v>
      </c>
    </row>
    <row r="219" customFormat="false" ht="15" hidden="false" customHeight="false" outlineLevel="0" collapsed="false">
      <c r="AT219" s="26" t="n">
        <f aca="false">IF($D219="",0,IF(OR(StratFilter="All Loans",$E219=StratFilter),1,0))</f>
        <v>0</v>
      </c>
      <c r="AU219" s="18" t="str">
        <f aca="false">IF($D219="","",IFERROR(VLOOKUP(TRIM($K219),PropTypeMap,2,FALSE()),"Unmapped"))</f>
        <v/>
      </c>
      <c r="AV219" s="21" t="str">
        <f aca="false">IF($D219="","",IFERROR(VLOOKUP($J219,RegionMap,2,FALSE()),"Unmapped"))</f>
        <v/>
      </c>
      <c r="AW219" s="21" t="str">
        <f aca="false">IF($D219="","",IF($AC219="SOFR","Floating (SOFR)","Fixed / All-In"))</f>
        <v/>
      </c>
      <c r="AX219" s="24" t="str">
        <f aca="false">IF($D219="","",$AD219+SOFR)</f>
        <v/>
      </c>
      <c r="AY219" s="21" t="str">
        <f aca="false">IF($D219="","",IF($AF219="Waived","Waived",IF(ISNUMBER($AF219),IF($AF219&gt;AsOfDate,"In Place","Expired"),"None Reported")))</f>
        <v/>
      </c>
      <c r="AZ219" s="21" t="str">
        <f aca="false">IF($D219="","",IF(ISNUMBER($AG219),IF($AG219=0,"None",$AG219&amp;" Months"),IF($AG219="","None Reported",$AG219)))</f>
        <v/>
      </c>
      <c r="BA219" s="18" t="str">
        <f aca="false">IF($D219="","",IF($AK219="","Unlevered",$AK219))</f>
        <v/>
      </c>
      <c r="BB219" s="22" t="str">
        <f aca="false">IF($D219="","",SUM($AL219,$AO219))</f>
        <v/>
      </c>
      <c r="BC219" s="23" t="str">
        <f aca="false">IF($D219="","",IF($P219&gt;0,$BB219/$P219,0))</f>
        <v/>
      </c>
      <c r="BD219" s="25" t="str">
        <f aca="false">IF($D219="","",(AsOfDate-$AH219)/DaysPerMonth)</f>
        <v/>
      </c>
      <c r="BE219" s="25" t="str">
        <f aca="false">IF($D219="","",($AI219-AsOfDate)/DaysPerMonth)</f>
        <v/>
      </c>
      <c r="BF219" s="25" t="str">
        <f aca="false">IF($D219="","",($AJ219-AsOfDate)/DaysPerMonth)</f>
        <v/>
      </c>
      <c r="BG219" s="25" t="str">
        <f aca="false">IF($D219="","",MAX(0,$BE219))</f>
        <v/>
      </c>
      <c r="BH219" s="25" t="str">
        <f aca="false">IF($D219="","",MAX(0,$BF219))</f>
        <v/>
      </c>
      <c r="BI219" s="67" t="str">
        <f aca="false">IF($D219="","",YEAR($AI219))</f>
        <v/>
      </c>
      <c r="BJ219" s="67" t="str">
        <f aca="false">IF($D219="","",YEAR($AJ219))</f>
        <v/>
      </c>
      <c r="BK219" s="67" t="str">
        <f aca="false">IF($D219="","",YEAR($AH219))</f>
        <v/>
      </c>
      <c r="BM219" s="26" t="n">
        <f aca="false">IF($AT219=1,$P219+(1000-ROW())/1000000,0)</f>
        <v>0</v>
      </c>
    </row>
    <row r="220" customFormat="false" ht="15" hidden="false" customHeight="false" outlineLevel="0" collapsed="false">
      <c r="AT220" s="26" t="n">
        <f aca="false">IF($D220="",0,IF(OR(StratFilter="All Loans",$E220=StratFilter),1,0))</f>
        <v>0</v>
      </c>
      <c r="AU220" s="18" t="str">
        <f aca="false">IF($D220="","",IFERROR(VLOOKUP(TRIM($K220),PropTypeMap,2,FALSE()),"Unmapped"))</f>
        <v/>
      </c>
      <c r="AV220" s="21" t="str">
        <f aca="false">IF($D220="","",IFERROR(VLOOKUP($J220,RegionMap,2,FALSE()),"Unmapped"))</f>
        <v/>
      </c>
      <c r="AW220" s="21" t="str">
        <f aca="false">IF($D220="","",IF($AC220="SOFR","Floating (SOFR)","Fixed / All-In"))</f>
        <v/>
      </c>
      <c r="AX220" s="24" t="str">
        <f aca="false">IF($D220="","",$AD220+SOFR)</f>
        <v/>
      </c>
      <c r="AY220" s="21" t="str">
        <f aca="false">IF($D220="","",IF($AF220="Waived","Waived",IF(ISNUMBER($AF220),IF($AF220&gt;AsOfDate,"In Place","Expired"),"None Reported")))</f>
        <v/>
      </c>
      <c r="AZ220" s="21" t="str">
        <f aca="false">IF($D220="","",IF(ISNUMBER($AG220),IF($AG220=0,"None",$AG220&amp;" Months"),IF($AG220="","None Reported",$AG220)))</f>
        <v/>
      </c>
      <c r="BA220" s="18" t="str">
        <f aca="false">IF($D220="","",IF($AK220="","Unlevered",$AK220))</f>
        <v/>
      </c>
      <c r="BB220" s="22" t="str">
        <f aca="false">IF($D220="","",SUM($AL220,$AO220))</f>
        <v/>
      </c>
      <c r="BC220" s="23" t="str">
        <f aca="false">IF($D220="","",IF($P220&gt;0,$BB220/$P220,0))</f>
        <v/>
      </c>
      <c r="BD220" s="25" t="str">
        <f aca="false">IF($D220="","",(AsOfDate-$AH220)/DaysPerMonth)</f>
        <v/>
      </c>
      <c r="BE220" s="25" t="str">
        <f aca="false">IF($D220="","",($AI220-AsOfDate)/DaysPerMonth)</f>
        <v/>
      </c>
      <c r="BF220" s="25" t="str">
        <f aca="false">IF($D220="","",($AJ220-AsOfDate)/DaysPerMonth)</f>
        <v/>
      </c>
      <c r="BG220" s="25" t="str">
        <f aca="false">IF($D220="","",MAX(0,$BE220))</f>
        <v/>
      </c>
      <c r="BH220" s="25" t="str">
        <f aca="false">IF($D220="","",MAX(0,$BF220))</f>
        <v/>
      </c>
      <c r="BI220" s="67" t="str">
        <f aca="false">IF($D220="","",YEAR($AI220))</f>
        <v/>
      </c>
      <c r="BJ220" s="67" t="str">
        <f aca="false">IF($D220="","",YEAR($AJ220))</f>
        <v/>
      </c>
      <c r="BK220" s="67" t="str">
        <f aca="false">IF($D220="","",YEAR($AH220))</f>
        <v/>
      </c>
      <c r="BM220" s="26" t="n">
        <f aca="false">IF($AT220=1,$P220+(1000-ROW())/1000000,0)</f>
        <v>0</v>
      </c>
    </row>
    <row r="221" customFormat="false" ht="15" hidden="false" customHeight="false" outlineLevel="0" collapsed="false">
      <c r="AT221" s="26" t="n">
        <f aca="false">IF($D221="",0,IF(OR(StratFilter="All Loans",$E221=StratFilter),1,0))</f>
        <v>0</v>
      </c>
      <c r="AU221" s="18" t="str">
        <f aca="false">IF($D221="","",IFERROR(VLOOKUP(TRIM($K221),PropTypeMap,2,FALSE()),"Unmapped"))</f>
        <v/>
      </c>
      <c r="AV221" s="21" t="str">
        <f aca="false">IF($D221="","",IFERROR(VLOOKUP($J221,RegionMap,2,FALSE()),"Unmapped"))</f>
        <v/>
      </c>
      <c r="AW221" s="21" t="str">
        <f aca="false">IF($D221="","",IF($AC221="SOFR","Floating (SOFR)","Fixed / All-In"))</f>
        <v/>
      </c>
      <c r="AX221" s="24" t="str">
        <f aca="false">IF($D221="","",$AD221+SOFR)</f>
        <v/>
      </c>
      <c r="AY221" s="21" t="str">
        <f aca="false">IF($D221="","",IF($AF221="Waived","Waived",IF(ISNUMBER($AF221),IF($AF221&gt;AsOfDate,"In Place","Expired"),"None Reported")))</f>
        <v/>
      </c>
      <c r="AZ221" s="21" t="str">
        <f aca="false">IF($D221="","",IF(ISNUMBER($AG221),IF($AG221=0,"None",$AG221&amp;" Months"),IF($AG221="","None Reported",$AG221)))</f>
        <v/>
      </c>
      <c r="BA221" s="18" t="str">
        <f aca="false">IF($D221="","",IF($AK221="","Unlevered",$AK221))</f>
        <v/>
      </c>
      <c r="BB221" s="22" t="str">
        <f aca="false">IF($D221="","",SUM($AL221,$AO221))</f>
        <v/>
      </c>
      <c r="BC221" s="23" t="str">
        <f aca="false">IF($D221="","",IF($P221&gt;0,$BB221/$P221,0))</f>
        <v/>
      </c>
      <c r="BD221" s="25" t="str">
        <f aca="false">IF($D221="","",(AsOfDate-$AH221)/DaysPerMonth)</f>
        <v/>
      </c>
      <c r="BE221" s="25" t="str">
        <f aca="false">IF($D221="","",($AI221-AsOfDate)/DaysPerMonth)</f>
        <v/>
      </c>
      <c r="BF221" s="25" t="str">
        <f aca="false">IF($D221="","",($AJ221-AsOfDate)/DaysPerMonth)</f>
        <v/>
      </c>
      <c r="BG221" s="25" t="str">
        <f aca="false">IF($D221="","",MAX(0,$BE221))</f>
        <v/>
      </c>
      <c r="BH221" s="25" t="str">
        <f aca="false">IF($D221="","",MAX(0,$BF221))</f>
        <v/>
      </c>
      <c r="BI221" s="67" t="str">
        <f aca="false">IF($D221="","",YEAR($AI221))</f>
        <v/>
      </c>
      <c r="BJ221" s="67" t="str">
        <f aca="false">IF($D221="","",YEAR($AJ221))</f>
        <v/>
      </c>
      <c r="BK221" s="67" t="str">
        <f aca="false">IF($D221="","",YEAR($AH221))</f>
        <v/>
      </c>
      <c r="BM221" s="26" t="n">
        <f aca="false">IF($AT221=1,$P221+(1000-ROW())/1000000,0)</f>
        <v>0</v>
      </c>
    </row>
    <row r="222" customFormat="false" ht="15" hidden="false" customHeight="false" outlineLevel="0" collapsed="false">
      <c r="AT222" s="26" t="n">
        <f aca="false">IF($D222="",0,IF(OR(StratFilter="All Loans",$E222=StratFilter),1,0))</f>
        <v>0</v>
      </c>
      <c r="AU222" s="18" t="str">
        <f aca="false">IF($D222="","",IFERROR(VLOOKUP(TRIM($K222),PropTypeMap,2,FALSE()),"Unmapped"))</f>
        <v/>
      </c>
      <c r="AV222" s="21" t="str">
        <f aca="false">IF($D222="","",IFERROR(VLOOKUP($J222,RegionMap,2,FALSE()),"Unmapped"))</f>
        <v/>
      </c>
      <c r="AW222" s="21" t="str">
        <f aca="false">IF($D222="","",IF($AC222="SOFR","Floating (SOFR)","Fixed / All-In"))</f>
        <v/>
      </c>
      <c r="AX222" s="24" t="str">
        <f aca="false">IF($D222="","",$AD222+SOFR)</f>
        <v/>
      </c>
      <c r="AY222" s="21" t="str">
        <f aca="false">IF($D222="","",IF($AF222="Waived","Waived",IF(ISNUMBER($AF222),IF($AF222&gt;AsOfDate,"In Place","Expired"),"None Reported")))</f>
        <v/>
      </c>
      <c r="AZ222" s="21" t="str">
        <f aca="false">IF($D222="","",IF(ISNUMBER($AG222),IF($AG222=0,"None",$AG222&amp;" Months"),IF($AG222="","None Reported",$AG222)))</f>
        <v/>
      </c>
      <c r="BA222" s="18" t="str">
        <f aca="false">IF($D222="","",IF($AK222="","Unlevered",$AK222))</f>
        <v/>
      </c>
      <c r="BB222" s="22" t="str">
        <f aca="false">IF($D222="","",SUM($AL222,$AO222))</f>
        <v/>
      </c>
      <c r="BC222" s="23" t="str">
        <f aca="false">IF($D222="","",IF($P222&gt;0,$BB222/$P222,0))</f>
        <v/>
      </c>
      <c r="BD222" s="25" t="str">
        <f aca="false">IF($D222="","",(AsOfDate-$AH222)/DaysPerMonth)</f>
        <v/>
      </c>
      <c r="BE222" s="25" t="str">
        <f aca="false">IF($D222="","",($AI222-AsOfDate)/DaysPerMonth)</f>
        <v/>
      </c>
      <c r="BF222" s="25" t="str">
        <f aca="false">IF($D222="","",($AJ222-AsOfDate)/DaysPerMonth)</f>
        <v/>
      </c>
      <c r="BG222" s="25" t="str">
        <f aca="false">IF($D222="","",MAX(0,$BE222))</f>
        <v/>
      </c>
      <c r="BH222" s="25" t="str">
        <f aca="false">IF($D222="","",MAX(0,$BF222))</f>
        <v/>
      </c>
      <c r="BI222" s="67" t="str">
        <f aca="false">IF($D222="","",YEAR($AI222))</f>
        <v/>
      </c>
      <c r="BJ222" s="67" t="str">
        <f aca="false">IF($D222="","",YEAR($AJ222))</f>
        <v/>
      </c>
      <c r="BK222" s="67" t="str">
        <f aca="false">IF($D222="","",YEAR($AH222))</f>
        <v/>
      </c>
      <c r="BM222" s="26" t="n">
        <f aca="false">IF($AT222=1,$P222+(1000-ROW())/1000000,0)</f>
        <v>0</v>
      </c>
    </row>
    <row r="223" customFormat="false" ht="15" hidden="false" customHeight="false" outlineLevel="0" collapsed="false">
      <c r="AT223" s="26" t="n">
        <f aca="false">IF($D223="",0,IF(OR(StratFilter="All Loans",$E223=StratFilter),1,0))</f>
        <v>0</v>
      </c>
      <c r="AU223" s="18" t="str">
        <f aca="false">IF($D223="","",IFERROR(VLOOKUP(TRIM($K223),PropTypeMap,2,FALSE()),"Unmapped"))</f>
        <v/>
      </c>
      <c r="AV223" s="21" t="str">
        <f aca="false">IF($D223="","",IFERROR(VLOOKUP($J223,RegionMap,2,FALSE()),"Unmapped"))</f>
        <v/>
      </c>
      <c r="AW223" s="21" t="str">
        <f aca="false">IF($D223="","",IF($AC223="SOFR","Floating (SOFR)","Fixed / All-In"))</f>
        <v/>
      </c>
      <c r="AX223" s="24" t="str">
        <f aca="false">IF($D223="","",$AD223+SOFR)</f>
        <v/>
      </c>
      <c r="AY223" s="21" t="str">
        <f aca="false">IF($D223="","",IF($AF223="Waived","Waived",IF(ISNUMBER($AF223),IF($AF223&gt;AsOfDate,"In Place","Expired"),"None Reported")))</f>
        <v/>
      </c>
      <c r="AZ223" s="21" t="str">
        <f aca="false">IF($D223="","",IF(ISNUMBER($AG223),IF($AG223=0,"None",$AG223&amp;" Months"),IF($AG223="","None Reported",$AG223)))</f>
        <v/>
      </c>
      <c r="BA223" s="18" t="str">
        <f aca="false">IF($D223="","",IF($AK223="","Unlevered",$AK223))</f>
        <v/>
      </c>
      <c r="BB223" s="22" t="str">
        <f aca="false">IF($D223="","",SUM($AL223,$AO223))</f>
        <v/>
      </c>
      <c r="BC223" s="23" t="str">
        <f aca="false">IF($D223="","",IF($P223&gt;0,$BB223/$P223,0))</f>
        <v/>
      </c>
      <c r="BD223" s="25" t="str">
        <f aca="false">IF($D223="","",(AsOfDate-$AH223)/DaysPerMonth)</f>
        <v/>
      </c>
      <c r="BE223" s="25" t="str">
        <f aca="false">IF($D223="","",($AI223-AsOfDate)/DaysPerMonth)</f>
        <v/>
      </c>
      <c r="BF223" s="25" t="str">
        <f aca="false">IF($D223="","",($AJ223-AsOfDate)/DaysPerMonth)</f>
        <v/>
      </c>
      <c r="BG223" s="25" t="str">
        <f aca="false">IF($D223="","",MAX(0,$BE223))</f>
        <v/>
      </c>
      <c r="BH223" s="25" t="str">
        <f aca="false">IF($D223="","",MAX(0,$BF223))</f>
        <v/>
      </c>
      <c r="BI223" s="67" t="str">
        <f aca="false">IF($D223="","",YEAR($AI223))</f>
        <v/>
      </c>
      <c r="BJ223" s="67" t="str">
        <f aca="false">IF($D223="","",YEAR($AJ223))</f>
        <v/>
      </c>
      <c r="BK223" s="67" t="str">
        <f aca="false">IF($D223="","",YEAR($AH223))</f>
        <v/>
      </c>
      <c r="BM223" s="26" t="n">
        <f aca="false">IF($AT223=1,$P223+(1000-ROW())/1000000,0)</f>
        <v>0</v>
      </c>
    </row>
    <row r="224" customFormat="false" ht="15" hidden="false" customHeight="false" outlineLevel="0" collapsed="false">
      <c r="AT224" s="26" t="n">
        <f aca="false">IF($D224="",0,IF(OR(StratFilter="All Loans",$E224=StratFilter),1,0))</f>
        <v>0</v>
      </c>
      <c r="AU224" s="18" t="str">
        <f aca="false">IF($D224="","",IFERROR(VLOOKUP(TRIM($K224),PropTypeMap,2,FALSE()),"Unmapped"))</f>
        <v/>
      </c>
      <c r="AV224" s="21" t="str">
        <f aca="false">IF($D224="","",IFERROR(VLOOKUP($J224,RegionMap,2,FALSE()),"Unmapped"))</f>
        <v/>
      </c>
      <c r="AW224" s="21" t="str">
        <f aca="false">IF($D224="","",IF($AC224="SOFR","Floating (SOFR)","Fixed / All-In"))</f>
        <v/>
      </c>
      <c r="AX224" s="24" t="str">
        <f aca="false">IF($D224="","",$AD224+SOFR)</f>
        <v/>
      </c>
      <c r="AY224" s="21" t="str">
        <f aca="false">IF($D224="","",IF($AF224="Waived","Waived",IF(ISNUMBER($AF224),IF($AF224&gt;AsOfDate,"In Place","Expired"),"None Reported")))</f>
        <v/>
      </c>
      <c r="AZ224" s="21" t="str">
        <f aca="false">IF($D224="","",IF(ISNUMBER($AG224),IF($AG224=0,"None",$AG224&amp;" Months"),IF($AG224="","None Reported",$AG224)))</f>
        <v/>
      </c>
      <c r="BA224" s="18" t="str">
        <f aca="false">IF($D224="","",IF($AK224="","Unlevered",$AK224))</f>
        <v/>
      </c>
      <c r="BB224" s="22" t="str">
        <f aca="false">IF($D224="","",SUM($AL224,$AO224))</f>
        <v/>
      </c>
      <c r="BC224" s="23" t="str">
        <f aca="false">IF($D224="","",IF($P224&gt;0,$BB224/$P224,0))</f>
        <v/>
      </c>
      <c r="BD224" s="25" t="str">
        <f aca="false">IF($D224="","",(AsOfDate-$AH224)/DaysPerMonth)</f>
        <v/>
      </c>
      <c r="BE224" s="25" t="str">
        <f aca="false">IF($D224="","",($AI224-AsOfDate)/DaysPerMonth)</f>
        <v/>
      </c>
      <c r="BF224" s="25" t="str">
        <f aca="false">IF($D224="","",($AJ224-AsOfDate)/DaysPerMonth)</f>
        <v/>
      </c>
      <c r="BG224" s="25" t="str">
        <f aca="false">IF($D224="","",MAX(0,$BE224))</f>
        <v/>
      </c>
      <c r="BH224" s="25" t="str">
        <f aca="false">IF($D224="","",MAX(0,$BF224))</f>
        <v/>
      </c>
      <c r="BI224" s="67" t="str">
        <f aca="false">IF($D224="","",YEAR($AI224))</f>
        <v/>
      </c>
      <c r="BJ224" s="67" t="str">
        <f aca="false">IF($D224="","",YEAR($AJ224))</f>
        <v/>
      </c>
      <c r="BK224" s="67" t="str">
        <f aca="false">IF($D224="","",YEAR($AH224))</f>
        <v/>
      </c>
      <c r="BM224" s="26" t="n">
        <f aca="false">IF($AT224=1,$P224+(1000-ROW())/1000000,0)</f>
        <v>0</v>
      </c>
    </row>
    <row r="225" customFormat="false" ht="15" hidden="false" customHeight="false" outlineLevel="0" collapsed="false">
      <c r="AT225" s="26" t="n">
        <f aca="false">IF($D225="",0,IF(OR(StratFilter="All Loans",$E225=StratFilter),1,0))</f>
        <v>0</v>
      </c>
      <c r="AU225" s="18" t="str">
        <f aca="false">IF($D225="","",IFERROR(VLOOKUP(TRIM($K225),PropTypeMap,2,FALSE()),"Unmapped"))</f>
        <v/>
      </c>
      <c r="AV225" s="21" t="str">
        <f aca="false">IF($D225="","",IFERROR(VLOOKUP($J225,RegionMap,2,FALSE()),"Unmapped"))</f>
        <v/>
      </c>
      <c r="AW225" s="21" t="str">
        <f aca="false">IF($D225="","",IF($AC225="SOFR","Floating (SOFR)","Fixed / All-In"))</f>
        <v/>
      </c>
      <c r="AX225" s="24" t="str">
        <f aca="false">IF($D225="","",$AD225+SOFR)</f>
        <v/>
      </c>
      <c r="AY225" s="21" t="str">
        <f aca="false">IF($D225="","",IF($AF225="Waived","Waived",IF(ISNUMBER($AF225),IF($AF225&gt;AsOfDate,"In Place","Expired"),"None Reported")))</f>
        <v/>
      </c>
      <c r="AZ225" s="21" t="str">
        <f aca="false">IF($D225="","",IF(ISNUMBER($AG225),IF($AG225=0,"None",$AG225&amp;" Months"),IF($AG225="","None Reported",$AG225)))</f>
        <v/>
      </c>
      <c r="BA225" s="18" t="str">
        <f aca="false">IF($D225="","",IF($AK225="","Unlevered",$AK225))</f>
        <v/>
      </c>
      <c r="BB225" s="22" t="str">
        <f aca="false">IF($D225="","",SUM($AL225,$AO225))</f>
        <v/>
      </c>
      <c r="BC225" s="23" t="str">
        <f aca="false">IF($D225="","",IF($P225&gt;0,$BB225/$P225,0))</f>
        <v/>
      </c>
      <c r="BD225" s="25" t="str">
        <f aca="false">IF($D225="","",(AsOfDate-$AH225)/DaysPerMonth)</f>
        <v/>
      </c>
      <c r="BE225" s="25" t="str">
        <f aca="false">IF($D225="","",($AI225-AsOfDate)/DaysPerMonth)</f>
        <v/>
      </c>
      <c r="BF225" s="25" t="str">
        <f aca="false">IF($D225="","",($AJ225-AsOfDate)/DaysPerMonth)</f>
        <v/>
      </c>
      <c r="BG225" s="25" t="str">
        <f aca="false">IF($D225="","",MAX(0,$BE225))</f>
        <v/>
      </c>
      <c r="BH225" s="25" t="str">
        <f aca="false">IF($D225="","",MAX(0,$BF225))</f>
        <v/>
      </c>
      <c r="BI225" s="67" t="str">
        <f aca="false">IF($D225="","",YEAR($AI225))</f>
        <v/>
      </c>
      <c r="BJ225" s="67" t="str">
        <f aca="false">IF($D225="","",YEAR($AJ225))</f>
        <v/>
      </c>
      <c r="BK225" s="67" t="str">
        <f aca="false">IF($D225="","",YEAR($AH225))</f>
        <v/>
      </c>
      <c r="BM225" s="26" t="n">
        <f aca="false">IF($AT225=1,$P225+(1000-ROW())/1000000,0)</f>
        <v>0</v>
      </c>
    </row>
    <row r="226" customFormat="false" ht="15" hidden="false" customHeight="false" outlineLevel="0" collapsed="false">
      <c r="AT226" s="26" t="n">
        <f aca="false">IF($D226="",0,IF(OR(StratFilter="All Loans",$E226=StratFilter),1,0))</f>
        <v>0</v>
      </c>
      <c r="AU226" s="18" t="str">
        <f aca="false">IF($D226="","",IFERROR(VLOOKUP(TRIM($K226),PropTypeMap,2,FALSE()),"Unmapped"))</f>
        <v/>
      </c>
      <c r="AV226" s="21" t="str">
        <f aca="false">IF($D226="","",IFERROR(VLOOKUP($J226,RegionMap,2,FALSE()),"Unmapped"))</f>
        <v/>
      </c>
      <c r="AW226" s="21" t="str">
        <f aca="false">IF($D226="","",IF($AC226="SOFR","Floating (SOFR)","Fixed / All-In"))</f>
        <v/>
      </c>
      <c r="AX226" s="24" t="str">
        <f aca="false">IF($D226="","",$AD226+SOFR)</f>
        <v/>
      </c>
      <c r="AY226" s="21" t="str">
        <f aca="false">IF($D226="","",IF($AF226="Waived","Waived",IF(ISNUMBER($AF226),IF($AF226&gt;AsOfDate,"In Place","Expired"),"None Reported")))</f>
        <v/>
      </c>
      <c r="AZ226" s="21" t="str">
        <f aca="false">IF($D226="","",IF(ISNUMBER($AG226),IF($AG226=0,"None",$AG226&amp;" Months"),IF($AG226="","None Reported",$AG226)))</f>
        <v/>
      </c>
      <c r="BA226" s="18" t="str">
        <f aca="false">IF($D226="","",IF($AK226="","Unlevered",$AK226))</f>
        <v/>
      </c>
      <c r="BB226" s="22" t="str">
        <f aca="false">IF($D226="","",SUM($AL226,$AO226))</f>
        <v/>
      </c>
      <c r="BC226" s="23" t="str">
        <f aca="false">IF($D226="","",IF($P226&gt;0,$BB226/$P226,0))</f>
        <v/>
      </c>
      <c r="BD226" s="25" t="str">
        <f aca="false">IF($D226="","",(AsOfDate-$AH226)/DaysPerMonth)</f>
        <v/>
      </c>
      <c r="BE226" s="25" t="str">
        <f aca="false">IF($D226="","",($AI226-AsOfDate)/DaysPerMonth)</f>
        <v/>
      </c>
      <c r="BF226" s="25" t="str">
        <f aca="false">IF($D226="","",($AJ226-AsOfDate)/DaysPerMonth)</f>
        <v/>
      </c>
      <c r="BG226" s="25" t="str">
        <f aca="false">IF($D226="","",MAX(0,$BE226))</f>
        <v/>
      </c>
      <c r="BH226" s="25" t="str">
        <f aca="false">IF($D226="","",MAX(0,$BF226))</f>
        <v/>
      </c>
      <c r="BI226" s="67" t="str">
        <f aca="false">IF($D226="","",YEAR($AI226))</f>
        <v/>
      </c>
      <c r="BJ226" s="67" t="str">
        <f aca="false">IF($D226="","",YEAR($AJ226))</f>
        <v/>
      </c>
      <c r="BK226" s="67" t="str">
        <f aca="false">IF($D226="","",YEAR($AH226))</f>
        <v/>
      </c>
      <c r="BM226" s="26" t="n">
        <f aca="false">IF($AT226=1,$P226+(1000-ROW())/1000000,0)</f>
        <v>0</v>
      </c>
    </row>
    <row r="227" customFormat="false" ht="15" hidden="false" customHeight="false" outlineLevel="0" collapsed="false">
      <c r="AT227" s="26" t="n">
        <f aca="false">IF($D227="",0,IF(OR(StratFilter="All Loans",$E227=StratFilter),1,0))</f>
        <v>0</v>
      </c>
      <c r="AU227" s="18" t="str">
        <f aca="false">IF($D227="","",IFERROR(VLOOKUP(TRIM($K227),PropTypeMap,2,FALSE()),"Unmapped"))</f>
        <v/>
      </c>
      <c r="AV227" s="21" t="str">
        <f aca="false">IF($D227="","",IFERROR(VLOOKUP($J227,RegionMap,2,FALSE()),"Unmapped"))</f>
        <v/>
      </c>
      <c r="AW227" s="21" t="str">
        <f aca="false">IF($D227="","",IF($AC227="SOFR","Floating (SOFR)","Fixed / All-In"))</f>
        <v/>
      </c>
      <c r="AX227" s="24" t="str">
        <f aca="false">IF($D227="","",$AD227+SOFR)</f>
        <v/>
      </c>
      <c r="AY227" s="21" t="str">
        <f aca="false">IF($D227="","",IF($AF227="Waived","Waived",IF(ISNUMBER($AF227),IF($AF227&gt;AsOfDate,"In Place","Expired"),"None Reported")))</f>
        <v/>
      </c>
      <c r="AZ227" s="21" t="str">
        <f aca="false">IF($D227="","",IF(ISNUMBER($AG227),IF($AG227=0,"None",$AG227&amp;" Months"),IF($AG227="","None Reported",$AG227)))</f>
        <v/>
      </c>
      <c r="BA227" s="18" t="str">
        <f aca="false">IF($D227="","",IF($AK227="","Unlevered",$AK227))</f>
        <v/>
      </c>
      <c r="BB227" s="22" t="str">
        <f aca="false">IF($D227="","",SUM($AL227,$AO227))</f>
        <v/>
      </c>
      <c r="BC227" s="23" t="str">
        <f aca="false">IF($D227="","",IF($P227&gt;0,$BB227/$P227,0))</f>
        <v/>
      </c>
      <c r="BD227" s="25" t="str">
        <f aca="false">IF($D227="","",(AsOfDate-$AH227)/DaysPerMonth)</f>
        <v/>
      </c>
      <c r="BE227" s="25" t="str">
        <f aca="false">IF($D227="","",($AI227-AsOfDate)/DaysPerMonth)</f>
        <v/>
      </c>
      <c r="BF227" s="25" t="str">
        <f aca="false">IF($D227="","",($AJ227-AsOfDate)/DaysPerMonth)</f>
        <v/>
      </c>
      <c r="BG227" s="25" t="str">
        <f aca="false">IF($D227="","",MAX(0,$BE227))</f>
        <v/>
      </c>
      <c r="BH227" s="25" t="str">
        <f aca="false">IF($D227="","",MAX(0,$BF227))</f>
        <v/>
      </c>
      <c r="BI227" s="67" t="str">
        <f aca="false">IF($D227="","",YEAR($AI227))</f>
        <v/>
      </c>
      <c r="BJ227" s="67" t="str">
        <f aca="false">IF($D227="","",YEAR($AJ227))</f>
        <v/>
      </c>
      <c r="BK227" s="67" t="str">
        <f aca="false">IF($D227="","",YEAR($AH227))</f>
        <v/>
      </c>
      <c r="BM227" s="26" t="n">
        <f aca="false">IF($AT227=1,$P227+(1000-ROW())/1000000,0)</f>
        <v>0</v>
      </c>
    </row>
    <row r="228" customFormat="false" ht="15" hidden="false" customHeight="false" outlineLevel="0" collapsed="false">
      <c r="AT228" s="26" t="n">
        <f aca="false">IF($D228="",0,IF(OR(StratFilter="All Loans",$E228=StratFilter),1,0))</f>
        <v>0</v>
      </c>
      <c r="AU228" s="18" t="str">
        <f aca="false">IF($D228="","",IFERROR(VLOOKUP(TRIM($K228),PropTypeMap,2,FALSE()),"Unmapped"))</f>
        <v/>
      </c>
      <c r="AV228" s="21" t="str">
        <f aca="false">IF($D228="","",IFERROR(VLOOKUP($J228,RegionMap,2,FALSE()),"Unmapped"))</f>
        <v/>
      </c>
      <c r="AW228" s="21" t="str">
        <f aca="false">IF($D228="","",IF($AC228="SOFR","Floating (SOFR)","Fixed / All-In"))</f>
        <v/>
      </c>
      <c r="AX228" s="24" t="str">
        <f aca="false">IF($D228="","",$AD228+SOFR)</f>
        <v/>
      </c>
      <c r="AY228" s="21" t="str">
        <f aca="false">IF($D228="","",IF($AF228="Waived","Waived",IF(ISNUMBER($AF228),IF($AF228&gt;AsOfDate,"In Place","Expired"),"None Reported")))</f>
        <v/>
      </c>
      <c r="AZ228" s="21" t="str">
        <f aca="false">IF($D228="","",IF(ISNUMBER($AG228),IF($AG228=0,"None",$AG228&amp;" Months"),IF($AG228="","None Reported",$AG228)))</f>
        <v/>
      </c>
      <c r="BA228" s="18" t="str">
        <f aca="false">IF($D228="","",IF($AK228="","Unlevered",$AK228))</f>
        <v/>
      </c>
      <c r="BB228" s="22" t="str">
        <f aca="false">IF($D228="","",SUM($AL228,$AO228))</f>
        <v/>
      </c>
      <c r="BC228" s="23" t="str">
        <f aca="false">IF($D228="","",IF($P228&gt;0,$BB228/$P228,0))</f>
        <v/>
      </c>
      <c r="BD228" s="25" t="str">
        <f aca="false">IF($D228="","",(AsOfDate-$AH228)/DaysPerMonth)</f>
        <v/>
      </c>
      <c r="BE228" s="25" t="str">
        <f aca="false">IF($D228="","",($AI228-AsOfDate)/DaysPerMonth)</f>
        <v/>
      </c>
      <c r="BF228" s="25" t="str">
        <f aca="false">IF($D228="","",($AJ228-AsOfDate)/DaysPerMonth)</f>
        <v/>
      </c>
      <c r="BG228" s="25" t="str">
        <f aca="false">IF($D228="","",MAX(0,$BE228))</f>
        <v/>
      </c>
      <c r="BH228" s="25" t="str">
        <f aca="false">IF($D228="","",MAX(0,$BF228))</f>
        <v/>
      </c>
      <c r="BI228" s="67" t="str">
        <f aca="false">IF($D228="","",YEAR($AI228))</f>
        <v/>
      </c>
      <c r="BJ228" s="67" t="str">
        <f aca="false">IF($D228="","",YEAR($AJ228))</f>
        <v/>
      </c>
      <c r="BK228" s="67" t="str">
        <f aca="false">IF($D228="","",YEAR($AH228))</f>
        <v/>
      </c>
      <c r="BM228" s="26" t="n">
        <f aca="false">IF($AT228=1,$P228+(1000-ROW())/1000000,0)</f>
        <v>0</v>
      </c>
    </row>
    <row r="229" customFormat="false" ht="15" hidden="false" customHeight="false" outlineLevel="0" collapsed="false">
      <c r="AT229" s="26" t="n">
        <f aca="false">IF($D229="",0,IF(OR(StratFilter="All Loans",$E229=StratFilter),1,0))</f>
        <v>0</v>
      </c>
      <c r="AU229" s="18" t="str">
        <f aca="false">IF($D229="","",IFERROR(VLOOKUP(TRIM($K229),PropTypeMap,2,FALSE()),"Unmapped"))</f>
        <v/>
      </c>
      <c r="AV229" s="21" t="str">
        <f aca="false">IF($D229="","",IFERROR(VLOOKUP($J229,RegionMap,2,FALSE()),"Unmapped"))</f>
        <v/>
      </c>
      <c r="AW229" s="21" t="str">
        <f aca="false">IF($D229="","",IF($AC229="SOFR","Floating (SOFR)","Fixed / All-In"))</f>
        <v/>
      </c>
      <c r="AX229" s="24" t="str">
        <f aca="false">IF($D229="","",$AD229+SOFR)</f>
        <v/>
      </c>
      <c r="AY229" s="21" t="str">
        <f aca="false">IF($D229="","",IF($AF229="Waived","Waived",IF(ISNUMBER($AF229),IF($AF229&gt;AsOfDate,"In Place","Expired"),"None Reported")))</f>
        <v/>
      </c>
      <c r="AZ229" s="21" t="str">
        <f aca="false">IF($D229="","",IF(ISNUMBER($AG229),IF($AG229=0,"None",$AG229&amp;" Months"),IF($AG229="","None Reported",$AG229)))</f>
        <v/>
      </c>
      <c r="BA229" s="18" t="str">
        <f aca="false">IF($D229="","",IF($AK229="","Unlevered",$AK229))</f>
        <v/>
      </c>
      <c r="BB229" s="22" t="str">
        <f aca="false">IF($D229="","",SUM($AL229,$AO229))</f>
        <v/>
      </c>
      <c r="BC229" s="23" t="str">
        <f aca="false">IF($D229="","",IF($P229&gt;0,$BB229/$P229,0))</f>
        <v/>
      </c>
      <c r="BD229" s="25" t="str">
        <f aca="false">IF($D229="","",(AsOfDate-$AH229)/DaysPerMonth)</f>
        <v/>
      </c>
      <c r="BE229" s="25" t="str">
        <f aca="false">IF($D229="","",($AI229-AsOfDate)/DaysPerMonth)</f>
        <v/>
      </c>
      <c r="BF229" s="25" t="str">
        <f aca="false">IF($D229="","",($AJ229-AsOfDate)/DaysPerMonth)</f>
        <v/>
      </c>
      <c r="BG229" s="25" t="str">
        <f aca="false">IF($D229="","",MAX(0,$BE229))</f>
        <v/>
      </c>
      <c r="BH229" s="25" t="str">
        <f aca="false">IF($D229="","",MAX(0,$BF229))</f>
        <v/>
      </c>
      <c r="BI229" s="67" t="str">
        <f aca="false">IF($D229="","",YEAR($AI229))</f>
        <v/>
      </c>
      <c r="BJ229" s="67" t="str">
        <f aca="false">IF($D229="","",YEAR($AJ229))</f>
        <v/>
      </c>
      <c r="BK229" s="67" t="str">
        <f aca="false">IF($D229="","",YEAR($AH229))</f>
        <v/>
      </c>
      <c r="BM229" s="26" t="n">
        <f aca="false">IF($AT229=1,$P229+(1000-ROW())/1000000,0)</f>
        <v>0</v>
      </c>
    </row>
    <row r="230" customFormat="false" ht="15" hidden="false" customHeight="false" outlineLevel="0" collapsed="false">
      <c r="AT230" s="26" t="n">
        <f aca="false">IF($D230="",0,IF(OR(StratFilter="All Loans",$E230=StratFilter),1,0))</f>
        <v>0</v>
      </c>
      <c r="AU230" s="18" t="str">
        <f aca="false">IF($D230="","",IFERROR(VLOOKUP(TRIM($K230),PropTypeMap,2,FALSE()),"Unmapped"))</f>
        <v/>
      </c>
      <c r="AV230" s="21" t="str">
        <f aca="false">IF($D230="","",IFERROR(VLOOKUP($J230,RegionMap,2,FALSE()),"Unmapped"))</f>
        <v/>
      </c>
      <c r="AW230" s="21" t="str">
        <f aca="false">IF($D230="","",IF($AC230="SOFR","Floating (SOFR)","Fixed / All-In"))</f>
        <v/>
      </c>
      <c r="AX230" s="24" t="str">
        <f aca="false">IF($D230="","",$AD230+SOFR)</f>
        <v/>
      </c>
      <c r="AY230" s="21" t="str">
        <f aca="false">IF($D230="","",IF($AF230="Waived","Waived",IF(ISNUMBER($AF230),IF($AF230&gt;AsOfDate,"In Place","Expired"),"None Reported")))</f>
        <v/>
      </c>
      <c r="AZ230" s="21" t="str">
        <f aca="false">IF($D230="","",IF(ISNUMBER($AG230),IF($AG230=0,"None",$AG230&amp;" Months"),IF($AG230="","None Reported",$AG230)))</f>
        <v/>
      </c>
      <c r="BA230" s="18" t="str">
        <f aca="false">IF($D230="","",IF($AK230="","Unlevered",$AK230))</f>
        <v/>
      </c>
      <c r="BB230" s="22" t="str">
        <f aca="false">IF($D230="","",SUM($AL230,$AO230))</f>
        <v/>
      </c>
      <c r="BC230" s="23" t="str">
        <f aca="false">IF($D230="","",IF($P230&gt;0,$BB230/$P230,0))</f>
        <v/>
      </c>
      <c r="BD230" s="25" t="str">
        <f aca="false">IF($D230="","",(AsOfDate-$AH230)/DaysPerMonth)</f>
        <v/>
      </c>
      <c r="BE230" s="25" t="str">
        <f aca="false">IF($D230="","",($AI230-AsOfDate)/DaysPerMonth)</f>
        <v/>
      </c>
      <c r="BF230" s="25" t="str">
        <f aca="false">IF($D230="","",($AJ230-AsOfDate)/DaysPerMonth)</f>
        <v/>
      </c>
      <c r="BG230" s="25" t="str">
        <f aca="false">IF($D230="","",MAX(0,$BE230))</f>
        <v/>
      </c>
      <c r="BH230" s="25" t="str">
        <f aca="false">IF($D230="","",MAX(0,$BF230))</f>
        <v/>
      </c>
      <c r="BI230" s="67" t="str">
        <f aca="false">IF($D230="","",YEAR($AI230))</f>
        <v/>
      </c>
      <c r="BJ230" s="67" t="str">
        <f aca="false">IF($D230="","",YEAR($AJ230))</f>
        <v/>
      </c>
      <c r="BK230" s="67" t="str">
        <f aca="false">IF($D230="","",YEAR($AH230))</f>
        <v/>
      </c>
      <c r="BM230" s="26" t="n">
        <f aca="false">IF($AT230=1,$P230+(1000-ROW())/1000000,0)</f>
        <v>0</v>
      </c>
    </row>
    <row r="231" customFormat="false" ht="15" hidden="false" customHeight="false" outlineLevel="0" collapsed="false">
      <c r="AT231" s="26" t="n">
        <f aca="false">IF($D231="",0,IF(OR(StratFilter="All Loans",$E231=StratFilter),1,0))</f>
        <v>0</v>
      </c>
      <c r="AU231" s="18" t="str">
        <f aca="false">IF($D231="","",IFERROR(VLOOKUP(TRIM($K231),PropTypeMap,2,FALSE()),"Unmapped"))</f>
        <v/>
      </c>
      <c r="AV231" s="21" t="str">
        <f aca="false">IF($D231="","",IFERROR(VLOOKUP($J231,RegionMap,2,FALSE()),"Unmapped"))</f>
        <v/>
      </c>
      <c r="AW231" s="21" t="str">
        <f aca="false">IF($D231="","",IF($AC231="SOFR","Floating (SOFR)","Fixed / All-In"))</f>
        <v/>
      </c>
      <c r="AX231" s="24" t="str">
        <f aca="false">IF($D231="","",$AD231+SOFR)</f>
        <v/>
      </c>
      <c r="AY231" s="21" t="str">
        <f aca="false">IF($D231="","",IF($AF231="Waived","Waived",IF(ISNUMBER($AF231),IF($AF231&gt;AsOfDate,"In Place","Expired"),"None Reported")))</f>
        <v/>
      </c>
      <c r="AZ231" s="21" t="str">
        <f aca="false">IF($D231="","",IF(ISNUMBER($AG231),IF($AG231=0,"None",$AG231&amp;" Months"),IF($AG231="","None Reported",$AG231)))</f>
        <v/>
      </c>
      <c r="BA231" s="18" t="str">
        <f aca="false">IF($D231="","",IF($AK231="","Unlevered",$AK231))</f>
        <v/>
      </c>
      <c r="BB231" s="22" t="str">
        <f aca="false">IF($D231="","",SUM($AL231,$AO231))</f>
        <v/>
      </c>
      <c r="BC231" s="23" t="str">
        <f aca="false">IF($D231="","",IF($P231&gt;0,$BB231/$P231,0))</f>
        <v/>
      </c>
      <c r="BD231" s="25" t="str">
        <f aca="false">IF($D231="","",(AsOfDate-$AH231)/DaysPerMonth)</f>
        <v/>
      </c>
      <c r="BE231" s="25" t="str">
        <f aca="false">IF($D231="","",($AI231-AsOfDate)/DaysPerMonth)</f>
        <v/>
      </c>
      <c r="BF231" s="25" t="str">
        <f aca="false">IF($D231="","",($AJ231-AsOfDate)/DaysPerMonth)</f>
        <v/>
      </c>
      <c r="BG231" s="25" t="str">
        <f aca="false">IF($D231="","",MAX(0,$BE231))</f>
        <v/>
      </c>
      <c r="BH231" s="25" t="str">
        <f aca="false">IF($D231="","",MAX(0,$BF231))</f>
        <v/>
      </c>
      <c r="BI231" s="67" t="str">
        <f aca="false">IF($D231="","",YEAR($AI231))</f>
        <v/>
      </c>
      <c r="BJ231" s="67" t="str">
        <f aca="false">IF($D231="","",YEAR($AJ231))</f>
        <v/>
      </c>
      <c r="BK231" s="67" t="str">
        <f aca="false">IF($D231="","",YEAR($AH231))</f>
        <v/>
      </c>
      <c r="BM231" s="26" t="n">
        <f aca="false">IF($AT231=1,$P231+(1000-ROW())/1000000,0)</f>
        <v>0</v>
      </c>
    </row>
    <row r="232" customFormat="false" ht="15" hidden="false" customHeight="false" outlineLevel="0" collapsed="false">
      <c r="AT232" s="26" t="n">
        <f aca="false">IF($D232="",0,IF(OR(StratFilter="All Loans",$E232=StratFilter),1,0))</f>
        <v>0</v>
      </c>
      <c r="AU232" s="18" t="str">
        <f aca="false">IF($D232="","",IFERROR(VLOOKUP(TRIM($K232),PropTypeMap,2,FALSE()),"Unmapped"))</f>
        <v/>
      </c>
      <c r="AV232" s="21" t="str">
        <f aca="false">IF($D232="","",IFERROR(VLOOKUP($J232,RegionMap,2,FALSE()),"Unmapped"))</f>
        <v/>
      </c>
      <c r="AW232" s="21" t="str">
        <f aca="false">IF($D232="","",IF($AC232="SOFR","Floating (SOFR)","Fixed / All-In"))</f>
        <v/>
      </c>
      <c r="AX232" s="24" t="str">
        <f aca="false">IF($D232="","",$AD232+SOFR)</f>
        <v/>
      </c>
      <c r="AY232" s="21" t="str">
        <f aca="false">IF($D232="","",IF($AF232="Waived","Waived",IF(ISNUMBER($AF232),IF($AF232&gt;AsOfDate,"In Place","Expired"),"None Reported")))</f>
        <v/>
      </c>
      <c r="AZ232" s="21" t="str">
        <f aca="false">IF($D232="","",IF(ISNUMBER($AG232),IF($AG232=0,"None",$AG232&amp;" Months"),IF($AG232="","None Reported",$AG232)))</f>
        <v/>
      </c>
      <c r="BA232" s="18" t="str">
        <f aca="false">IF($D232="","",IF($AK232="","Unlevered",$AK232))</f>
        <v/>
      </c>
      <c r="BB232" s="22" t="str">
        <f aca="false">IF($D232="","",SUM($AL232,$AO232))</f>
        <v/>
      </c>
      <c r="BC232" s="23" t="str">
        <f aca="false">IF($D232="","",IF($P232&gt;0,$BB232/$P232,0))</f>
        <v/>
      </c>
      <c r="BD232" s="25" t="str">
        <f aca="false">IF($D232="","",(AsOfDate-$AH232)/DaysPerMonth)</f>
        <v/>
      </c>
      <c r="BE232" s="25" t="str">
        <f aca="false">IF($D232="","",($AI232-AsOfDate)/DaysPerMonth)</f>
        <v/>
      </c>
      <c r="BF232" s="25" t="str">
        <f aca="false">IF($D232="","",($AJ232-AsOfDate)/DaysPerMonth)</f>
        <v/>
      </c>
      <c r="BG232" s="25" t="str">
        <f aca="false">IF($D232="","",MAX(0,$BE232))</f>
        <v/>
      </c>
      <c r="BH232" s="25" t="str">
        <f aca="false">IF($D232="","",MAX(0,$BF232))</f>
        <v/>
      </c>
      <c r="BI232" s="67" t="str">
        <f aca="false">IF($D232="","",YEAR($AI232))</f>
        <v/>
      </c>
      <c r="BJ232" s="67" t="str">
        <f aca="false">IF($D232="","",YEAR($AJ232))</f>
        <v/>
      </c>
      <c r="BK232" s="67" t="str">
        <f aca="false">IF($D232="","",YEAR($AH232))</f>
        <v/>
      </c>
      <c r="BM232" s="26" t="n">
        <f aca="false">IF($AT232=1,$P232+(1000-ROW())/1000000,0)</f>
        <v>0</v>
      </c>
    </row>
    <row r="233" customFormat="false" ht="15" hidden="false" customHeight="false" outlineLevel="0" collapsed="false">
      <c r="AT233" s="26" t="n">
        <f aca="false">IF($D233="",0,IF(OR(StratFilter="All Loans",$E233=StratFilter),1,0))</f>
        <v>0</v>
      </c>
      <c r="AU233" s="18" t="str">
        <f aca="false">IF($D233="","",IFERROR(VLOOKUP(TRIM($K233),PropTypeMap,2,FALSE()),"Unmapped"))</f>
        <v/>
      </c>
      <c r="AV233" s="21" t="str">
        <f aca="false">IF($D233="","",IFERROR(VLOOKUP($J233,RegionMap,2,FALSE()),"Unmapped"))</f>
        <v/>
      </c>
      <c r="AW233" s="21" t="str">
        <f aca="false">IF($D233="","",IF($AC233="SOFR","Floating (SOFR)","Fixed / All-In"))</f>
        <v/>
      </c>
      <c r="AX233" s="24" t="str">
        <f aca="false">IF($D233="","",$AD233+SOFR)</f>
        <v/>
      </c>
      <c r="AY233" s="21" t="str">
        <f aca="false">IF($D233="","",IF($AF233="Waived","Waived",IF(ISNUMBER($AF233),IF($AF233&gt;AsOfDate,"In Place","Expired"),"None Reported")))</f>
        <v/>
      </c>
      <c r="AZ233" s="21" t="str">
        <f aca="false">IF($D233="","",IF(ISNUMBER($AG233),IF($AG233=0,"None",$AG233&amp;" Months"),IF($AG233="","None Reported",$AG233)))</f>
        <v/>
      </c>
      <c r="BA233" s="18" t="str">
        <f aca="false">IF($D233="","",IF($AK233="","Unlevered",$AK233))</f>
        <v/>
      </c>
      <c r="BB233" s="22" t="str">
        <f aca="false">IF($D233="","",SUM($AL233,$AO233))</f>
        <v/>
      </c>
      <c r="BC233" s="23" t="str">
        <f aca="false">IF($D233="","",IF($P233&gt;0,$BB233/$P233,0))</f>
        <v/>
      </c>
      <c r="BD233" s="25" t="str">
        <f aca="false">IF($D233="","",(AsOfDate-$AH233)/DaysPerMonth)</f>
        <v/>
      </c>
      <c r="BE233" s="25" t="str">
        <f aca="false">IF($D233="","",($AI233-AsOfDate)/DaysPerMonth)</f>
        <v/>
      </c>
      <c r="BF233" s="25" t="str">
        <f aca="false">IF($D233="","",($AJ233-AsOfDate)/DaysPerMonth)</f>
        <v/>
      </c>
      <c r="BG233" s="25" t="str">
        <f aca="false">IF($D233="","",MAX(0,$BE233))</f>
        <v/>
      </c>
      <c r="BH233" s="25" t="str">
        <f aca="false">IF($D233="","",MAX(0,$BF233))</f>
        <v/>
      </c>
      <c r="BI233" s="67" t="str">
        <f aca="false">IF($D233="","",YEAR($AI233))</f>
        <v/>
      </c>
      <c r="BJ233" s="67" t="str">
        <f aca="false">IF($D233="","",YEAR($AJ233))</f>
        <v/>
      </c>
      <c r="BK233" s="67" t="str">
        <f aca="false">IF($D233="","",YEAR($AH233))</f>
        <v/>
      </c>
      <c r="BM233" s="26" t="n">
        <f aca="false">IF($AT233=1,$P233+(1000-ROW())/1000000,0)</f>
        <v>0</v>
      </c>
    </row>
    <row r="234" customFormat="false" ht="15" hidden="false" customHeight="false" outlineLevel="0" collapsed="false">
      <c r="AT234" s="26" t="n">
        <f aca="false">IF($D234="",0,IF(OR(StratFilter="All Loans",$E234=StratFilter),1,0))</f>
        <v>0</v>
      </c>
      <c r="AU234" s="18" t="str">
        <f aca="false">IF($D234="","",IFERROR(VLOOKUP(TRIM($K234),PropTypeMap,2,FALSE()),"Unmapped"))</f>
        <v/>
      </c>
      <c r="AV234" s="21" t="str">
        <f aca="false">IF($D234="","",IFERROR(VLOOKUP($J234,RegionMap,2,FALSE()),"Unmapped"))</f>
        <v/>
      </c>
      <c r="AW234" s="21" t="str">
        <f aca="false">IF($D234="","",IF($AC234="SOFR","Floating (SOFR)","Fixed / All-In"))</f>
        <v/>
      </c>
      <c r="AX234" s="24" t="str">
        <f aca="false">IF($D234="","",$AD234+SOFR)</f>
        <v/>
      </c>
      <c r="AY234" s="21" t="str">
        <f aca="false">IF($D234="","",IF($AF234="Waived","Waived",IF(ISNUMBER($AF234),IF($AF234&gt;AsOfDate,"In Place","Expired"),"None Reported")))</f>
        <v/>
      </c>
      <c r="AZ234" s="21" t="str">
        <f aca="false">IF($D234="","",IF(ISNUMBER($AG234),IF($AG234=0,"None",$AG234&amp;" Months"),IF($AG234="","None Reported",$AG234)))</f>
        <v/>
      </c>
      <c r="BA234" s="18" t="str">
        <f aca="false">IF($D234="","",IF($AK234="","Unlevered",$AK234))</f>
        <v/>
      </c>
      <c r="BB234" s="22" t="str">
        <f aca="false">IF($D234="","",SUM($AL234,$AO234))</f>
        <v/>
      </c>
      <c r="BC234" s="23" t="str">
        <f aca="false">IF($D234="","",IF($P234&gt;0,$BB234/$P234,0))</f>
        <v/>
      </c>
      <c r="BD234" s="25" t="str">
        <f aca="false">IF($D234="","",(AsOfDate-$AH234)/DaysPerMonth)</f>
        <v/>
      </c>
      <c r="BE234" s="25" t="str">
        <f aca="false">IF($D234="","",($AI234-AsOfDate)/DaysPerMonth)</f>
        <v/>
      </c>
      <c r="BF234" s="25" t="str">
        <f aca="false">IF($D234="","",($AJ234-AsOfDate)/DaysPerMonth)</f>
        <v/>
      </c>
      <c r="BG234" s="25" t="str">
        <f aca="false">IF($D234="","",MAX(0,$BE234))</f>
        <v/>
      </c>
      <c r="BH234" s="25" t="str">
        <f aca="false">IF($D234="","",MAX(0,$BF234))</f>
        <v/>
      </c>
      <c r="BI234" s="67" t="str">
        <f aca="false">IF($D234="","",YEAR($AI234))</f>
        <v/>
      </c>
      <c r="BJ234" s="67" t="str">
        <f aca="false">IF($D234="","",YEAR($AJ234))</f>
        <v/>
      </c>
      <c r="BK234" s="67" t="str">
        <f aca="false">IF($D234="","",YEAR($AH234))</f>
        <v/>
      </c>
      <c r="BM234" s="26" t="n">
        <f aca="false">IF($AT234=1,$P234+(1000-ROW())/1000000,0)</f>
        <v>0</v>
      </c>
    </row>
    <row r="235" customFormat="false" ht="15" hidden="false" customHeight="false" outlineLevel="0" collapsed="false">
      <c r="AT235" s="26" t="n">
        <f aca="false">IF($D235="",0,IF(OR(StratFilter="All Loans",$E235=StratFilter),1,0))</f>
        <v>0</v>
      </c>
      <c r="AU235" s="18" t="str">
        <f aca="false">IF($D235="","",IFERROR(VLOOKUP(TRIM($K235),PropTypeMap,2,FALSE()),"Unmapped"))</f>
        <v/>
      </c>
      <c r="AV235" s="21" t="str">
        <f aca="false">IF($D235="","",IFERROR(VLOOKUP($J235,RegionMap,2,FALSE()),"Unmapped"))</f>
        <v/>
      </c>
      <c r="AW235" s="21" t="str">
        <f aca="false">IF($D235="","",IF($AC235="SOFR","Floating (SOFR)","Fixed / All-In"))</f>
        <v/>
      </c>
      <c r="AX235" s="24" t="str">
        <f aca="false">IF($D235="","",$AD235+SOFR)</f>
        <v/>
      </c>
      <c r="AY235" s="21" t="str">
        <f aca="false">IF($D235="","",IF($AF235="Waived","Waived",IF(ISNUMBER($AF235),IF($AF235&gt;AsOfDate,"In Place","Expired"),"None Reported")))</f>
        <v/>
      </c>
      <c r="AZ235" s="21" t="str">
        <f aca="false">IF($D235="","",IF(ISNUMBER($AG235),IF($AG235=0,"None",$AG235&amp;" Months"),IF($AG235="","None Reported",$AG235)))</f>
        <v/>
      </c>
      <c r="BA235" s="18" t="str">
        <f aca="false">IF($D235="","",IF($AK235="","Unlevered",$AK235))</f>
        <v/>
      </c>
      <c r="BB235" s="22" t="str">
        <f aca="false">IF($D235="","",SUM($AL235,$AO235))</f>
        <v/>
      </c>
      <c r="BC235" s="23" t="str">
        <f aca="false">IF($D235="","",IF($P235&gt;0,$BB235/$P235,0))</f>
        <v/>
      </c>
      <c r="BD235" s="25" t="str">
        <f aca="false">IF($D235="","",(AsOfDate-$AH235)/DaysPerMonth)</f>
        <v/>
      </c>
      <c r="BE235" s="25" t="str">
        <f aca="false">IF($D235="","",($AI235-AsOfDate)/DaysPerMonth)</f>
        <v/>
      </c>
      <c r="BF235" s="25" t="str">
        <f aca="false">IF($D235="","",($AJ235-AsOfDate)/DaysPerMonth)</f>
        <v/>
      </c>
      <c r="BG235" s="25" t="str">
        <f aca="false">IF($D235="","",MAX(0,$BE235))</f>
        <v/>
      </c>
      <c r="BH235" s="25" t="str">
        <f aca="false">IF($D235="","",MAX(0,$BF235))</f>
        <v/>
      </c>
      <c r="BI235" s="67" t="str">
        <f aca="false">IF($D235="","",YEAR($AI235))</f>
        <v/>
      </c>
      <c r="BJ235" s="67" t="str">
        <f aca="false">IF($D235="","",YEAR($AJ235))</f>
        <v/>
      </c>
      <c r="BK235" s="67" t="str">
        <f aca="false">IF($D235="","",YEAR($AH235))</f>
        <v/>
      </c>
      <c r="BM235" s="26" t="n">
        <f aca="false">IF($AT235=1,$P235+(1000-ROW())/1000000,0)</f>
        <v>0</v>
      </c>
    </row>
    <row r="236" customFormat="false" ht="15" hidden="false" customHeight="false" outlineLevel="0" collapsed="false">
      <c r="AT236" s="26" t="n">
        <f aca="false">IF($D236="",0,IF(OR(StratFilter="All Loans",$E236=StratFilter),1,0))</f>
        <v>0</v>
      </c>
      <c r="AU236" s="18" t="str">
        <f aca="false">IF($D236="","",IFERROR(VLOOKUP(TRIM($K236),PropTypeMap,2,FALSE()),"Unmapped"))</f>
        <v/>
      </c>
      <c r="AV236" s="21" t="str">
        <f aca="false">IF($D236="","",IFERROR(VLOOKUP($J236,RegionMap,2,FALSE()),"Unmapped"))</f>
        <v/>
      </c>
      <c r="AW236" s="21" t="str">
        <f aca="false">IF($D236="","",IF($AC236="SOFR","Floating (SOFR)","Fixed / All-In"))</f>
        <v/>
      </c>
      <c r="AX236" s="24" t="str">
        <f aca="false">IF($D236="","",$AD236+SOFR)</f>
        <v/>
      </c>
      <c r="AY236" s="21" t="str">
        <f aca="false">IF($D236="","",IF($AF236="Waived","Waived",IF(ISNUMBER($AF236),IF($AF236&gt;AsOfDate,"In Place","Expired"),"None Reported")))</f>
        <v/>
      </c>
      <c r="AZ236" s="21" t="str">
        <f aca="false">IF($D236="","",IF(ISNUMBER($AG236),IF($AG236=0,"None",$AG236&amp;" Months"),IF($AG236="","None Reported",$AG236)))</f>
        <v/>
      </c>
      <c r="BA236" s="18" t="str">
        <f aca="false">IF($D236="","",IF($AK236="","Unlevered",$AK236))</f>
        <v/>
      </c>
      <c r="BB236" s="22" t="str">
        <f aca="false">IF($D236="","",SUM($AL236,$AO236))</f>
        <v/>
      </c>
      <c r="BC236" s="23" t="str">
        <f aca="false">IF($D236="","",IF($P236&gt;0,$BB236/$P236,0))</f>
        <v/>
      </c>
      <c r="BD236" s="25" t="str">
        <f aca="false">IF($D236="","",(AsOfDate-$AH236)/DaysPerMonth)</f>
        <v/>
      </c>
      <c r="BE236" s="25" t="str">
        <f aca="false">IF($D236="","",($AI236-AsOfDate)/DaysPerMonth)</f>
        <v/>
      </c>
      <c r="BF236" s="25" t="str">
        <f aca="false">IF($D236="","",($AJ236-AsOfDate)/DaysPerMonth)</f>
        <v/>
      </c>
      <c r="BG236" s="25" t="str">
        <f aca="false">IF($D236="","",MAX(0,$BE236))</f>
        <v/>
      </c>
      <c r="BH236" s="25" t="str">
        <f aca="false">IF($D236="","",MAX(0,$BF236))</f>
        <v/>
      </c>
      <c r="BI236" s="67" t="str">
        <f aca="false">IF($D236="","",YEAR($AI236))</f>
        <v/>
      </c>
      <c r="BJ236" s="67" t="str">
        <f aca="false">IF($D236="","",YEAR($AJ236))</f>
        <v/>
      </c>
      <c r="BK236" s="67" t="str">
        <f aca="false">IF($D236="","",YEAR($AH236))</f>
        <v/>
      </c>
      <c r="BM236" s="26" t="n">
        <f aca="false">IF($AT236=1,$P236+(1000-ROW())/1000000,0)</f>
        <v>0</v>
      </c>
    </row>
    <row r="237" customFormat="false" ht="15" hidden="false" customHeight="false" outlineLevel="0" collapsed="false">
      <c r="AT237" s="26" t="n">
        <f aca="false">IF($D237="",0,IF(OR(StratFilter="All Loans",$E237=StratFilter),1,0))</f>
        <v>0</v>
      </c>
      <c r="AU237" s="18" t="str">
        <f aca="false">IF($D237="","",IFERROR(VLOOKUP(TRIM($K237),PropTypeMap,2,FALSE()),"Unmapped"))</f>
        <v/>
      </c>
      <c r="AV237" s="21" t="str">
        <f aca="false">IF($D237="","",IFERROR(VLOOKUP($J237,RegionMap,2,FALSE()),"Unmapped"))</f>
        <v/>
      </c>
      <c r="AW237" s="21" t="str">
        <f aca="false">IF($D237="","",IF($AC237="SOFR","Floating (SOFR)","Fixed / All-In"))</f>
        <v/>
      </c>
      <c r="AX237" s="24" t="str">
        <f aca="false">IF($D237="","",$AD237+SOFR)</f>
        <v/>
      </c>
      <c r="AY237" s="21" t="str">
        <f aca="false">IF($D237="","",IF($AF237="Waived","Waived",IF(ISNUMBER($AF237),IF($AF237&gt;AsOfDate,"In Place","Expired"),"None Reported")))</f>
        <v/>
      </c>
      <c r="AZ237" s="21" t="str">
        <f aca="false">IF($D237="","",IF(ISNUMBER($AG237),IF($AG237=0,"None",$AG237&amp;" Months"),IF($AG237="","None Reported",$AG237)))</f>
        <v/>
      </c>
      <c r="BA237" s="18" t="str">
        <f aca="false">IF($D237="","",IF($AK237="","Unlevered",$AK237))</f>
        <v/>
      </c>
      <c r="BB237" s="22" t="str">
        <f aca="false">IF($D237="","",SUM($AL237,$AO237))</f>
        <v/>
      </c>
      <c r="BC237" s="23" t="str">
        <f aca="false">IF($D237="","",IF($P237&gt;0,$BB237/$P237,0))</f>
        <v/>
      </c>
      <c r="BD237" s="25" t="str">
        <f aca="false">IF($D237="","",(AsOfDate-$AH237)/DaysPerMonth)</f>
        <v/>
      </c>
      <c r="BE237" s="25" t="str">
        <f aca="false">IF($D237="","",($AI237-AsOfDate)/DaysPerMonth)</f>
        <v/>
      </c>
      <c r="BF237" s="25" t="str">
        <f aca="false">IF($D237="","",($AJ237-AsOfDate)/DaysPerMonth)</f>
        <v/>
      </c>
      <c r="BG237" s="25" t="str">
        <f aca="false">IF($D237="","",MAX(0,$BE237))</f>
        <v/>
      </c>
      <c r="BH237" s="25" t="str">
        <f aca="false">IF($D237="","",MAX(0,$BF237))</f>
        <v/>
      </c>
      <c r="BI237" s="67" t="str">
        <f aca="false">IF($D237="","",YEAR($AI237))</f>
        <v/>
      </c>
      <c r="BJ237" s="67" t="str">
        <f aca="false">IF($D237="","",YEAR($AJ237))</f>
        <v/>
      </c>
      <c r="BK237" s="67" t="str">
        <f aca="false">IF($D237="","",YEAR($AH237))</f>
        <v/>
      </c>
      <c r="BM237" s="26" t="n">
        <f aca="false">IF($AT237=1,$P237+(1000-ROW())/1000000,0)</f>
        <v>0</v>
      </c>
    </row>
    <row r="238" customFormat="false" ht="15" hidden="false" customHeight="false" outlineLevel="0" collapsed="false">
      <c r="AT238" s="26" t="n">
        <f aca="false">IF($D238="",0,IF(OR(StratFilter="All Loans",$E238=StratFilter),1,0))</f>
        <v>0</v>
      </c>
      <c r="AU238" s="18" t="str">
        <f aca="false">IF($D238="","",IFERROR(VLOOKUP(TRIM($K238),PropTypeMap,2,FALSE()),"Unmapped"))</f>
        <v/>
      </c>
      <c r="AV238" s="21" t="str">
        <f aca="false">IF($D238="","",IFERROR(VLOOKUP($J238,RegionMap,2,FALSE()),"Unmapped"))</f>
        <v/>
      </c>
      <c r="AW238" s="21" t="str">
        <f aca="false">IF($D238="","",IF($AC238="SOFR","Floating (SOFR)","Fixed / All-In"))</f>
        <v/>
      </c>
      <c r="AX238" s="24" t="str">
        <f aca="false">IF($D238="","",$AD238+SOFR)</f>
        <v/>
      </c>
      <c r="AY238" s="21" t="str">
        <f aca="false">IF($D238="","",IF($AF238="Waived","Waived",IF(ISNUMBER($AF238),IF($AF238&gt;AsOfDate,"In Place","Expired"),"None Reported")))</f>
        <v/>
      </c>
      <c r="AZ238" s="21" t="str">
        <f aca="false">IF($D238="","",IF(ISNUMBER($AG238),IF($AG238=0,"None",$AG238&amp;" Months"),IF($AG238="","None Reported",$AG238)))</f>
        <v/>
      </c>
      <c r="BA238" s="18" t="str">
        <f aca="false">IF($D238="","",IF($AK238="","Unlevered",$AK238))</f>
        <v/>
      </c>
      <c r="BB238" s="22" t="str">
        <f aca="false">IF($D238="","",SUM($AL238,$AO238))</f>
        <v/>
      </c>
      <c r="BC238" s="23" t="str">
        <f aca="false">IF($D238="","",IF($P238&gt;0,$BB238/$P238,0))</f>
        <v/>
      </c>
      <c r="BD238" s="25" t="str">
        <f aca="false">IF($D238="","",(AsOfDate-$AH238)/DaysPerMonth)</f>
        <v/>
      </c>
      <c r="BE238" s="25" t="str">
        <f aca="false">IF($D238="","",($AI238-AsOfDate)/DaysPerMonth)</f>
        <v/>
      </c>
      <c r="BF238" s="25" t="str">
        <f aca="false">IF($D238="","",($AJ238-AsOfDate)/DaysPerMonth)</f>
        <v/>
      </c>
      <c r="BG238" s="25" t="str">
        <f aca="false">IF($D238="","",MAX(0,$BE238))</f>
        <v/>
      </c>
      <c r="BH238" s="25" t="str">
        <f aca="false">IF($D238="","",MAX(0,$BF238))</f>
        <v/>
      </c>
      <c r="BI238" s="67" t="str">
        <f aca="false">IF($D238="","",YEAR($AI238))</f>
        <v/>
      </c>
      <c r="BJ238" s="67" t="str">
        <f aca="false">IF($D238="","",YEAR($AJ238))</f>
        <v/>
      </c>
      <c r="BK238" s="67" t="str">
        <f aca="false">IF($D238="","",YEAR($AH238))</f>
        <v/>
      </c>
      <c r="BM238" s="26" t="n">
        <f aca="false">IF($AT238=1,$P238+(1000-ROW())/1000000,0)</f>
        <v>0</v>
      </c>
    </row>
    <row r="239" customFormat="false" ht="15" hidden="false" customHeight="false" outlineLevel="0" collapsed="false">
      <c r="AT239" s="26" t="n">
        <f aca="false">IF($D239="",0,IF(OR(StratFilter="All Loans",$E239=StratFilter),1,0))</f>
        <v>0</v>
      </c>
      <c r="AU239" s="18" t="str">
        <f aca="false">IF($D239="","",IFERROR(VLOOKUP(TRIM($K239),PropTypeMap,2,FALSE()),"Unmapped"))</f>
        <v/>
      </c>
      <c r="AV239" s="21" t="str">
        <f aca="false">IF($D239="","",IFERROR(VLOOKUP($J239,RegionMap,2,FALSE()),"Unmapped"))</f>
        <v/>
      </c>
      <c r="AW239" s="21" t="str">
        <f aca="false">IF($D239="","",IF($AC239="SOFR","Floating (SOFR)","Fixed / All-In"))</f>
        <v/>
      </c>
      <c r="AX239" s="24" t="str">
        <f aca="false">IF($D239="","",$AD239+SOFR)</f>
        <v/>
      </c>
      <c r="AY239" s="21" t="str">
        <f aca="false">IF($D239="","",IF($AF239="Waived","Waived",IF(ISNUMBER($AF239),IF($AF239&gt;AsOfDate,"In Place","Expired"),"None Reported")))</f>
        <v/>
      </c>
      <c r="AZ239" s="21" t="str">
        <f aca="false">IF($D239="","",IF(ISNUMBER($AG239),IF($AG239=0,"None",$AG239&amp;" Months"),IF($AG239="","None Reported",$AG239)))</f>
        <v/>
      </c>
      <c r="BA239" s="18" t="str">
        <f aca="false">IF($D239="","",IF($AK239="","Unlevered",$AK239))</f>
        <v/>
      </c>
      <c r="BB239" s="22" t="str">
        <f aca="false">IF($D239="","",SUM($AL239,$AO239))</f>
        <v/>
      </c>
      <c r="BC239" s="23" t="str">
        <f aca="false">IF($D239="","",IF($P239&gt;0,$BB239/$P239,0))</f>
        <v/>
      </c>
      <c r="BD239" s="25" t="str">
        <f aca="false">IF($D239="","",(AsOfDate-$AH239)/DaysPerMonth)</f>
        <v/>
      </c>
      <c r="BE239" s="25" t="str">
        <f aca="false">IF($D239="","",($AI239-AsOfDate)/DaysPerMonth)</f>
        <v/>
      </c>
      <c r="BF239" s="25" t="str">
        <f aca="false">IF($D239="","",($AJ239-AsOfDate)/DaysPerMonth)</f>
        <v/>
      </c>
      <c r="BG239" s="25" t="str">
        <f aca="false">IF($D239="","",MAX(0,$BE239))</f>
        <v/>
      </c>
      <c r="BH239" s="25" t="str">
        <f aca="false">IF($D239="","",MAX(0,$BF239))</f>
        <v/>
      </c>
      <c r="BI239" s="67" t="str">
        <f aca="false">IF($D239="","",YEAR($AI239))</f>
        <v/>
      </c>
      <c r="BJ239" s="67" t="str">
        <f aca="false">IF($D239="","",YEAR($AJ239))</f>
        <v/>
      </c>
      <c r="BK239" s="67" t="str">
        <f aca="false">IF($D239="","",YEAR($AH239))</f>
        <v/>
      </c>
      <c r="BM239" s="26" t="n">
        <f aca="false">IF($AT239=1,$P239+(1000-ROW())/1000000,0)</f>
        <v>0</v>
      </c>
    </row>
    <row r="240" customFormat="false" ht="15" hidden="false" customHeight="false" outlineLevel="0" collapsed="false">
      <c r="AT240" s="26" t="n">
        <f aca="false">IF($D240="",0,IF(OR(StratFilter="All Loans",$E240=StratFilter),1,0))</f>
        <v>0</v>
      </c>
      <c r="AU240" s="18" t="str">
        <f aca="false">IF($D240="","",IFERROR(VLOOKUP(TRIM($K240),PropTypeMap,2,FALSE()),"Unmapped"))</f>
        <v/>
      </c>
      <c r="AV240" s="21" t="str">
        <f aca="false">IF($D240="","",IFERROR(VLOOKUP($J240,RegionMap,2,FALSE()),"Unmapped"))</f>
        <v/>
      </c>
      <c r="AW240" s="21" t="str">
        <f aca="false">IF($D240="","",IF($AC240="SOFR","Floating (SOFR)","Fixed / All-In"))</f>
        <v/>
      </c>
      <c r="AX240" s="24" t="str">
        <f aca="false">IF($D240="","",$AD240+SOFR)</f>
        <v/>
      </c>
      <c r="AY240" s="21" t="str">
        <f aca="false">IF($D240="","",IF($AF240="Waived","Waived",IF(ISNUMBER($AF240),IF($AF240&gt;AsOfDate,"In Place","Expired"),"None Reported")))</f>
        <v/>
      </c>
      <c r="AZ240" s="21" t="str">
        <f aca="false">IF($D240="","",IF(ISNUMBER($AG240),IF($AG240=0,"None",$AG240&amp;" Months"),IF($AG240="","None Reported",$AG240)))</f>
        <v/>
      </c>
      <c r="BA240" s="18" t="str">
        <f aca="false">IF($D240="","",IF($AK240="","Unlevered",$AK240))</f>
        <v/>
      </c>
      <c r="BB240" s="22" t="str">
        <f aca="false">IF($D240="","",SUM($AL240,$AO240))</f>
        <v/>
      </c>
      <c r="BC240" s="23" t="str">
        <f aca="false">IF($D240="","",IF($P240&gt;0,$BB240/$P240,0))</f>
        <v/>
      </c>
      <c r="BD240" s="25" t="str">
        <f aca="false">IF($D240="","",(AsOfDate-$AH240)/DaysPerMonth)</f>
        <v/>
      </c>
      <c r="BE240" s="25" t="str">
        <f aca="false">IF($D240="","",($AI240-AsOfDate)/DaysPerMonth)</f>
        <v/>
      </c>
      <c r="BF240" s="25" t="str">
        <f aca="false">IF($D240="","",($AJ240-AsOfDate)/DaysPerMonth)</f>
        <v/>
      </c>
      <c r="BG240" s="25" t="str">
        <f aca="false">IF($D240="","",MAX(0,$BE240))</f>
        <v/>
      </c>
      <c r="BH240" s="25" t="str">
        <f aca="false">IF($D240="","",MAX(0,$BF240))</f>
        <v/>
      </c>
      <c r="BI240" s="67" t="str">
        <f aca="false">IF($D240="","",YEAR($AI240))</f>
        <v/>
      </c>
      <c r="BJ240" s="67" t="str">
        <f aca="false">IF($D240="","",YEAR($AJ240))</f>
        <v/>
      </c>
      <c r="BK240" s="67" t="str">
        <f aca="false">IF($D240="","",YEAR($AH240))</f>
        <v/>
      </c>
      <c r="BM240" s="26" t="n">
        <f aca="false">IF($AT240=1,$P240+(1000-ROW())/1000000,0)</f>
        <v>0</v>
      </c>
    </row>
    <row r="241" customFormat="false" ht="15" hidden="false" customHeight="false" outlineLevel="0" collapsed="false">
      <c r="AT241" s="26" t="n">
        <f aca="false">IF($D241="",0,IF(OR(StratFilter="All Loans",$E241=StratFilter),1,0))</f>
        <v>0</v>
      </c>
      <c r="AU241" s="18" t="str">
        <f aca="false">IF($D241="","",IFERROR(VLOOKUP(TRIM($K241),PropTypeMap,2,FALSE()),"Unmapped"))</f>
        <v/>
      </c>
      <c r="AV241" s="21" t="str">
        <f aca="false">IF($D241="","",IFERROR(VLOOKUP($J241,RegionMap,2,FALSE()),"Unmapped"))</f>
        <v/>
      </c>
      <c r="AW241" s="21" t="str">
        <f aca="false">IF($D241="","",IF($AC241="SOFR","Floating (SOFR)","Fixed / All-In"))</f>
        <v/>
      </c>
      <c r="AX241" s="24" t="str">
        <f aca="false">IF($D241="","",$AD241+SOFR)</f>
        <v/>
      </c>
      <c r="AY241" s="21" t="str">
        <f aca="false">IF($D241="","",IF($AF241="Waived","Waived",IF(ISNUMBER($AF241),IF($AF241&gt;AsOfDate,"In Place","Expired"),"None Reported")))</f>
        <v/>
      </c>
      <c r="AZ241" s="21" t="str">
        <f aca="false">IF($D241="","",IF(ISNUMBER($AG241),IF($AG241=0,"None",$AG241&amp;" Months"),IF($AG241="","None Reported",$AG241)))</f>
        <v/>
      </c>
      <c r="BA241" s="18" t="str">
        <f aca="false">IF($D241="","",IF($AK241="","Unlevered",$AK241))</f>
        <v/>
      </c>
      <c r="BB241" s="22" t="str">
        <f aca="false">IF($D241="","",SUM($AL241,$AO241))</f>
        <v/>
      </c>
      <c r="BC241" s="23" t="str">
        <f aca="false">IF($D241="","",IF($P241&gt;0,$BB241/$P241,0))</f>
        <v/>
      </c>
      <c r="BD241" s="25" t="str">
        <f aca="false">IF($D241="","",(AsOfDate-$AH241)/DaysPerMonth)</f>
        <v/>
      </c>
      <c r="BE241" s="25" t="str">
        <f aca="false">IF($D241="","",($AI241-AsOfDate)/DaysPerMonth)</f>
        <v/>
      </c>
      <c r="BF241" s="25" t="str">
        <f aca="false">IF($D241="","",($AJ241-AsOfDate)/DaysPerMonth)</f>
        <v/>
      </c>
      <c r="BG241" s="25" t="str">
        <f aca="false">IF($D241="","",MAX(0,$BE241))</f>
        <v/>
      </c>
      <c r="BH241" s="25" t="str">
        <f aca="false">IF($D241="","",MAX(0,$BF241))</f>
        <v/>
      </c>
      <c r="BI241" s="67" t="str">
        <f aca="false">IF($D241="","",YEAR($AI241))</f>
        <v/>
      </c>
      <c r="BJ241" s="67" t="str">
        <f aca="false">IF($D241="","",YEAR($AJ241))</f>
        <v/>
      </c>
      <c r="BK241" s="67" t="str">
        <f aca="false">IF($D241="","",YEAR($AH241))</f>
        <v/>
      </c>
      <c r="BM241" s="26" t="n">
        <f aca="false">IF($AT241=1,$P241+(1000-ROW())/1000000,0)</f>
        <v>0</v>
      </c>
    </row>
    <row r="242" customFormat="false" ht="15" hidden="false" customHeight="false" outlineLevel="0" collapsed="false">
      <c r="AT242" s="26" t="n">
        <f aca="false">IF($D242="",0,IF(OR(StratFilter="All Loans",$E242=StratFilter),1,0))</f>
        <v>0</v>
      </c>
      <c r="AU242" s="18" t="str">
        <f aca="false">IF($D242="","",IFERROR(VLOOKUP(TRIM($K242),PropTypeMap,2,FALSE()),"Unmapped"))</f>
        <v/>
      </c>
      <c r="AV242" s="21" t="str">
        <f aca="false">IF($D242="","",IFERROR(VLOOKUP($J242,RegionMap,2,FALSE()),"Unmapped"))</f>
        <v/>
      </c>
      <c r="AW242" s="21" t="str">
        <f aca="false">IF($D242="","",IF($AC242="SOFR","Floating (SOFR)","Fixed / All-In"))</f>
        <v/>
      </c>
      <c r="AX242" s="24" t="str">
        <f aca="false">IF($D242="","",$AD242+SOFR)</f>
        <v/>
      </c>
      <c r="AY242" s="21" t="str">
        <f aca="false">IF($D242="","",IF($AF242="Waived","Waived",IF(ISNUMBER($AF242),IF($AF242&gt;AsOfDate,"In Place","Expired"),"None Reported")))</f>
        <v/>
      </c>
      <c r="AZ242" s="21" t="str">
        <f aca="false">IF($D242="","",IF(ISNUMBER($AG242),IF($AG242=0,"None",$AG242&amp;" Months"),IF($AG242="","None Reported",$AG242)))</f>
        <v/>
      </c>
      <c r="BA242" s="18" t="str">
        <f aca="false">IF($D242="","",IF($AK242="","Unlevered",$AK242))</f>
        <v/>
      </c>
      <c r="BB242" s="22" t="str">
        <f aca="false">IF($D242="","",SUM($AL242,$AO242))</f>
        <v/>
      </c>
      <c r="BC242" s="23" t="str">
        <f aca="false">IF($D242="","",IF($P242&gt;0,$BB242/$P242,0))</f>
        <v/>
      </c>
      <c r="BD242" s="25" t="str">
        <f aca="false">IF($D242="","",(AsOfDate-$AH242)/DaysPerMonth)</f>
        <v/>
      </c>
      <c r="BE242" s="25" t="str">
        <f aca="false">IF($D242="","",($AI242-AsOfDate)/DaysPerMonth)</f>
        <v/>
      </c>
      <c r="BF242" s="25" t="str">
        <f aca="false">IF($D242="","",($AJ242-AsOfDate)/DaysPerMonth)</f>
        <v/>
      </c>
      <c r="BG242" s="25" t="str">
        <f aca="false">IF($D242="","",MAX(0,$BE242))</f>
        <v/>
      </c>
      <c r="BH242" s="25" t="str">
        <f aca="false">IF($D242="","",MAX(0,$BF242))</f>
        <v/>
      </c>
      <c r="BI242" s="67" t="str">
        <f aca="false">IF($D242="","",YEAR($AI242))</f>
        <v/>
      </c>
      <c r="BJ242" s="67" t="str">
        <f aca="false">IF($D242="","",YEAR($AJ242))</f>
        <v/>
      </c>
      <c r="BK242" s="67" t="str">
        <f aca="false">IF($D242="","",YEAR($AH242))</f>
        <v/>
      </c>
      <c r="BM242" s="26" t="n">
        <f aca="false">IF($AT242=1,$P242+(1000-ROW())/1000000,0)</f>
        <v>0</v>
      </c>
    </row>
    <row r="243" customFormat="false" ht="15" hidden="false" customHeight="false" outlineLevel="0" collapsed="false">
      <c r="AT243" s="26" t="n">
        <f aca="false">IF($D243="",0,IF(OR(StratFilter="All Loans",$E243=StratFilter),1,0))</f>
        <v>0</v>
      </c>
      <c r="AU243" s="18" t="str">
        <f aca="false">IF($D243="","",IFERROR(VLOOKUP(TRIM($K243),PropTypeMap,2,FALSE()),"Unmapped"))</f>
        <v/>
      </c>
      <c r="AV243" s="21" t="str">
        <f aca="false">IF($D243="","",IFERROR(VLOOKUP($J243,RegionMap,2,FALSE()),"Unmapped"))</f>
        <v/>
      </c>
      <c r="AW243" s="21" t="str">
        <f aca="false">IF($D243="","",IF($AC243="SOFR","Floating (SOFR)","Fixed / All-In"))</f>
        <v/>
      </c>
      <c r="AX243" s="24" t="str">
        <f aca="false">IF($D243="","",$AD243+SOFR)</f>
        <v/>
      </c>
      <c r="AY243" s="21" t="str">
        <f aca="false">IF($D243="","",IF($AF243="Waived","Waived",IF(ISNUMBER($AF243),IF($AF243&gt;AsOfDate,"In Place","Expired"),"None Reported")))</f>
        <v/>
      </c>
      <c r="AZ243" s="21" t="str">
        <f aca="false">IF($D243="","",IF(ISNUMBER($AG243),IF($AG243=0,"None",$AG243&amp;" Months"),IF($AG243="","None Reported",$AG243)))</f>
        <v/>
      </c>
      <c r="BA243" s="18" t="str">
        <f aca="false">IF($D243="","",IF($AK243="","Unlevered",$AK243))</f>
        <v/>
      </c>
      <c r="BB243" s="22" t="str">
        <f aca="false">IF($D243="","",SUM($AL243,$AO243))</f>
        <v/>
      </c>
      <c r="BC243" s="23" t="str">
        <f aca="false">IF($D243="","",IF($P243&gt;0,$BB243/$P243,0))</f>
        <v/>
      </c>
      <c r="BD243" s="25" t="str">
        <f aca="false">IF($D243="","",(AsOfDate-$AH243)/DaysPerMonth)</f>
        <v/>
      </c>
      <c r="BE243" s="25" t="str">
        <f aca="false">IF($D243="","",($AI243-AsOfDate)/DaysPerMonth)</f>
        <v/>
      </c>
      <c r="BF243" s="25" t="str">
        <f aca="false">IF($D243="","",($AJ243-AsOfDate)/DaysPerMonth)</f>
        <v/>
      </c>
      <c r="BG243" s="25" t="str">
        <f aca="false">IF($D243="","",MAX(0,$BE243))</f>
        <v/>
      </c>
      <c r="BH243" s="25" t="str">
        <f aca="false">IF($D243="","",MAX(0,$BF243))</f>
        <v/>
      </c>
      <c r="BI243" s="67" t="str">
        <f aca="false">IF($D243="","",YEAR($AI243))</f>
        <v/>
      </c>
      <c r="BJ243" s="67" t="str">
        <f aca="false">IF($D243="","",YEAR($AJ243))</f>
        <v/>
      </c>
      <c r="BK243" s="67" t="str">
        <f aca="false">IF($D243="","",YEAR($AH243))</f>
        <v/>
      </c>
      <c r="BM243" s="26" t="n">
        <f aca="false">IF($AT243=1,$P243+(1000-ROW())/1000000,0)</f>
        <v>0</v>
      </c>
    </row>
    <row r="244" customFormat="false" ht="15" hidden="false" customHeight="false" outlineLevel="0" collapsed="false">
      <c r="AT244" s="26" t="n">
        <f aca="false">IF($D244="",0,IF(OR(StratFilter="All Loans",$E244=StratFilter),1,0))</f>
        <v>0</v>
      </c>
      <c r="AU244" s="18" t="str">
        <f aca="false">IF($D244="","",IFERROR(VLOOKUP(TRIM($K244),PropTypeMap,2,FALSE()),"Unmapped"))</f>
        <v/>
      </c>
      <c r="AV244" s="21" t="str">
        <f aca="false">IF($D244="","",IFERROR(VLOOKUP($J244,RegionMap,2,FALSE()),"Unmapped"))</f>
        <v/>
      </c>
      <c r="AW244" s="21" t="str">
        <f aca="false">IF($D244="","",IF($AC244="SOFR","Floating (SOFR)","Fixed / All-In"))</f>
        <v/>
      </c>
      <c r="AX244" s="24" t="str">
        <f aca="false">IF($D244="","",$AD244+SOFR)</f>
        <v/>
      </c>
      <c r="AY244" s="21" t="str">
        <f aca="false">IF($D244="","",IF($AF244="Waived","Waived",IF(ISNUMBER($AF244),IF($AF244&gt;AsOfDate,"In Place","Expired"),"None Reported")))</f>
        <v/>
      </c>
      <c r="AZ244" s="21" t="str">
        <f aca="false">IF($D244="","",IF(ISNUMBER($AG244),IF($AG244=0,"None",$AG244&amp;" Months"),IF($AG244="","None Reported",$AG244)))</f>
        <v/>
      </c>
      <c r="BA244" s="18" t="str">
        <f aca="false">IF($D244="","",IF($AK244="","Unlevered",$AK244))</f>
        <v/>
      </c>
      <c r="BB244" s="22" t="str">
        <f aca="false">IF($D244="","",SUM($AL244,$AO244))</f>
        <v/>
      </c>
      <c r="BC244" s="23" t="str">
        <f aca="false">IF($D244="","",IF($P244&gt;0,$BB244/$P244,0))</f>
        <v/>
      </c>
      <c r="BD244" s="25" t="str">
        <f aca="false">IF($D244="","",(AsOfDate-$AH244)/DaysPerMonth)</f>
        <v/>
      </c>
      <c r="BE244" s="25" t="str">
        <f aca="false">IF($D244="","",($AI244-AsOfDate)/DaysPerMonth)</f>
        <v/>
      </c>
      <c r="BF244" s="25" t="str">
        <f aca="false">IF($D244="","",($AJ244-AsOfDate)/DaysPerMonth)</f>
        <v/>
      </c>
      <c r="BG244" s="25" t="str">
        <f aca="false">IF($D244="","",MAX(0,$BE244))</f>
        <v/>
      </c>
      <c r="BH244" s="25" t="str">
        <f aca="false">IF($D244="","",MAX(0,$BF244))</f>
        <v/>
      </c>
      <c r="BI244" s="67" t="str">
        <f aca="false">IF($D244="","",YEAR($AI244))</f>
        <v/>
      </c>
      <c r="BJ244" s="67" t="str">
        <f aca="false">IF($D244="","",YEAR($AJ244))</f>
        <v/>
      </c>
      <c r="BK244" s="67" t="str">
        <f aca="false">IF($D244="","",YEAR($AH244))</f>
        <v/>
      </c>
      <c r="BM244" s="26" t="n">
        <f aca="false">IF($AT244=1,$P244+(1000-ROW())/1000000,0)</f>
        <v>0</v>
      </c>
    </row>
    <row r="245" customFormat="false" ht="15" hidden="false" customHeight="false" outlineLevel="0" collapsed="false">
      <c r="AT245" s="26" t="n">
        <f aca="false">IF($D245="",0,IF(OR(StratFilter="All Loans",$E245=StratFilter),1,0))</f>
        <v>0</v>
      </c>
      <c r="AU245" s="18" t="str">
        <f aca="false">IF($D245="","",IFERROR(VLOOKUP(TRIM($K245),PropTypeMap,2,FALSE()),"Unmapped"))</f>
        <v/>
      </c>
      <c r="AV245" s="21" t="str">
        <f aca="false">IF($D245="","",IFERROR(VLOOKUP($J245,RegionMap,2,FALSE()),"Unmapped"))</f>
        <v/>
      </c>
      <c r="AW245" s="21" t="str">
        <f aca="false">IF($D245="","",IF($AC245="SOFR","Floating (SOFR)","Fixed / All-In"))</f>
        <v/>
      </c>
      <c r="AX245" s="24" t="str">
        <f aca="false">IF($D245="","",$AD245+SOFR)</f>
        <v/>
      </c>
      <c r="AY245" s="21" t="str">
        <f aca="false">IF($D245="","",IF($AF245="Waived","Waived",IF(ISNUMBER($AF245),IF($AF245&gt;AsOfDate,"In Place","Expired"),"None Reported")))</f>
        <v/>
      </c>
      <c r="AZ245" s="21" t="str">
        <f aca="false">IF($D245="","",IF(ISNUMBER($AG245),IF($AG245=0,"None",$AG245&amp;" Months"),IF($AG245="","None Reported",$AG245)))</f>
        <v/>
      </c>
      <c r="BA245" s="18" t="str">
        <f aca="false">IF($D245="","",IF($AK245="","Unlevered",$AK245))</f>
        <v/>
      </c>
      <c r="BB245" s="22" t="str">
        <f aca="false">IF($D245="","",SUM($AL245,$AO245))</f>
        <v/>
      </c>
      <c r="BC245" s="23" t="str">
        <f aca="false">IF($D245="","",IF($P245&gt;0,$BB245/$P245,0))</f>
        <v/>
      </c>
      <c r="BD245" s="25" t="str">
        <f aca="false">IF($D245="","",(AsOfDate-$AH245)/DaysPerMonth)</f>
        <v/>
      </c>
      <c r="BE245" s="25" t="str">
        <f aca="false">IF($D245="","",($AI245-AsOfDate)/DaysPerMonth)</f>
        <v/>
      </c>
      <c r="BF245" s="25" t="str">
        <f aca="false">IF($D245="","",($AJ245-AsOfDate)/DaysPerMonth)</f>
        <v/>
      </c>
      <c r="BG245" s="25" t="str">
        <f aca="false">IF($D245="","",MAX(0,$BE245))</f>
        <v/>
      </c>
      <c r="BH245" s="25" t="str">
        <f aca="false">IF($D245="","",MAX(0,$BF245))</f>
        <v/>
      </c>
      <c r="BI245" s="67" t="str">
        <f aca="false">IF($D245="","",YEAR($AI245))</f>
        <v/>
      </c>
      <c r="BJ245" s="67" t="str">
        <f aca="false">IF($D245="","",YEAR($AJ245))</f>
        <v/>
      </c>
      <c r="BK245" s="67" t="str">
        <f aca="false">IF($D245="","",YEAR($AH245))</f>
        <v/>
      </c>
      <c r="BM245" s="26" t="n">
        <f aca="false">IF($AT245=1,$P245+(1000-ROW())/1000000,0)</f>
        <v>0</v>
      </c>
    </row>
    <row r="246" customFormat="false" ht="15" hidden="false" customHeight="false" outlineLevel="0" collapsed="false">
      <c r="AT246" s="26" t="n">
        <f aca="false">IF($D246="",0,IF(OR(StratFilter="All Loans",$E246=StratFilter),1,0))</f>
        <v>0</v>
      </c>
      <c r="AU246" s="18" t="str">
        <f aca="false">IF($D246="","",IFERROR(VLOOKUP(TRIM($K246),PropTypeMap,2,FALSE()),"Unmapped"))</f>
        <v/>
      </c>
      <c r="AV246" s="21" t="str">
        <f aca="false">IF($D246="","",IFERROR(VLOOKUP($J246,RegionMap,2,FALSE()),"Unmapped"))</f>
        <v/>
      </c>
      <c r="AW246" s="21" t="str">
        <f aca="false">IF($D246="","",IF($AC246="SOFR","Floating (SOFR)","Fixed / All-In"))</f>
        <v/>
      </c>
      <c r="AX246" s="24" t="str">
        <f aca="false">IF($D246="","",$AD246+SOFR)</f>
        <v/>
      </c>
      <c r="AY246" s="21" t="str">
        <f aca="false">IF($D246="","",IF($AF246="Waived","Waived",IF(ISNUMBER($AF246),IF($AF246&gt;AsOfDate,"In Place","Expired"),"None Reported")))</f>
        <v/>
      </c>
      <c r="AZ246" s="21" t="str">
        <f aca="false">IF($D246="","",IF(ISNUMBER($AG246),IF($AG246=0,"None",$AG246&amp;" Months"),IF($AG246="","None Reported",$AG246)))</f>
        <v/>
      </c>
      <c r="BA246" s="18" t="str">
        <f aca="false">IF($D246="","",IF($AK246="","Unlevered",$AK246))</f>
        <v/>
      </c>
      <c r="BB246" s="22" t="str">
        <f aca="false">IF($D246="","",SUM($AL246,$AO246))</f>
        <v/>
      </c>
      <c r="BC246" s="23" t="str">
        <f aca="false">IF($D246="","",IF($P246&gt;0,$BB246/$P246,0))</f>
        <v/>
      </c>
      <c r="BD246" s="25" t="str">
        <f aca="false">IF($D246="","",(AsOfDate-$AH246)/DaysPerMonth)</f>
        <v/>
      </c>
      <c r="BE246" s="25" t="str">
        <f aca="false">IF($D246="","",($AI246-AsOfDate)/DaysPerMonth)</f>
        <v/>
      </c>
      <c r="BF246" s="25" t="str">
        <f aca="false">IF($D246="","",($AJ246-AsOfDate)/DaysPerMonth)</f>
        <v/>
      </c>
      <c r="BG246" s="25" t="str">
        <f aca="false">IF($D246="","",MAX(0,$BE246))</f>
        <v/>
      </c>
      <c r="BH246" s="25" t="str">
        <f aca="false">IF($D246="","",MAX(0,$BF246))</f>
        <v/>
      </c>
      <c r="BI246" s="67" t="str">
        <f aca="false">IF($D246="","",YEAR($AI246))</f>
        <v/>
      </c>
      <c r="BJ246" s="67" t="str">
        <f aca="false">IF($D246="","",YEAR($AJ246))</f>
        <v/>
      </c>
      <c r="BK246" s="67" t="str">
        <f aca="false">IF($D246="","",YEAR($AH246))</f>
        <v/>
      </c>
      <c r="BM246" s="26" t="n">
        <f aca="false">IF($AT246=1,$P246+(1000-ROW())/1000000,0)</f>
        <v>0</v>
      </c>
    </row>
    <row r="247" customFormat="false" ht="15" hidden="false" customHeight="false" outlineLevel="0" collapsed="false">
      <c r="AT247" s="26" t="n">
        <f aca="false">IF($D247="",0,IF(OR(StratFilter="All Loans",$E247=StratFilter),1,0))</f>
        <v>0</v>
      </c>
      <c r="AU247" s="18" t="str">
        <f aca="false">IF($D247="","",IFERROR(VLOOKUP(TRIM($K247),PropTypeMap,2,FALSE()),"Unmapped"))</f>
        <v/>
      </c>
      <c r="AV247" s="21" t="str">
        <f aca="false">IF($D247="","",IFERROR(VLOOKUP($J247,RegionMap,2,FALSE()),"Unmapped"))</f>
        <v/>
      </c>
      <c r="AW247" s="21" t="str">
        <f aca="false">IF($D247="","",IF($AC247="SOFR","Floating (SOFR)","Fixed / All-In"))</f>
        <v/>
      </c>
      <c r="AX247" s="24" t="str">
        <f aca="false">IF($D247="","",$AD247+SOFR)</f>
        <v/>
      </c>
      <c r="AY247" s="21" t="str">
        <f aca="false">IF($D247="","",IF($AF247="Waived","Waived",IF(ISNUMBER($AF247),IF($AF247&gt;AsOfDate,"In Place","Expired"),"None Reported")))</f>
        <v/>
      </c>
      <c r="AZ247" s="21" t="str">
        <f aca="false">IF($D247="","",IF(ISNUMBER($AG247),IF($AG247=0,"None",$AG247&amp;" Months"),IF($AG247="","None Reported",$AG247)))</f>
        <v/>
      </c>
      <c r="BA247" s="18" t="str">
        <f aca="false">IF($D247="","",IF($AK247="","Unlevered",$AK247))</f>
        <v/>
      </c>
      <c r="BB247" s="22" t="str">
        <f aca="false">IF($D247="","",SUM($AL247,$AO247))</f>
        <v/>
      </c>
      <c r="BC247" s="23" t="str">
        <f aca="false">IF($D247="","",IF($P247&gt;0,$BB247/$P247,0))</f>
        <v/>
      </c>
      <c r="BD247" s="25" t="str">
        <f aca="false">IF($D247="","",(AsOfDate-$AH247)/DaysPerMonth)</f>
        <v/>
      </c>
      <c r="BE247" s="25" t="str">
        <f aca="false">IF($D247="","",($AI247-AsOfDate)/DaysPerMonth)</f>
        <v/>
      </c>
      <c r="BF247" s="25" t="str">
        <f aca="false">IF($D247="","",($AJ247-AsOfDate)/DaysPerMonth)</f>
        <v/>
      </c>
      <c r="BG247" s="25" t="str">
        <f aca="false">IF($D247="","",MAX(0,$BE247))</f>
        <v/>
      </c>
      <c r="BH247" s="25" t="str">
        <f aca="false">IF($D247="","",MAX(0,$BF247))</f>
        <v/>
      </c>
      <c r="BI247" s="67" t="str">
        <f aca="false">IF($D247="","",YEAR($AI247))</f>
        <v/>
      </c>
      <c r="BJ247" s="67" t="str">
        <f aca="false">IF($D247="","",YEAR($AJ247))</f>
        <v/>
      </c>
      <c r="BK247" s="67" t="str">
        <f aca="false">IF($D247="","",YEAR($AH247))</f>
        <v/>
      </c>
      <c r="BM247" s="26" t="n">
        <f aca="false">IF($AT247=1,$P247+(1000-ROW())/1000000,0)</f>
        <v>0</v>
      </c>
    </row>
    <row r="248" customFormat="false" ht="15" hidden="false" customHeight="false" outlineLevel="0" collapsed="false">
      <c r="AT248" s="26" t="n">
        <f aca="false">IF($D248="",0,IF(OR(StratFilter="All Loans",$E248=StratFilter),1,0))</f>
        <v>0</v>
      </c>
      <c r="AU248" s="18" t="str">
        <f aca="false">IF($D248="","",IFERROR(VLOOKUP(TRIM($K248),PropTypeMap,2,FALSE()),"Unmapped"))</f>
        <v/>
      </c>
      <c r="AV248" s="21" t="str">
        <f aca="false">IF($D248="","",IFERROR(VLOOKUP($J248,RegionMap,2,FALSE()),"Unmapped"))</f>
        <v/>
      </c>
      <c r="AW248" s="21" t="str">
        <f aca="false">IF($D248="","",IF($AC248="SOFR","Floating (SOFR)","Fixed / All-In"))</f>
        <v/>
      </c>
      <c r="AX248" s="24" t="str">
        <f aca="false">IF($D248="","",$AD248+SOFR)</f>
        <v/>
      </c>
      <c r="AY248" s="21" t="str">
        <f aca="false">IF($D248="","",IF($AF248="Waived","Waived",IF(ISNUMBER($AF248),IF($AF248&gt;AsOfDate,"In Place","Expired"),"None Reported")))</f>
        <v/>
      </c>
      <c r="AZ248" s="21" t="str">
        <f aca="false">IF($D248="","",IF(ISNUMBER($AG248),IF($AG248=0,"None",$AG248&amp;" Months"),IF($AG248="","None Reported",$AG248)))</f>
        <v/>
      </c>
      <c r="BA248" s="18" t="str">
        <f aca="false">IF($D248="","",IF($AK248="","Unlevered",$AK248))</f>
        <v/>
      </c>
      <c r="BB248" s="22" t="str">
        <f aca="false">IF($D248="","",SUM($AL248,$AO248))</f>
        <v/>
      </c>
      <c r="BC248" s="23" t="str">
        <f aca="false">IF($D248="","",IF($P248&gt;0,$BB248/$P248,0))</f>
        <v/>
      </c>
      <c r="BD248" s="25" t="str">
        <f aca="false">IF($D248="","",(AsOfDate-$AH248)/DaysPerMonth)</f>
        <v/>
      </c>
      <c r="BE248" s="25" t="str">
        <f aca="false">IF($D248="","",($AI248-AsOfDate)/DaysPerMonth)</f>
        <v/>
      </c>
      <c r="BF248" s="25" t="str">
        <f aca="false">IF($D248="","",($AJ248-AsOfDate)/DaysPerMonth)</f>
        <v/>
      </c>
      <c r="BG248" s="25" t="str">
        <f aca="false">IF($D248="","",MAX(0,$BE248))</f>
        <v/>
      </c>
      <c r="BH248" s="25" t="str">
        <f aca="false">IF($D248="","",MAX(0,$BF248))</f>
        <v/>
      </c>
      <c r="BI248" s="67" t="str">
        <f aca="false">IF($D248="","",YEAR($AI248))</f>
        <v/>
      </c>
      <c r="BJ248" s="67" t="str">
        <f aca="false">IF($D248="","",YEAR($AJ248))</f>
        <v/>
      </c>
      <c r="BK248" s="67" t="str">
        <f aca="false">IF($D248="","",YEAR($AH248))</f>
        <v/>
      </c>
      <c r="BM248" s="26" t="n">
        <f aca="false">IF($AT248=1,$P248+(1000-ROW())/1000000,0)</f>
        <v>0</v>
      </c>
    </row>
    <row r="249" customFormat="false" ht="15" hidden="false" customHeight="false" outlineLevel="0" collapsed="false">
      <c r="AT249" s="26" t="n">
        <f aca="false">IF($D249="",0,IF(OR(StratFilter="All Loans",$E249=StratFilter),1,0))</f>
        <v>0</v>
      </c>
      <c r="AU249" s="18" t="str">
        <f aca="false">IF($D249="","",IFERROR(VLOOKUP(TRIM($K249),PropTypeMap,2,FALSE()),"Unmapped"))</f>
        <v/>
      </c>
      <c r="AV249" s="21" t="str">
        <f aca="false">IF($D249="","",IFERROR(VLOOKUP($J249,RegionMap,2,FALSE()),"Unmapped"))</f>
        <v/>
      </c>
      <c r="AW249" s="21" t="str">
        <f aca="false">IF($D249="","",IF($AC249="SOFR","Floating (SOFR)","Fixed / All-In"))</f>
        <v/>
      </c>
      <c r="AX249" s="24" t="str">
        <f aca="false">IF($D249="","",$AD249+SOFR)</f>
        <v/>
      </c>
      <c r="AY249" s="21" t="str">
        <f aca="false">IF($D249="","",IF($AF249="Waived","Waived",IF(ISNUMBER($AF249),IF($AF249&gt;AsOfDate,"In Place","Expired"),"None Reported")))</f>
        <v/>
      </c>
      <c r="AZ249" s="21" t="str">
        <f aca="false">IF($D249="","",IF(ISNUMBER($AG249),IF($AG249=0,"None",$AG249&amp;" Months"),IF($AG249="","None Reported",$AG249)))</f>
        <v/>
      </c>
      <c r="BA249" s="18" t="str">
        <f aca="false">IF($D249="","",IF($AK249="","Unlevered",$AK249))</f>
        <v/>
      </c>
      <c r="BB249" s="22" t="str">
        <f aca="false">IF($D249="","",SUM($AL249,$AO249))</f>
        <v/>
      </c>
      <c r="BC249" s="23" t="str">
        <f aca="false">IF($D249="","",IF($P249&gt;0,$BB249/$P249,0))</f>
        <v/>
      </c>
      <c r="BD249" s="25" t="str">
        <f aca="false">IF($D249="","",(AsOfDate-$AH249)/DaysPerMonth)</f>
        <v/>
      </c>
      <c r="BE249" s="25" t="str">
        <f aca="false">IF($D249="","",($AI249-AsOfDate)/DaysPerMonth)</f>
        <v/>
      </c>
      <c r="BF249" s="25" t="str">
        <f aca="false">IF($D249="","",($AJ249-AsOfDate)/DaysPerMonth)</f>
        <v/>
      </c>
      <c r="BG249" s="25" t="str">
        <f aca="false">IF($D249="","",MAX(0,$BE249))</f>
        <v/>
      </c>
      <c r="BH249" s="25" t="str">
        <f aca="false">IF($D249="","",MAX(0,$BF249))</f>
        <v/>
      </c>
      <c r="BI249" s="67" t="str">
        <f aca="false">IF($D249="","",YEAR($AI249))</f>
        <v/>
      </c>
      <c r="BJ249" s="67" t="str">
        <f aca="false">IF($D249="","",YEAR($AJ249))</f>
        <v/>
      </c>
      <c r="BK249" s="67" t="str">
        <f aca="false">IF($D249="","",YEAR($AH249))</f>
        <v/>
      </c>
      <c r="BM249" s="26" t="n">
        <f aca="false">IF($AT249=1,$P249+(1000-ROW())/1000000,0)</f>
        <v>0</v>
      </c>
    </row>
    <row r="250" customFormat="false" ht="15" hidden="false" customHeight="false" outlineLevel="0" collapsed="false">
      <c r="AT250" s="26" t="n">
        <f aca="false">IF($D250="",0,IF(OR(StratFilter="All Loans",$E250=StratFilter),1,0))</f>
        <v>0</v>
      </c>
      <c r="AU250" s="18" t="str">
        <f aca="false">IF($D250="","",IFERROR(VLOOKUP(TRIM($K250),PropTypeMap,2,FALSE()),"Unmapped"))</f>
        <v/>
      </c>
      <c r="AV250" s="21" t="str">
        <f aca="false">IF($D250="","",IFERROR(VLOOKUP($J250,RegionMap,2,FALSE()),"Unmapped"))</f>
        <v/>
      </c>
      <c r="AW250" s="21" t="str">
        <f aca="false">IF($D250="","",IF($AC250="SOFR","Floating (SOFR)","Fixed / All-In"))</f>
        <v/>
      </c>
      <c r="AX250" s="24" t="str">
        <f aca="false">IF($D250="","",$AD250+SOFR)</f>
        <v/>
      </c>
      <c r="AY250" s="21" t="str">
        <f aca="false">IF($D250="","",IF($AF250="Waived","Waived",IF(ISNUMBER($AF250),IF($AF250&gt;AsOfDate,"In Place","Expired"),"None Reported")))</f>
        <v/>
      </c>
      <c r="AZ250" s="21" t="str">
        <f aca="false">IF($D250="","",IF(ISNUMBER($AG250),IF($AG250=0,"None",$AG250&amp;" Months"),IF($AG250="","None Reported",$AG250)))</f>
        <v/>
      </c>
      <c r="BA250" s="18" t="str">
        <f aca="false">IF($D250="","",IF($AK250="","Unlevered",$AK250))</f>
        <v/>
      </c>
      <c r="BB250" s="22" t="str">
        <f aca="false">IF($D250="","",SUM($AL250,$AO250))</f>
        <v/>
      </c>
      <c r="BC250" s="23" t="str">
        <f aca="false">IF($D250="","",IF($P250&gt;0,$BB250/$P250,0))</f>
        <v/>
      </c>
      <c r="BD250" s="25" t="str">
        <f aca="false">IF($D250="","",(AsOfDate-$AH250)/DaysPerMonth)</f>
        <v/>
      </c>
      <c r="BE250" s="25" t="str">
        <f aca="false">IF($D250="","",($AI250-AsOfDate)/DaysPerMonth)</f>
        <v/>
      </c>
      <c r="BF250" s="25" t="str">
        <f aca="false">IF($D250="","",($AJ250-AsOfDate)/DaysPerMonth)</f>
        <v/>
      </c>
      <c r="BG250" s="25" t="str">
        <f aca="false">IF($D250="","",MAX(0,$BE250))</f>
        <v/>
      </c>
      <c r="BH250" s="25" t="str">
        <f aca="false">IF($D250="","",MAX(0,$BF250))</f>
        <v/>
      </c>
      <c r="BI250" s="67" t="str">
        <f aca="false">IF($D250="","",YEAR($AI250))</f>
        <v/>
      </c>
      <c r="BJ250" s="67" t="str">
        <f aca="false">IF($D250="","",YEAR($AJ250))</f>
        <v/>
      </c>
      <c r="BK250" s="67" t="str">
        <f aca="false">IF($D250="","",YEAR($AH250))</f>
        <v/>
      </c>
      <c r="BM250" s="26" t="n">
        <f aca="false">IF($AT250=1,$P250+(1000-ROW())/1000000,0)</f>
        <v>0</v>
      </c>
    </row>
    <row r="251" customFormat="false" ht="15" hidden="false" customHeight="false" outlineLevel="0" collapsed="false">
      <c r="AT251" s="26" t="n">
        <f aca="false">IF($D251="",0,IF(OR(StratFilter="All Loans",$E251=StratFilter),1,0))</f>
        <v>0</v>
      </c>
      <c r="AU251" s="18" t="str">
        <f aca="false">IF($D251="","",IFERROR(VLOOKUP(TRIM($K251),PropTypeMap,2,FALSE()),"Unmapped"))</f>
        <v/>
      </c>
      <c r="AV251" s="21" t="str">
        <f aca="false">IF($D251="","",IFERROR(VLOOKUP($J251,RegionMap,2,FALSE()),"Unmapped"))</f>
        <v/>
      </c>
      <c r="AW251" s="21" t="str">
        <f aca="false">IF($D251="","",IF($AC251="SOFR","Floating (SOFR)","Fixed / All-In"))</f>
        <v/>
      </c>
      <c r="AX251" s="24" t="str">
        <f aca="false">IF($D251="","",$AD251+SOFR)</f>
        <v/>
      </c>
      <c r="AY251" s="21" t="str">
        <f aca="false">IF($D251="","",IF($AF251="Waived","Waived",IF(ISNUMBER($AF251),IF($AF251&gt;AsOfDate,"In Place","Expired"),"None Reported")))</f>
        <v/>
      </c>
      <c r="AZ251" s="21" t="str">
        <f aca="false">IF($D251="","",IF(ISNUMBER($AG251),IF($AG251=0,"None",$AG251&amp;" Months"),IF($AG251="","None Reported",$AG251)))</f>
        <v/>
      </c>
      <c r="BA251" s="18" t="str">
        <f aca="false">IF($D251="","",IF($AK251="","Unlevered",$AK251))</f>
        <v/>
      </c>
      <c r="BB251" s="22" t="str">
        <f aca="false">IF($D251="","",SUM($AL251,$AO251))</f>
        <v/>
      </c>
      <c r="BC251" s="23" t="str">
        <f aca="false">IF($D251="","",IF($P251&gt;0,$BB251/$P251,0))</f>
        <v/>
      </c>
      <c r="BD251" s="25" t="str">
        <f aca="false">IF($D251="","",(AsOfDate-$AH251)/DaysPerMonth)</f>
        <v/>
      </c>
      <c r="BE251" s="25" t="str">
        <f aca="false">IF($D251="","",($AI251-AsOfDate)/DaysPerMonth)</f>
        <v/>
      </c>
      <c r="BF251" s="25" t="str">
        <f aca="false">IF($D251="","",($AJ251-AsOfDate)/DaysPerMonth)</f>
        <v/>
      </c>
      <c r="BG251" s="25" t="str">
        <f aca="false">IF($D251="","",MAX(0,$BE251))</f>
        <v/>
      </c>
      <c r="BH251" s="25" t="str">
        <f aca="false">IF($D251="","",MAX(0,$BF251))</f>
        <v/>
      </c>
      <c r="BI251" s="67" t="str">
        <f aca="false">IF($D251="","",YEAR($AI251))</f>
        <v/>
      </c>
      <c r="BJ251" s="67" t="str">
        <f aca="false">IF($D251="","",YEAR($AJ251))</f>
        <v/>
      </c>
      <c r="BK251" s="67" t="str">
        <f aca="false">IF($D251="","",YEAR($AH251))</f>
        <v/>
      </c>
      <c r="BM251" s="26" t="n">
        <f aca="false">IF($AT251=1,$P251+(1000-ROW())/1000000,0)</f>
        <v>0</v>
      </c>
    </row>
    <row r="252" customFormat="false" ht="15" hidden="false" customHeight="false" outlineLevel="0" collapsed="false">
      <c r="AT252" s="26" t="n">
        <f aca="false">IF($D252="",0,IF(OR(StratFilter="All Loans",$E252=StratFilter),1,0))</f>
        <v>0</v>
      </c>
      <c r="AU252" s="18" t="str">
        <f aca="false">IF($D252="","",IFERROR(VLOOKUP(TRIM($K252),PropTypeMap,2,FALSE()),"Unmapped"))</f>
        <v/>
      </c>
      <c r="AV252" s="21" t="str">
        <f aca="false">IF($D252="","",IFERROR(VLOOKUP($J252,RegionMap,2,FALSE()),"Unmapped"))</f>
        <v/>
      </c>
      <c r="AW252" s="21" t="str">
        <f aca="false">IF($D252="","",IF($AC252="SOFR","Floating (SOFR)","Fixed / All-In"))</f>
        <v/>
      </c>
      <c r="AX252" s="24" t="str">
        <f aca="false">IF($D252="","",$AD252+SOFR)</f>
        <v/>
      </c>
      <c r="AY252" s="21" t="str">
        <f aca="false">IF($D252="","",IF($AF252="Waived","Waived",IF(ISNUMBER($AF252),IF($AF252&gt;AsOfDate,"In Place","Expired"),"None Reported")))</f>
        <v/>
      </c>
      <c r="AZ252" s="21" t="str">
        <f aca="false">IF($D252="","",IF(ISNUMBER($AG252),IF($AG252=0,"None",$AG252&amp;" Months"),IF($AG252="","None Reported",$AG252)))</f>
        <v/>
      </c>
      <c r="BA252" s="18" t="str">
        <f aca="false">IF($D252="","",IF($AK252="","Unlevered",$AK252))</f>
        <v/>
      </c>
      <c r="BB252" s="22" t="str">
        <f aca="false">IF($D252="","",SUM($AL252,$AO252))</f>
        <v/>
      </c>
      <c r="BC252" s="23" t="str">
        <f aca="false">IF($D252="","",IF($P252&gt;0,$BB252/$P252,0))</f>
        <v/>
      </c>
      <c r="BD252" s="25" t="str">
        <f aca="false">IF($D252="","",(AsOfDate-$AH252)/DaysPerMonth)</f>
        <v/>
      </c>
      <c r="BE252" s="25" t="str">
        <f aca="false">IF($D252="","",($AI252-AsOfDate)/DaysPerMonth)</f>
        <v/>
      </c>
      <c r="BF252" s="25" t="str">
        <f aca="false">IF($D252="","",($AJ252-AsOfDate)/DaysPerMonth)</f>
        <v/>
      </c>
      <c r="BG252" s="25" t="str">
        <f aca="false">IF($D252="","",MAX(0,$BE252))</f>
        <v/>
      </c>
      <c r="BH252" s="25" t="str">
        <f aca="false">IF($D252="","",MAX(0,$BF252))</f>
        <v/>
      </c>
      <c r="BI252" s="67" t="str">
        <f aca="false">IF($D252="","",YEAR($AI252))</f>
        <v/>
      </c>
      <c r="BJ252" s="67" t="str">
        <f aca="false">IF($D252="","",YEAR($AJ252))</f>
        <v/>
      </c>
      <c r="BK252" s="67" t="str">
        <f aca="false">IF($D252="","",YEAR($AH252))</f>
        <v/>
      </c>
      <c r="BM252" s="26" t="n">
        <f aca="false">IF($AT252=1,$P252+(1000-ROW())/1000000,0)</f>
        <v>0</v>
      </c>
    </row>
    <row r="253" customFormat="false" ht="15" hidden="false" customHeight="false" outlineLevel="0" collapsed="false">
      <c r="AT253" s="26" t="n">
        <f aca="false">IF($D253="",0,IF(OR(StratFilter="All Loans",$E253=StratFilter),1,0))</f>
        <v>0</v>
      </c>
      <c r="AU253" s="18" t="str">
        <f aca="false">IF($D253="","",IFERROR(VLOOKUP(TRIM($K253),PropTypeMap,2,FALSE()),"Unmapped"))</f>
        <v/>
      </c>
      <c r="AV253" s="21" t="str">
        <f aca="false">IF($D253="","",IFERROR(VLOOKUP($J253,RegionMap,2,FALSE()),"Unmapped"))</f>
        <v/>
      </c>
      <c r="AW253" s="21" t="str">
        <f aca="false">IF($D253="","",IF($AC253="SOFR","Floating (SOFR)","Fixed / All-In"))</f>
        <v/>
      </c>
      <c r="AX253" s="24" t="str">
        <f aca="false">IF($D253="","",$AD253+SOFR)</f>
        <v/>
      </c>
      <c r="AY253" s="21" t="str">
        <f aca="false">IF($D253="","",IF($AF253="Waived","Waived",IF(ISNUMBER($AF253),IF($AF253&gt;AsOfDate,"In Place","Expired"),"None Reported")))</f>
        <v/>
      </c>
      <c r="AZ253" s="21" t="str">
        <f aca="false">IF($D253="","",IF(ISNUMBER($AG253),IF($AG253=0,"None",$AG253&amp;" Months"),IF($AG253="","None Reported",$AG253)))</f>
        <v/>
      </c>
      <c r="BA253" s="18" t="str">
        <f aca="false">IF($D253="","",IF($AK253="","Unlevered",$AK253))</f>
        <v/>
      </c>
      <c r="BB253" s="22" t="str">
        <f aca="false">IF($D253="","",SUM($AL253,$AO253))</f>
        <v/>
      </c>
      <c r="BC253" s="23" t="str">
        <f aca="false">IF($D253="","",IF($P253&gt;0,$BB253/$P253,0))</f>
        <v/>
      </c>
      <c r="BD253" s="25" t="str">
        <f aca="false">IF($D253="","",(AsOfDate-$AH253)/DaysPerMonth)</f>
        <v/>
      </c>
      <c r="BE253" s="25" t="str">
        <f aca="false">IF($D253="","",($AI253-AsOfDate)/DaysPerMonth)</f>
        <v/>
      </c>
      <c r="BF253" s="25" t="str">
        <f aca="false">IF($D253="","",($AJ253-AsOfDate)/DaysPerMonth)</f>
        <v/>
      </c>
      <c r="BG253" s="25" t="str">
        <f aca="false">IF($D253="","",MAX(0,$BE253))</f>
        <v/>
      </c>
      <c r="BH253" s="25" t="str">
        <f aca="false">IF($D253="","",MAX(0,$BF253))</f>
        <v/>
      </c>
      <c r="BI253" s="67" t="str">
        <f aca="false">IF($D253="","",YEAR($AI253))</f>
        <v/>
      </c>
      <c r="BJ253" s="67" t="str">
        <f aca="false">IF($D253="","",YEAR($AJ253))</f>
        <v/>
      </c>
      <c r="BK253" s="67" t="str">
        <f aca="false">IF($D253="","",YEAR($AH253))</f>
        <v/>
      </c>
      <c r="BM253" s="26" t="n">
        <f aca="false">IF($AT253=1,$P253+(1000-ROW())/1000000,0)</f>
        <v>0</v>
      </c>
    </row>
    <row r="254" customFormat="false" ht="15" hidden="false" customHeight="false" outlineLevel="0" collapsed="false">
      <c r="AT254" s="26" t="n">
        <f aca="false">IF($D254="",0,IF(OR(StratFilter="All Loans",$E254=StratFilter),1,0))</f>
        <v>0</v>
      </c>
      <c r="AU254" s="18" t="str">
        <f aca="false">IF($D254="","",IFERROR(VLOOKUP(TRIM($K254),PropTypeMap,2,FALSE()),"Unmapped"))</f>
        <v/>
      </c>
      <c r="AV254" s="21" t="str">
        <f aca="false">IF($D254="","",IFERROR(VLOOKUP($J254,RegionMap,2,FALSE()),"Unmapped"))</f>
        <v/>
      </c>
      <c r="AW254" s="21" t="str">
        <f aca="false">IF($D254="","",IF($AC254="SOFR","Floating (SOFR)","Fixed / All-In"))</f>
        <v/>
      </c>
      <c r="AX254" s="24" t="str">
        <f aca="false">IF($D254="","",$AD254+SOFR)</f>
        <v/>
      </c>
      <c r="AY254" s="21" t="str">
        <f aca="false">IF($D254="","",IF($AF254="Waived","Waived",IF(ISNUMBER($AF254),IF($AF254&gt;AsOfDate,"In Place","Expired"),"None Reported")))</f>
        <v/>
      </c>
      <c r="AZ254" s="21" t="str">
        <f aca="false">IF($D254="","",IF(ISNUMBER($AG254),IF($AG254=0,"None",$AG254&amp;" Months"),IF($AG254="","None Reported",$AG254)))</f>
        <v/>
      </c>
      <c r="BA254" s="18" t="str">
        <f aca="false">IF($D254="","",IF($AK254="","Unlevered",$AK254))</f>
        <v/>
      </c>
      <c r="BB254" s="22" t="str">
        <f aca="false">IF($D254="","",SUM($AL254,$AO254))</f>
        <v/>
      </c>
      <c r="BC254" s="23" t="str">
        <f aca="false">IF($D254="","",IF($P254&gt;0,$BB254/$P254,0))</f>
        <v/>
      </c>
      <c r="BD254" s="25" t="str">
        <f aca="false">IF($D254="","",(AsOfDate-$AH254)/DaysPerMonth)</f>
        <v/>
      </c>
      <c r="BE254" s="25" t="str">
        <f aca="false">IF($D254="","",($AI254-AsOfDate)/DaysPerMonth)</f>
        <v/>
      </c>
      <c r="BF254" s="25" t="str">
        <f aca="false">IF($D254="","",($AJ254-AsOfDate)/DaysPerMonth)</f>
        <v/>
      </c>
      <c r="BG254" s="25" t="str">
        <f aca="false">IF($D254="","",MAX(0,$BE254))</f>
        <v/>
      </c>
      <c r="BH254" s="25" t="str">
        <f aca="false">IF($D254="","",MAX(0,$BF254))</f>
        <v/>
      </c>
      <c r="BI254" s="67" t="str">
        <f aca="false">IF($D254="","",YEAR($AI254))</f>
        <v/>
      </c>
      <c r="BJ254" s="67" t="str">
        <f aca="false">IF($D254="","",YEAR($AJ254))</f>
        <v/>
      </c>
      <c r="BK254" s="67" t="str">
        <f aca="false">IF($D254="","",YEAR($AH254))</f>
        <v/>
      </c>
      <c r="BM254" s="26" t="n">
        <f aca="false">IF($AT254=1,$P254+(1000-ROW())/1000000,0)</f>
        <v>0</v>
      </c>
    </row>
    <row r="255" customFormat="false" ht="15" hidden="false" customHeight="false" outlineLevel="0" collapsed="false">
      <c r="AT255" s="26" t="n">
        <f aca="false">IF($D255="",0,IF(OR(StratFilter="All Loans",$E255=StratFilter),1,0))</f>
        <v>0</v>
      </c>
      <c r="AU255" s="18" t="str">
        <f aca="false">IF($D255="","",IFERROR(VLOOKUP(TRIM($K255),PropTypeMap,2,FALSE()),"Unmapped"))</f>
        <v/>
      </c>
      <c r="AV255" s="21" t="str">
        <f aca="false">IF($D255="","",IFERROR(VLOOKUP($J255,RegionMap,2,FALSE()),"Unmapped"))</f>
        <v/>
      </c>
      <c r="AW255" s="21" t="str">
        <f aca="false">IF($D255="","",IF($AC255="SOFR","Floating (SOFR)","Fixed / All-In"))</f>
        <v/>
      </c>
      <c r="AX255" s="24" t="str">
        <f aca="false">IF($D255="","",$AD255+SOFR)</f>
        <v/>
      </c>
      <c r="AY255" s="21" t="str">
        <f aca="false">IF($D255="","",IF($AF255="Waived","Waived",IF(ISNUMBER($AF255),IF($AF255&gt;AsOfDate,"In Place","Expired"),"None Reported")))</f>
        <v/>
      </c>
      <c r="AZ255" s="21" t="str">
        <f aca="false">IF($D255="","",IF(ISNUMBER($AG255),IF($AG255=0,"None",$AG255&amp;" Months"),IF($AG255="","None Reported",$AG255)))</f>
        <v/>
      </c>
      <c r="BA255" s="18" t="str">
        <f aca="false">IF($D255="","",IF($AK255="","Unlevered",$AK255))</f>
        <v/>
      </c>
      <c r="BB255" s="22" t="str">
        <f aca="false">IF($D255="","",SUM($AL255,$AO255))</f>
        <v/>
      </c>
      <c r="BC255" s="23" t="str">
        <f aca="false">IF($D255="","",IF($P255&gt;0,$BB255/$P255,0))</f>
        <v/>
      </c>
      <c r="BD255" s="25" t="str">
        <f aca="false">IF($D255="","",(AsOfDate-$AH255)/DaysPerMonth)</f>
        <v/>
      </c>
      <c r="BE255" s="25" t="str">
        <f aca="false">IF($D255="","",($AI255-AsOfDate)/DaysPerMonth)</f>
        <v/>
      </c>
      <c r="BF255" s="25" t="str">
        <f aca="false">IF($D255="","",($AJ255-AsOfDate)/DaysPerMonth)</f>
        <v/>
      </c>
      <c r="BG255" s="25" t="str">
        <f aca="false">IF($D255="","",MAX(0,$BE255))</f>
        <v/>
      </c>
      <c r="BH255" s="25" t="str">
        <f aca="false">IF($D255="","",MAX(0,$BF255))</f>
        <v/>
      </c>
      <c r="BI255" s="67" t="str">
        <f aca="false">IF($D255="","",YEAR($AI255))</f>
        <v/>
      </c>
      <c r="BJ255" s="67" t="str">
        <f aca="false">IF($D255="","",YEAR($AJ255))</f>
        <v/>
      </c>
      <c r="BK255" s="67" t="str">
        <f aca="false">IF($D255="","",YEAR($AH255))</f>
        <v/>
      </c>
      <c r="BM255" s="26" t="n">
        <f aca="false">IF($AT255=1,$P255+(1000-ROW())/1000000,0)</f>
        <v>0</v>
      </c>
    </row>
    <row r="256" customFormat="false" ht="15" hidden="false" customHeight="false" outlineLevel="0" collapsed="false">
      <c r="AT256" s="26" t="n">
        <f aca="false">IF($D256="",0,IF(OR(StratFilter="All Loans",$E256=StratFilter),1,0))</f>
        <v>0</v>
      </c>
      <c r="AU256" s="18" t="str">
        <f aca="false">IF($D256="","",IFERROR(VLOOKUP(TRIM($K256),PropTypeMap,2,FALSE()),"Unmapped"))</f>
        <v/>
      </c>
      <c r="AV256" s="21" t="str">
        <f aca="false">IF($D256="","",IFERROR(VLOOKUP($J256,RegionMap,2,FALSE()),"Unmapped"))</f>
        <v/>
      </c>
      <c r="AW256" s="21" t="str">
        <f aca="false">IF($D256="","",IF($AC256="SOFR","Floating (SOFR)","Fixed / All-In"))</f>
        <v/>
      </c>
      <c r="AX256" s="24" t="str">
        <f aca="false">IF($D256="","",$AD256+SOFR)</f>
        <v/>
      </c>
      <c r="AY256" s="21" t="str">
        <f aca="false">IF($D256="","",IF($AF256="Waived","Waived",IF(ISNUMBER($AF256),IF($AF256&gt;AsOfDate,"In Place","Expired"),"None Reported")))</f>
        <v/>
      </c>
      <c r="AZ256" s="21" t="str">
        <f aca="false">IF($D256="","",IF(ISNUMBER($AG256),IF($AG256=0,"None",$AG256&amp;" Months"),IF($AG256="","None Reported",$AG256)))</f>
        <v/>
      </c>
      <c r="BA256" s="18" t="str">
        <f aca="false">IF($D256="","",IF($AK256="","Unlevered",$AK256))</f>
        <v/>
      </c>
      <c r="BB256" s="22" t="str">
        <f aca="false">IF($D256="","",SUM($AL256,$AO256))</f>
        <v/>
      </c>
      <c r="BC256" s="23" t="str">
        <f aca="false">IF($D256="","",IF($P256&gt;0,$BB256/$P256,0))</f>
        <v/>
      </c>
      <c r="BD256" s="25" t="str">
        <f aca="false">IF($D256="","",(AsOfDate-$AH256)/DaysPerMonth)</f>
        <v/>
      </c>
      <c r="BE256" s="25" t="str">
        <f aca="false">IF($D256="","",($AI256-AsOfDate)/DaysPerMonth)</f>
        <v/>
      </c>
      <c r="BF256" s="25" t="str">
        <f aca="false">IF($D256="","",($AJ256-AsOfDate)/DaysPerMonth)</f>
        <v/>
      </c>
      <c r="BG256" s="25" t="str">
        <f aca="false">IF($D256="","",MAX(0,$BE256))</f>
        <v/>
      </c>
      <c r="BH256" s="25" t="str">
        <f aca="false">IF($D256="","",MAX(0,$BF256))</f>
        <v/>
      </c>
      <c r="BI256" s="67" t="str">
        <f aca="false">IF($D256="","",YEAR($AI256))</f>
        <v/>
      </c>
      <c r="BJ256" s="67" t="str">
        <f aca="false">IF($D256="","",YEAR($AJ256))</f>
        <v/>
      </c>
      <c r="BK256" s="67" t="str">
        <f aca="false">IF($D256="","",YEAR($AH256))</f>
        <v/>
      </c>
      <c r="BM256" s="26" t="n">
        <f aca="false">IF($AT256=1,$P256+(1000-ROW())/1000000,0)</f>
        <v>0</v>
      </c>
    </row>
    <row r="257" customFormat="false" ht="15" hidden="false" customHeight="false" outlineLevel="0" collapsed="false">
      <c r="AT257" s="26" t="n">
        <f aca="false">IF($D257="",0,IF(OR(StratFilter="All Loans",$E257=StratFilter),1,0))</f>
        <v>0</v>
      </c>
      <c r="AU257" s="18" t="str">
        <f aca="false">IF($D257="","",IFERROR(VLOOKUP(TRIM($K257),PropTypeMap,2,FALSE()),"Unmapped"))</f>
        <v/>
      </c>
      <c r="AV257" s="21" t="str">
        <f aca="false">IF($D257="","",IFERROR(VLOOKUP($J257,RegionMap,2,FALSE()),"Unmapped"))</f>
        <v/>
      </c>
      <c r="AW257" s="21" t="str">
        <f aca="false">IF($D257="","",IF($AC257="SOFR","Floating (SOFR)","Fixed / All-In"))</f>
        <v/>
      </c>
      <c r="AX257" s="24" t="str">
        <f aca="false">IF($D257="","",$AD257+SOFR)</f>
        <v/>
      </c>
      <c r="AY257" s="21" t="str">
        <f aca="false">IF($D257="","",IF($AF257="Waived","Waived",IF(ISNUMBER($AF257),IF($AF257&gt;AsOfDate,"In Place","Expired"),"None Reported")))</f>
        <v/>
      </c>
      <c r="AZ257" s="21" t="str">
        <f aca="false">IF($D257="","",IF(ISNUMBER($AG257),IF($AG257=0,"None",$AG257&amp;" Months"),IF($AG257="","None Reported",$AG257)))</f>
        <v/>
      </c>
      <c r="BA257" s="18" t="str">
        <f aca="false">IF($D257="","",IF($AK257="","Unlevered",$AK257))</f>
        <v/>
      </c>
      <c r="BB257" s="22" t="str">
        <f aca="false">IF($D257="","",SUM($AL257,$AO257))</f>
        <v/>
      </c>
      <c r="BC257" s="23" t="str">
        <f aca="false">IF($D257="","",IF($P257&gt;0,$BB257/$P257,0))</f>
        <v/>
      </c>
      <c r="BD257" s="25" t="str">
        <f aca="false">IF($D257="","",(AsOfDate-$AH257)/DaysPerMonth)</f>
        <v/>
      </c>
      <c r="BE257" s="25" t="str">
        <f aca="false">IF($D257="","",($AI257-AsOfDate)/DaysPerMonth)</f>
        <v/>
      </c>
      <c r="BF257" s="25" t="str">
        <f aca="false">IF($D257="","",($AJ257-AsOfDate)/DaysPerMonth)</f>
        <v/>
      </c>
      <c r="BG257" s="25" t="str">
        <f aca="false">IF($D257="","",MAX(0,$BE257))</f>
        <v/>
      </c>
      <c r="BH257" s="25" t="str">
        <f aca="false">IF($D257="","",MAX(0,$BF257))</f>
        <v/>
      </c>
      <c r="BI257" s="67" t="str">
        <f aca="false">IF($D257="","",YEAR($AI257))</f>
        <v/>
      </c>
      <c r="BJ257" s="67" t="str">
        <f aca="false">IF($D257="","",YEAR($AJ257))</f>
        <v/>
      </c>
      <c r="BK257" s="67" t="str">
        <f aca="false">IF($D257="","",YEAR($AH257))</f>
        <v/>
      </c>
      <c r="BM257" s="26" t="n">
        <f aca="false">IF($AT257=1,$P257+(1000-ROW())/1000000,0)</f>
        <v>0</v>
      </c>
    </row>
    <row r="258" customFormat="false" ht="15" hidden="false" customHeight="false" outlineLevel="0" collapsed="false">
      <c r="AT258" s="26" t="n">
        <f aca="false">IF($D258="",0,IF(OR(StratFilter="All Loans",$E258=StratFilter),1,0))</f>
        <v>0</v>
      </c>
      <c r="AU258" s="18" t="str">
        <f aca="false">IF($D258="","",IFERROR(VLOOKUP(TRIM($K258),PropTypeMap,2,FALSE()),"Unmapped"))</f>
        <v/>
      </c>
      <c r="AV258" s="21" t="str">
        <f aca="false">IF($D258="","",IFERROR(VLOOKUP($J258,RegionMap,2,FALSE()),"Unmapped"))</f>
        <v/>
      </c>
      <c r="AW258" s="21" t="str">
        <f aca="false">IF($D258="","",IF($AC258="SOFR","Floating (SOFR)","Fixed / All-In"))</f>
        <v/>
      </c>
      <c r="AX258" s="24" t="str">
        <f aca="false">IF($D258="","",$AD258+SOFR)</f>
        <v/>
      </c>
      <c r="AY258" s="21" t="str">
        <f aca="false">IF($D258="","",IF($AF258="Waived","Waived",IF(ISNUMBER($AF258),IF($AF258&gt;AsOfDate,"In Place","Expired"),"None Reported")))</f>
        <v/>
      </c>
      <c r="AZ258" s="21" t="str">
        <f aca="false">IF($D258="","",IF(ISNUMBER($AG258),IF($AG258=0,"None",$AG258&amp;" Months"),IF($AG258="","None Reported",$AG258)))</f>
        <v/>
      </c>
      <c r="BA258" s="18" t="str">
        <f aca="false">IF($D258="","",IF($AK258="","Unlevered",$AK258))</f>
        <v/>
      </c>
      <c r="BB258" s="22" t="str">
        <f aca="false">IF($D258="","",SUM($AL258,$AO258))</f>
        <v/>
      </c>
      <c r="BC258" s="23" t="str">
        <f aca="false">IF($D258="","",IF($P258&gt;0,$BB258/$P258,0))</f>
        <v/>
      </c>
      <c r="BD258" s="25" t="str">
        <f aca="false">IF($D258="","",(AsOfDate-$AH258)/DaysPerMonth)</f>
        <v/>
      </c>
      <c r="BE258" s="25" t="str">
        <f aca="false">IF($D258="","",($AI258-AsOfDate)/DaysPerMonth)</f>
        <v/>
      </c>
      <c r="BF258" s="25" t="str">
        <f aca="false">IF($D258="","",($AJ258-AsOfDate)/DaysPerMonth)</f>
        <v/>
      </c>
      <c r="BG258" s="25" t="str">
        <f aca="false">IF($D258="","",MAX(0,$BE258))</f>
        <v/>
      </c>
      <c r="BH258" s="25" t="str">
        <f aca="false">IF($D258="","",MAX(0,$BF258))</f>
        <v/>
      </c>
      <c r="BI258" s="67" t="str">
        <f aca="false">IF($D258="","",YEAR($AI258))</f>
        <v/>
      </c>
      <c r="BJ258" s="67" t="str">
        <f aca="false">IF($D258="","",YEAR($AJ258))</f>
        <v/>
      </c>
      <c r="BK258" s="67" t="str">
        <f aca="false">IF($D258="","",YEAR($AH258))</f>
        <v/>
      </c>
      <c r="BM258" s="26" t="n">
        <f aca="false">IF($AT258=1,$P258+(1000-ROW())/1000000,0)</f>
        <v>0</v>
      </c>
    </row>
    <row r="259" customFormat="false" ht="15" hidden="false" customHeight="false" outlineLevel="0" collapsed="false">
      <c r="AT259" s="26" t="n">
        <f aca="false">IF($D259="",0,IF(OR(StratFilter="All Loans",$E259=StratFilter),1,0))</f>
        <v>0</v>
      </c>
      <c r="AU259" s="18" t="str">
        <f aca="false">IF($D259="","",IFERROR(VLOOKUP(TRIM($K259),PropTypeMap,2,FALSE()),"Unmapped"))</f>
        <v/>
      </c>
      <c r="AV259" s="21" t="str">
        <f aca="false">IF($D259="","",IFERROR(VLOOKUP($J259,RegionMap,2,FALSE()),"Unmapped"))</f>
        <v/>
      </c>
      <c r="AW259" s="21" t="str">
        <f aca="false">IF($D259="","",IF($AC259="SOFR","Floating (SOFR)","Fixed / All-In"))</f>
        <v/>
      </c>
      <c r="AX259" s="24" t="str">
        <f aca="false">IF($D259="","",$AD259+SOFR)</f>
        <v/>
      </c>
      <c r="AY259" s="21" t="str">
        <f aca="false">IF($D259="","",IF($AF259="Waived","Waived",IF(ISNUMBER($AF259),IF($AF259&gt;AsOfDate,"In Place","Expired"),"None Reported")))</f>
        <v/>
      </c>
      <c r="AZ259" s="21" t="str">
        <f aca="false">IF($D259="","",IF(ISNUMBER($AG259),IF($AG259=0,"None",$AG259&amp;" Months"),IF($AG259="","None Reported",$AG259)))</f>
        <v/>
      </c>
      <c r="BA259" s="18" t="str">
        <f aca="false">IF($D259="","",IF($AK259="","Unlevered",$AK259))</f>
        <v/>
      </c>
      <c r="BB259" s="22" t="str">
        <f aca="false">IF($D259="","",SUM($AL259,$AO259))</f>
        <v/>
      </c>
      <c r="BC259" s="23" t="str">
        <f aca="false">IF($D259="","",IF($P259&gt;0,$BB259/$P259,0))</f>
        <v/>
      </c>
      <c r="BD259" s="25" t="str">
        <f aca="false">IF($D259="","",(AsOfDate-$AH259)/DaysPerMonth)</f>
        <v/>
      </c>
      <c r="BE259" s="25" t="str">
        <f aca="false">IF($D259="","",($AI259-AsOfDate)/DaysPerMonth)</f>
        <v/>
      </c>
      <c r="BF259" s="25" t="str">
        <f aca="false">IF($D259="","",($AJ259-AsOfDate)/DaysPerMonth)</f>
        <v/>
      </c>
      <c r="BG259" s="25" t="str">
        <f aca="false">IF($D259="","",MAX(0,$BE259))</f>
        <v/>
      </c>
      <c r="BH259" s="25" t="str">
        <f aca="false">IF($D259="","",MAX(0,$BF259))</f>
        <v/>
      </c>
      <c r="BI259" s="67" t="str">
        <f aca="false">IF($D259="","",YEAR($AI259))</f>
        <v/>
      </c>
      <c r="BJ259" s="67" t="str">
        <f aca="false">IF($D259="","",YEAR($AJ259))</f>
        <v/>
      </c>
      <c r="BK259" s="67" t="str">
        <f aca="false">IF($D259="","",YEAR($AH259))</f>
        <v/>
      </c>
      <c r="BM259" s="26" t="n">
        <f aca="false">IF($AT259=1,$P259+(1000-ROW())/1000000,0)</f>
        <v>0</v>
      </c>
    </row>
    <row r="260" customFormat="false" ht="15" hidden="false" customHeight="false" outlineLevel="0" collapsed="false">
      <c r="AT260" s="26" t="n">
        <f aca="false">IF($D260="",0,IF(OR(StratFilter="All Loans",$E260=StratFilter),1,0))</f>
        <v>0</v>
      </c>
      <c r="AU260" s="18" t="str">
        <f aca="false">IF($D260="","",IFERROR(VLOOKUP(TRIM($K260),PropTypeMap,2,FALSE()),"Unmapped"))</f>
        <v/>
      </c>
      <c r="AV260" s="21" t="str">
        <f aca="false">IF($D260="","",IFERROR(VLOOKUP($J260,RegionMap,2,FALSE()),"Unmapped"))</f>
        <v/>
      </c>
      <c r="AW260" s="21" t="str">
        <f aca="false">IF($D260="","",IF($AC260="SOFR","Floating (SOFR)","Fixed / All-In"))</f>
        <v/>
      </c>
      <c r="AX260" s="24" t="str">
        <f aca="false">IF($D260="","",$AD260+SOFR)</f>
        <v/>
      </c>
      <c r="AY260" s="21" t="str">
        <f aca="false">IF($D260="","",IF($AF260="Waived","Waived",IF(ISNUMBER($AF260),IF($AF260&gt;AsOfDate,"In Place","Expired"),"None Reported")))</f>
        <v/>
      </c>
      <c r="AZ260" s="21" t="str">
        <f aca="false">IF($D260="","",IF(ISNUMBER($AG260),IF($AG260=0,"None",$AG260&amp;" Months"),IF($AG260="","None Reported",$AG260)))</f>
        <v/>
      </c>
      <c r="BA260" s="18" t="str">
        <f aca="false">IF($D260="","",IF($AK260="","Unlevered",$AK260))</f>
        <v/>
      </c>
      <c r="BB260" s="22" t="str">
        <f aca="false">IF($D260="","",SUM($AL260,$AO260))</f>
        <v/>
      </c>
      <c r="BC260" s="23" t="str">
        <f aca="false">IF($D260="","",IF($P260&gt;0,$BB260/$P260,0))</f>
        <v/>
      </c>
      <c r="BD260" s="25" t="str">
        <f aca="false">IF($D260="","",(AsOfDate-$AH260)/DaysPerMonth)</f>
        <v/>
      </c>
      <c r="BE260" s="25" t="str">
        <f aca="false">IF($D260="","",($AI260-AsOfDate)/DaysPerMonth)</f>
        <v/>
      </c>
      <c r="BF260" s="25" t="str">
        <f aca="false">IF($D260="","",($AJ260-AsOfDate)/DaysPerMonth)</f>
        <v/>
      </c>
      <c r="BG260" s="25" t="str">
        <f aca="false">IF($D260="","",MAX(0,$BE260))</f>
        <v/>
      </c>
      <c r="BH260" s="25" t="str">
        <f aca="false">IF($D260="","",MAX(0,$BF260))</f>
        <v/>
      </c>
      <c r="BI260" s="67" t="str">
        <f aca="false">IF($D260="","",YEAR($AI260))</f>
        <v/>
      </c>
      <c r="BJ260" s="67" t="str">
        <f aca="false">IF($D260="","",YEAR($AJ260))</f>
        <v/>
      </c>
      <c r="BK260" s="67" t="str">
        <f aca="false">IF($D260="","",YEAR($AH260))</f>
        <v/>
      </c>
      <c r="BM260" s="26" t="n">
        <f aca="false">IF($AT260=1,$P260+(1000-ROW())/1000000,0)</f>
        <v>0</v>
      </c>
    </row>
    <row r="261" customFormat="false" ht="15" hidden="false" customHeight="false" outlineLevel="0" collapsed="false">
      <c r="AT261" s="26" t="n">
        <f aca="false">IF($D261="",0,IF(OR(StratFilter="All Loans",$E261=StratFilter),1,0))</f>
        <v>0</v>
      </c>
      <c r="AU261" s="18" t="str">
        <f aca="false">IF($D261="","",IFERROR(VLOOKUP(TRIM($K261),PropTypeMap,2,FALSE()),"Unmapped"))</f>
        <v/>
      </c>
      <c r="AV261" s="21" t="str">
        <f aca="false">IF($D261="","",IFERROR(VLOOKUP($J261,RegionMap,2,FALSE()),"Unmapped"))</f>
        <v/>
      </c>
      <c r="AW261" s="21" t="str">
        <f aca="false">IF($D261="","",IF($AC261="SOFR","Floating (SOFR)","Fixed / All-In"))</f>
        <v/>
      </c>
      <c r="AX261" s="24" t="str">
        <f aca="false">IF($D261="","",$AD261+SOFR)</f>
        <v/>
      </c>
      <c r="AY261" s="21" t="str">
        <f aca="false">IF($D261="","",IF($AF261="Waived","Waived",IF(ISNUMBER($AF261),IF($AF261&gt;AsOfDate,"In Place","Expired"),"None Reported")))</f>
        <v/>
      </c>
      <c r="AZ261" s="21" t="str">
        <f aca="false">IF($D261="","",IF(ISNUMBER($AG261),IF($AG261=0,"None",$AG261&amp;" Months"),IF($AG261="","None Reported",$AG261)))</f>
        <v/>
      </c>
      <c r="BA261" s="18" t="str">
        <f aca="false">IF($D261="","",IF($AK261="","Unlevered",$AK261))</f>
        <v/>
      </c>
      <c r="BB261" s="22" t="str">
        <f aca="false">IF($D261="","",SUM($AL261,$AO261))</f>
        <v/>
      </c>
      <c r="BC261" s="23" t="str">
        <f aca="false">IF($D261="","",IF($P261&gt;0,$BB261/$P261,0))</f>
        <v/>
      </c>
      <c r="BD261" s="25" t="str">
        <f aca="false">IF($D261="","",(AsOfDate-$AH261)/DaysPerMonth)</f>
        <v/>
      </c>
      <c r="BE261" s="25" t="str">
        <f aca="false">IF($D261="","",($AI261-AsOfDate)/DaysPerMonth)</f>
        <v/>
      </c>
      <c r="BF261" s="25" t="str">
        <f aca="false">IF($D261="","",($AJ261-AsOfDate)/DaysPerMonth)</f>
        <v/>
      </c>
      <c r="BG261" s="25" t="str">
        <f aca="false">IF($D261="","",MAX(0,$BE261))</f>
        <v/>
      </c>
      <c r="BH261" s="25" t="str">
        <f aca="false">IF($D261="","",MAX(0,$BF261))</f>
        <v/>
      </c>
      <c r="BI261" s="67" t="str">
        <f aca="false">IF($D261="","",YEAR($AI261))</f>
        <v/>
      </c>
      <c r="BJ261" s="67" t="str">
        <f aca="false">IF($D261="","",YEAR($AJ261))</f>
        <v/>
      </c>
      <c r="BK261" s="67" t="str">
        <f aca="false">IF($D261="","",YEAR($AH261))</f>
        <v/>
      </c>
      <c r="BM261" s="26" t="n">
        <f aca="false">IF($AT261=1,$P261+(1000-ROW())/1000000,0)</f>
        <v>0</v>
      </c>
    </row>
    <row r="262" customFormat="false" ht="15" hidden="false" customHeight="false" outlineLevel="0" collapsed="false">
      <c r="AT262" s="26" t="n">
        <f aca="false">IF($D262="",0,IF(OR(StratFilter="All Loans",$E262=StratFilter),1,0))</f>
        <v>0</v>
      </c>
      <c r="AU262" s="18" t="str">
        <f aca="false">IF($D262="","",IFERROR(VLOOKUP(TRIM($K262),PropTypeMap,2,FALSE()),"Unmapped"))</f>
        <v/>
      </c>
      <c r="AV262" s="21" t="str">
        <f aca="false">IF($D262="","",IFERROR(VLOOKUP($J262,RegionMap,2,FALSE()),"Unmapped"))</f>
        <v/>
      </c>
      <c r="AW262" s="21" t="str">
        <f aca="false">IF($D262="","",IF($AC262="SOFR","Floating (SOFR)","Fixed / All-In"))</f>
        <v/>
      </c>
      <c r="AX262" s="24" t="str">
        <f aca="false">IF($D262="","",$AD262+SOFR)</f>
        <v/>
      </c>
      <c r="AY262" s="21" t="str">
        <f aca="false">IF($D262="","",IF($AF262="Waived","Waived",IF(ISNUMBER($AF262),IF($AF262&gt;AsOfDate,"In Place","Expired"),"None Reported")))</f>
        <v/>
      </c>
      <c r="AZ262" s="21" t="str">
        <f aca="false">IF($D262="","",IF(ISNUMBER($AG262),IF($AG262=0,"None",$AG262&amp;" Months"),IF($AG262="","None Reported",$AG262)))</f>
        <v/>
      </c>
      <c r="BA262" s="18" t="str">
        <f aca="false">IF($D262="","",IF($AK262="","Unlevered",$AK262))</f>
        <v/>
      </c>
      <c r="BB262" s="22" t="str">
        <f aca="false">IF($D262="","",SUM($AL262,$AO262))</f>
        <v/>
      </c>
      <c r="BC262" s="23" t="str">
        <f aca="false">IF($D262="","",IF($P262&gt;0,$BB262/$P262,0))</f>
        <v/>
      </c>
      <c r="BD262" s="25" t="str">
        <f aca="false">IF($D262="","",(AsOfDate-$AH262)/DaysPerMonth)</f>
        <v/>
      </c>
      <c r="BE262" s="25" t="str">
        <f aca="false">IF($D262="","",($AI262-AsOfDate)/DaysPerMonth)</f>
        <v/>
      </c>
      <c r="BF262" s="25" t="str">
        <f aca="false">IF($D262="","",($AJ262-AsOfDate)/DaysPerMonth)</f>
        <v/>
      </c>
      <c r="BG262" s="25" t="str">
        <f aca="false">IF($D262="","",MAX(0,$BE262))</f>
        <v/>
      </c>
      <c r="BH262" s="25" t="str">
        <f aca="false">IF($D262="","",MAX(0,$BF262))</f>
        <v/>
      </c>
      <c r="BI262" s="67" t="str">
        <f aca="false">IF($D262="","",YEAR($AI262))</f>
        <v/>
      </c>
      <c r="BJ262" s="67" t="str">
        <f aca="false">IF($D262="","",YEAR($AJ262))</f>
        <v/>
      </c>
      <c r="BK262" s="67" t="str">
        <f aca="false">IF($D262="","",YEAR($AH262))</f>
        <v/>
      </c>
      <c r="BM262" s="26" t="n">
        <f aca="false">IF($AT262=1,$P262+(1000-ROW())/1000000,0)</f>
        <v>0</v>
      </c>
    </row>
    <row r="263" customFormat="false" ht="15" hidden="false" customHeight="false" outlineLevel="0" collapsed="false">
      <c r="AT263" s="26" t="n">
        <f aca="false">IF($D263="",0,IF(OR(StratFilter="All Loans",$E263=StratFilter),1,0))</f>
        <v>0</v>
      </c>
      <c r="AU263" s="18" t="str">
        <f aca="false">IF($D263="","",IFERROR(VLOOKUP(TRIM($K263),PropTypeMap,2,FALSE()),"Unmapped"))</f>
        <v/>
      </c>
      <c r="AV263" s="21" t="str">
        <f aca="false">IF($D263="","",IFERROR(VLOOKUP($J263,RegionMap,2,FALSE()),"Unmapped"))</f>
        <v/>
      </c>
      <c r="AW263" s="21" t="str">
        <f aca="false">IF($D263="","",IF($AC263="SOFR","Floating (SOFR)","Fixed / All-In"))</f>
        <v/>
      </c>
      <c r="AX263" s="24" t="str">
        <f aca="false">IF($D263="","",$AD263+SOFR)</f>
        <v/>
      </c>
      <c r="AY263" s="21" t="str">
        <f aca="false">IF($D263="","",IF($AF263="Waived","Waived",IF(ISNUMBER($AF263),IF($AF263&gt;AsOfDate,"In Place","Expired"),"None Reported")))</f>
        <v/>
      </c>
      <c r="AZ263" s="21" t="str">
        <f aca="false">IF($D263="","",IF(ISNUMBER($AG263),IF($AG263=0,"None",$AG263&amp;" Months"),IF($AG263="","None Reported",$AG263)))</f>
        <v/>
      </c>
      <c r="BA263" s="18" t="str">
        <f aca="false">IF($D263="","",IF($AK263="","Unlevered",$AK263))</f>
        <v/>
      </c>
      <c r="BB263" s="22" t="str">
        <f aca="false">IF($D263="","",SUM($AL263,$AO263))</f>
        <v/>
      </c>
      <c r="BC263" s="23" t="str">
        <f aca="false">IF($D263="","",IF($P263&gt;0,$BB263/$P263,0))</f>
        <v/>
      </c>
      <c r="BD263" s="25" t="str">
        <f aca="false">IF($D263="","",(AsOfDate-$AH263)/DaysPerMonth)</f>
        <v/>
      </c>
      <c r="BE263" s="25" t="str">
        <f aca="false">IF($D263="","",($AI263-AsOfDate)/DaysPerMonth)</f>
        <v/>
      </c>
      <c r="BF263" s="25" t="str">
        <f aca="false">IF($D263="","",($AJ263-AsOfDate)/DaysPerMonth)</f>
        <v/>
      </c>
      <c r="BG263" s="25" t="str">
        <f aca="false">IF($D263="","",MAX(0,$BE263))</f>
        <v/>
      </c>
      <c r="BH263" s="25" t="str">
        <f aca="false">IF($D263="","",MAX(0,$BF263))</f>
        <v/>
      </c>
      <c r="BI263" s="67" t="str">
        <f aca="false">IF($D263="","",YEAR($AI263))</f>
        <v/>
      </c>
      <c r="BJ263" s="67" t="str">
        <f aca="false">IF($D263="","",YEAR($AJ263))</f>
        <v/>
      </c>
      <c r="BK263" s="67" t="str">
        <f aca="false">IF($D263="","",YEAR($AH263))</f>
        <v/>
      </c>
      <c r="BM263" s="26" t="n">
        <f aca="false">IF($AT263=1,$P263+(1000-ROW())/1000000,0)</f>
        <v>0</v>
      </c>
    </row>
    <row r="264" customFormat="false" ht="15" hidden="false" customHeight="false" outlineLevel="0" collapsed="false">
      <c r="AT264" s="26" t="n">
        <f aca="false">IF($D264="",0,IF(OR(StratFilter="All Loans",$E264=StratFilter),1,0))</f>
        <v>0</v>
      </c>
      <c r="AU264" s="18" t="str">
        <f aca="false">IF($D264="","",IFERROR(VLOOKUP(TRIM($K264),PropTypeMap,2,FALSE()),"Unmapped"))</f>
        <v/>
      </c>
      <c r="AV264" s="21" t="str">
        <f aca="false">IF($D264="","",IFERROR(VLOOKUP($J264,RegionMap,2,FALSE()),"Unmapped"))</f>
        <v/>
      </c>
      <c r="AW264" s="21" t="str">
        <f aca="false">IF($D264="","",IF($AC264="SOFR","Floating (SOFR)","Fixed / All-In"))</f>
        <v/>
      </c>
      <c r="AX264" s="24" t="str">
        <f aca="false">IF($D264="","",$AD264+SOFR)</f>
        <v/>
      </c>
      <c r="AY264" s="21" t="str">
        <f aca="false">IF($D264="","",IF($AF264="Waived","Waived",IF(ISNUMBER($AF264),IF($AF264&gt;AsOfDate,"In Place","Expired"),"None Reported")))</f>
        <v/>
      </c>
      <c r="AZ264" s="21" t="str">
        <f aca="false">IF($D264="","",IF(ISNUMBER($AG264),IF($AG264=0,"None",$AG264&amp;" Months"),IF($AG264="","None Reported",$AG264)))</f>
        <v/>
      </c>
      <c r="BA264" s="18" t="str">
        <f aca="false">IF($D264="","",IF($AK264="","Unlevered",$AK264))</f>
        <v/>
      </c>
      <c r="BB264" s="22" t="str">
        <f aca="false">IF($D264="","",SUM($AL264,$AO264))</f>
        <v/>
      </c>
      <c r="BC264" s="23" t="str">
        <f aca="false">IF($D264="","",IF($P264&gt;0,$BB264/$P264,0))</f>
        <v/>
      </c>
      <c r="BD264" s="25" t="str">
        <f aca="false">IF($D264="","",(AsOfDate-$AH264)/DaysPerMonth)</f>
        <v/>
      </c>
      <c r="BE264" s="25" t="str">
        <f aca="false">IF($D264="","",($AI264-AsOfDate)/DaysPerMonth)</f>
        <v/>
      </c>
      <c r="BF264" s="25" t="str">
        <f aca="false">IF($D264="","",($AJ264-AsOfDate)/DaysPerMonth)</f>
        <v/>
      </c>
      <c r="BG264" s="25" t="str">
        <f aca="false">IF($D264="","",MAX(0,$BE264))</f>
        <v/>
      </c>
      <c r="BH264" s="25" t="str">
        <f aca="false">IF($D264="","",MAX(0,$BF264))</f>
        <v/>
      </c>
      <c r="BI264" s="67" t="str">
        <f aca="false">IF($D264="","",YEAR($AI264))</f>
        <v/>
      </c>
      <c r="BJ264" s="67" t="str">
        <f aca="false">IF($D264="","",YEAR($AJ264))</f>
        <v/>
      </c>
      <c r="BK264" s="67" t="str">
        <f aca="false">IF($D264="","",YEAR($AH264))</f>
        <v/>
      </c>
      <c r="BM264" s="26" t="n">
        <f aca="false">IF($AT264=1,$P264+(1000-ROW())/1000000,0)</f>
        <v>0</v>
      </c>
    </row>
    <row r="265" customFormat="false" ht="15" hidden="false" customHeight="false" outlineLevel="0" collapsed="false">
      <c r="AT265" s="26" t="n">
        <f aca="false">IF($D265="",0,IF(OR(StratFilter="All Loans",$E265=StratFilter),1,0))</f>
        <v>0</v>
      </c>
      <c r="AU265" s="18" t="str">
        <f aca="false">IF($D265="","",IFERROR(VLOOKUP(TRIM($K265),PropTypeMap,2,FALSE()),"Unmapped"))</f>
        <v/>
      </c>
      <c r="AV265" s="21" t="str">
        <f aca="false">IF($D265="","",IFERROR(VLOOKUP($J265,RegionMap,2,FALSE()),"Unmapped"))</f>
        <v/>
      </c>
      <c r="AW265" s="21" t="str">
        <f aca="false">IF($D265="","",IF($AC265="SOFR","Floating (SOFR)","Fixed / All-In"))</f>
        <v/>
      </c>
      <c r="AX265" s="24" t="str">
        <f aca="false">IF($D265="","",$AD265+SOFR)</f>
        <v/>
      </c>
      <c r="AY265" s="21" t="str">
        <f aca="false">IF($D265="","",IF($AF265="Waived","Waived",IF(ISNUMBER($AF265),IF($AF265&gt;AsOfDate,"In Place","Expired"),"None Reported")))</f>
        <v/>
      </c>
      <c r="AZ265" s="21" t="str">
        <f aca="false">IF($D265="","",IF(ISNUMBER($AG265),IF($AG265=0,"None",$AG265&amp;" Months"),IF($AG265="","None Reported",$AG265)))</f>
        <v/>
      </c>
      <c r="BA265" s="18" t="str">
        <f aca="false">IF($D265="","",IF($AK265="","Unlevered",$AK265))</f>
        <v/>
      </c>
      <c r="BB265" s="22" t="str">
        <f aca="false">IF($D265="","",SUM($AL265,$AO265))</f>
        <v/>
      </c>
      <c r="BC265" s="23" t="str">
        <f aca="false">IF($D265="","",IF($P265&gt;0,$BB265/$P265,0))</f>
        <v/>
      </c>
      <c r="BD265" s="25" t="str">
        <f aca="false">IF($D265="","",(AsOfDate-$AH265)/DaysPerMonth)</f>
        <v/>
      </c>
      <c r="BE265" s="25" t="str">
        <f aca="false">IF($D265="","",($AI265-AsOfDate)/DaysPerMonth)</f>
        <v/>
      </c>
      <c r="BF265" s="25" t="str">
        <f aca="false">IF($D265="","",($AJ265-AsOfDate)/DaysPerMonth)</f>
        <v/>
      </c>
      <c r="BG265" s="25" t="str">
        <f aca="false">IF($D265="","",MAX(0,$BE265))</f>
        <v/>
      </c>
      <c r="BH265" s="25" t="str">
        <f aca="false">IF($D265="","",MAX(0,$BF265))</f>
        <v/>
      </c>
      <c r="BI265" s="67" t="str">
        <f aca="false">IF($D265="","",YEAR($AI265))</f>
        <v/>
      </c>
      <c r="BJ265" s="67" t="str">
        <f aca="false">IF($D265="","",YEAR($AJ265))</f>
        <v/>
      </c>
      <c r="BK265" s="67" t="str">
        <f aca="false">IF($D265="","",YEAR($AH265))</f>
        <v/>
      </c>
      <c r="BM265" s="26" t="n">
        <f aca="false">IF($AT265=1,$P265+(1000-ROW())/1000000,0)</f>
        <v>0</v>
      </c>
    </row>
    <row r="266" customFormat="false" ht="15" hidden="false" customHeight="false" outlineLevel="0" collapsed="false">
      <c r="AT266" s="26" t="n">
        <f aca="false">IF($D266="",0,IF(OR(StratFilter="All Loans",$E266=StratFilter),1,0))</f>
        <v>0</v>
      </c>
      <c r="AU266" s="18" t="str">
        <f aca="false">IF($D266="","",IFERROR(VLOOKUP(TRIM($K266),PropTypeMap,2,FALSE()),"Unmapped"))</f>
        <v/>
      </c>
      <c r="AV266" s="21" t="str">
        <f aca="false">IF($D266="","",IFERROR(VLOOKUP($J266,RegionMap,2,FALSE()),"Unmapped"))</f>
        <v/>
      </c>
      <c r="AW266" s="21" t="str">
        <f aca="false">IF($D266="","",IF($AC266="SOFR","Floating (SOFR)","Fixed / All-In"))</f>
        <v/>
      </c>
      <c r="AX266" s="24" t="str">
        <f aca="false">IF($D266="","",$AD266+SOFR)</f>
        <v/>
      </c>
      <c r="AY266" s="21" t="str">
        <f aca="false">IF($D266="","",IF($AF266="Waived","Waived",IF(ISNUMBER($AF266),IF($AF266&gt;AsOfDate,"In Place","Expired"),"None Reported")))</f>
        <v/>
      </c>
      <c r="AZ266" s="21" t="str">
        <f aca="false">IF($D266="","",IF(ISNUMBER($AG266),IF($AG266=0,"None",$AG266&amp;" Months"),IF($AG266="","None Reported",$AG266)))</f>
        <v/>
      </c>
      <c r="BA266" s="18" t="str">
        <f aca="false">IF($D266="","",IF($AK266="","Unlevered",$AK266))</f>
        <v/>
      </c>
      <c r="BB266" s="22" t="str">
        <f aca="false">IF($D266="","",SUM($AL266,$AO266))</f>
        <v/>
      </c>
      <c r="BC266" s="23" t="str">
        <f aca="false">IF($D266="","",IF($P266&gt;0,$BB266/$P266,0))</f>
        <v/>
      </c>
      <c r="BD266" s="25" t="str">
        <f aca="false">IF($D266="","",(AsOfDate-$AH266)/DaysPerMonth)</f>
        <v/>
      </c>
      <c r="BE266" s="25" t="str">
        <f aca="false">IF($D266="","",($AI266-AsOfDate)/DaysPerMonth)</f>
        <v/>
      </c>
      <c r="BF266" s="25" t="str">
        <f aca="false">IF($D266="","",($AJ266-AsOfDate)/DaysPerMonth)</f>
        <v/>
      </c>
      <c r="BG266" s="25" t="str">
        <f aca="false">IF($D266="","",MAX(0,$BE266))</f>
        <v/>
      </c>
      <c r="BH266" s="25" t="str">
        <f aca="false">IF($D266="","",MAX(0,$BF266))</f>
        <v/>
      </c>
      <c r="BI266" s="67" t="str">
        <f aca="false">IF($D266="","",YEAR($AI266))</f>
        <v/>
      </c>
      <c r="BJ266" s="67" t="str">
        <f aca="false">IF($D266="","",YEAR($AJ266))</f>
        <v/>
      </c>
      <c r="BK266" s="67" t="str">
        <f aca="false">IF($D266="","",YEAR($AH266))</f>
        <v/>
      </c>
      <c r="BM266" s="26" t="n">
        <f aca="false">IF($AT266=1,$P266+(1000-ROW())/1000000,0)</f>
        <v>0</v>
      </c>
    </row>
    <row r="267" customFormat="false" ht="15" hidden="false" customHeight="false" outlineLevel="0" collapsed="false">
      <c r="AT267" s="26" t="n">
        <f aca="false">IF($D267="",0,IF(OR(StratFilter="All Loans",$E267=StratFilter),1,0))</f>
        <v>0</v>
      </c>
      <c r="AU267" s="18" t="str">
        <f aca="false">IF($D267="","",IFERROR(VLOOKUP(TRIM($K267),PropTypeMap,2,FALSE()),"Unmapped"))</f>
        <v/>
      </c>
      <c r="AV267" s="21" t="str">
        <f aca="false">IF($D267="","",IFERROR(VLOOKUP($J267,RegionMap,2,FALSE()),"Unmapped"))</f>
        <v/>
      </c>
      <c r="AW267" s="21" t="str">
        <f aca="false">IF($D267="","",IF($AC267="SOFR","Floating (SOFR)","Fixed / All-In"))</f>
        <v/>
      </c>
      <c r="AX267" s="24" t="str">
        <f aca="false">IF($D267="","",$AD267+SOFR)</f>
        <v/>
      </c>
      <c r="AY267" s="21" t="str">
        <f aca="false">IF($D267="","",IF($AF267="Waived","Waived",IF(ISNUMBER($AF267),IF($AF267&gt;AsOfDate,"In Place","Expired"),"None Reported")))</f>
        <v/>
      </c>
      <c r="AZ267" s="21" t="str">
        <f aca="false">IF($D267="","",IF(ISNUMBER($AG267),IF($AG267=0,"None",$AG267&amp;" Months"),IF($AG267="","None Reported",$AG267)))</f>
        <v/>
      </c>
      <c r="BA267" s="18" t="str">
        <f aca="false">IF($D267="","",IF($AK267="","Unlevered",$AK267))</f>
        <v/>
      </c>
      <c r="BB267" s="22" t="str">
        <f aca="false">IF($D267="","",SUM($AL267,$AO267))</f>
        <v/>
      </c>
      <c r="BC267" s="23" t="str">
        <f aca="false">IF($D267="","",IF($P267&gt;0,$BB267/$P267,0))</f>
        <v/>
      </c>
      <c r="BD267" s="25" t="str">
        <f aca="false">IF($D267="","",(AsOfDate-$AH267)/DaysPerMonth)</f>
        <v/>
      </c>
      <c r="BE267" s="25" t="str">
        <f aca="false">IF($D267="","",($AI267-AsOfDate)/DaysPerMonth)</f>
        <v/>
      </c>
      <c r="BF267" s="25" t="str">
        <f aca="false">IF($D267="","",($AJ267-AsOfDate)/DaysPerMonth)</f>
        <v/>
      </c>
      <c r="BG267" s="25" t="str">
        <f aca="false">IF($D267="","",MAX(0,$BE267))</f>
        <v/>
      </c>
      <c r="BH267" s="25" t="str">
        <f aca="false">IF($D267="","",MAX(0,$BF267))</f>
        <v/>
      </c>
      <c r="BI267" s="67" t="str">
        <f aca="false">IF($D267="","",YEAR($AI267))</f>
        <v/>
      </c>
      <c r="BJ267" s="67" t="str">
        <f aca="false">IF($D267="","",YEAR($AJ267))</f>
        <v/>
      </c>
      <c r="BK267" s="67" t="str">
        <f aca="false">IF($D267="","",YEAR($AH267))</f>
        <v/>
      </c>
      <c r="BM267" s="26" t="n">
        <f aca="false">IF($AT267=1,$P267+(1000-ROW())/1000000,0)</f>
        <v>0</v>
      </c>
    </row>
    <row r="268" customFormat="false" ht="15" hidden="false" customHeight="false" outlineLevel="0" collapsed="false">
      <c r="AT268" s="26" t="n">
        <f aca="false">IF($D268="",0,IF(OR(StratFilter="All Loans",$E268=StratFilter),1,0))</f>
        <v>0</v>
      </c>
      <c r="AU268" s="18" t="str">
        <f aca="false">IF($D268="","",IFERROR(VLOOKUP(TRIM($K268),PropTypeMap,2,FALSE()),"Unmapped"))</f>
        <v/>
      </c>
      <c r="AV268" s="21" t="str">
        <f aca="false">IF($D268="","",IFERROR(VLOOKUP($J268,RegionMap,2,FALSE()),"Unmapped"))</f>
        <v/>
      </c>
      <c r="AW268" s="21" t="str">
        <f aca="false">IF($D268="","",IF($AC268="SOFR","Floating (SOFR)","Fixed / All-In"))</f>
        <v/>
      </c>
      <c r="AX268" s="24" t="str">
        <f aca="false">IF($D268="","",$AD268+SOFR)</f>
        <v/>
      </c>
      <c r="AY268" s="21" t="str">
        <f aca="false">IF($D268="","",IF($AF268="Waived","Waived",IF(ISNUMBER($AF268),IF($AF268&gt;AsOfDate,"In Place","Expired"),"None Reported")))</f>
        <v/>
      </c>
      <c r="AZ268" s="21" t="str">
        <f aca="false">IF($D268="","",IF(ISNUMBER($AG268),IF($AG268=0,"None",$AG268&amp;" Months"),IF($AG268="","None Reported",$AG268)))</f>
        <v/>
      </c>
      <c r="BA268" s="18" t="str">
        <f aca="false">IF($D268="","",IF($AK268="","Unlevered",$AK268))</f>
        <v/>
      </c>
      <c r="BB268" s="22" t="str">
        <f aca="false">IF($D268="","",SUM($AL268,$AO268))</f>
        <v/>
      </c>
      <c r="BC268" s="23" t="str">
        <f aca="false">IF($D268="","",IF($P268&gt;0,$BB268/$P268,0))</f>
        <v/>
      </c>
      <c r="BD268" s="25" t="str">
        <f aca="false">IF($D268="","",(AsOfDate-$AH268)/DaysPerMonth)</f>
        <v/>
      </c>
      <c r="BE268" s="25" t="str">
        <f aca="false">IF($D268="","",($AI268-AsOfDate)/DaysPerMonth)</f>
        <v/>
      </c>
      <c r="BF268" s="25" t="str">
        <f aca="false">IF($D268="","",($AJ268-AsOfDate)/DaysPerMonth)</f>
        <v/>
      </c>
      <c r="BG268" s="25" t="str">
        <f aca="false">IF($D268="","",MAX(0,$BE268))</f>
        <v/>
      </c>
      <c r="BH268" s="25" t="str">
        <f aca="false">IF($D268="","",MAX(0,$BF268))</f>
        <v/>
      </c>
      <c r="BI268" s="67" t="str">
        <f aca="false">IF($D268="","",YEAR($AI268))</f>
        <v/>
      </c>
      <c r="BJ268" s="67" t="str">
        <f aca="false">IF($D268="","",YEAR($AJ268))</f>
        <v/>
      </c>
      <c r="BK268" s="67" t="str">
        <f aca="false">IF($D268="","",YEAR($AH268))</f>
        <v/>
      </c>
      <c r="BM268" s="26" t="n">
        <f aca="false">IF($AT268=1,$P268+(1000-ROW())/1000000,0)</f>
        <v>0</v>
      </c>
    </row>
    <row r="269" customFormat="false" ht="15" hidden="false" customHeight="false" outlineLevel="0" collapsed="false">
      <c r="AT269" s="26" t="n">
        <f aca="false">IF($D269="",0,IF(OR(StratFilter="All Loans",$E269=StratFilter),1,0))</f>
        <v>0</v>
      </c>
      <c r="AU269" s="18" t="str">
        <f aca="false">IF($D269="","",IFERROR(VLOOKUP(TRIM($K269),PropTypeMap,2,FALSE()),"Unmapped"))</f>
        <v/>
      </c>
      <c r="AV269" s="21" t="str">
        <f aca="false">IF($D269="","",IFERROR(VLOOKUP($J269,RegionMap,2,FALSE()),"Unmapped"))</f>
        <v/>
      </c>
      <c r="AW269" s="21" t="str">
        <f aca="false">IF($D269="","",IF($AC269="SOFR","Floating (SOFR)","Fixed / All-In"))</f>
        <v/>
      </c>
      <c r="AX269" s="24" t="str">
        <f aca="false">IF($D269="","",$AD269+SOFR)</f>
        <v/>
      </c>
      <c r="AY269" s="21" t="str">
        <f aca="false">IF($D269="","",IF($AF269="Waived","Waived",IF(ISNUMBER($AF269),IF($AF269&gt;AsOfDate,"In Place","Expired"),"None Reported")))</f>
        <v/>
      </c>
      <c r="AZ269" s="21" t="str">
        <f aca="false">IF($D269="","",IF(ISNUMBER($AG269),IF($AG269=0,"None",$AG269&amp;" Months"),IF($AG269="","None Reported",$AG269)))</f>
        <v/>
      </c>
      <c r="BA269" s="18" t="str">
        <f aca="false">IF($D269="","",IF($AK269="","Unlevered",$AK269))</f>
        <v/>
      </c>
      <c r="BB269" s="22" t="str">
        <f aca="false">IF($D269="","",SUM($AL269,$AO269))</f>
        <v/>
      </c>
      <c r="BC269" s="23" t="str">
        <f aca="false">IF($D269="","",IF($P269&gt;0,$BB269/$P269,0))</f>
        <v/>
      </c>
      <c r="BD269" s="25" t="str">
        <f aca="false">IF($D269="","",(AsOfDate-$AH269)/DaysPerMonth)</f>
        <v/>
      </c>
      <c r="BE269" s="25" t="str">
        <f aca="false">IF($D269="","",($AI269-AsOfDate)/DaysPerMonth)</f>
        <v/>
      </c>
      <c r="BF269" s="25" t="str">
        <f aca="false">IF($D269="","",($AJ269-AsOfDate)/DaysPerMonth)</f>
        <v/>
      </c>
      <c r="BG269" s="25" t="str">
        <f aca="false">IF($D269="","",MAX(0,$BE269))</f>
        <v/>
      </c>
      <c r="BH269" s="25" t="str">
        <f aca="false">IF($D269="","",MAX(0,$BF269))</f>
        <v/>
      </c>
      <c r="BI269" s="67" t="str">
        <f aca="false">IF($D269="","",YEAR($AI269))</f>
        <v/>
      </c>
      <c r="BJ269" s="67" t="str">
        <f aca="false">IF($D269="","",YEAR($AJ269))</f>
        <v/>
      </c>
      <c r="BK269" s="67" t="str">
        <f aca="false">IF($D269="","",YEAR($AH269))</f>
        <v/>
      </c>
      <c r="BM269" s="26" t="n">
        <f aca="false">IF($AT269=1,$P269+(1000-ROW())/1000000,0)</f>
        <v>0</v>
      </c>
    </row>
    <row r="270" customFormat="false" ht="15" hidden="false" customHeight="false" outlineLevel="0" collapsed="false">
      <c r="AT270" s="26" t="n">
        <f aca="false">IF($D270="",0,IF(OR(StratFilter="All Loans",$E270=StratFilter),1,0))</f>
        <v>0</v>
      </c>
      <c r="AU270" s="18" t="str">
        <f aca="false">IF($D270="","",IFERROR(VLOOKUP(TRIM($K270),PropTypeMap,2,FALSE()),"Unmapped"))</f>
        <v/>
      </c>
      <c r="AV270" s="21" t="str">
        <f aca="false">IF($D270="","",IFERROR(VLOOKUP($J270,RegionMap,2,FALSE()),"Unmapped"))</f>
        <v/>
      </c>
      <c r="AW270" s="21" t="str">
        <f aca="false">IF($D270="","",IF($AC270="SOFR","Floating (SOFR)","Fixed / All-In"))</f>
        <v/>
      </c>
      <c r="AX270" s="24" t="str">
        <f aca="false">IF($D270="","",$AD270+SOFR)</f>
        <v/>
      </c>
      <c r="AY270" s="21" t="str">
        <f aca="false">IF($D270="","",IF($AF270="Waived","Waived",IF(ISNUMBER($AF270),IF($AF270&gt;AsOfDate,"In Place","Expired"),"None Reported")))</f>
        <v/>
      </c>
      <c r="AZ270" s="21" t="str">
        <f aca="false">IF($D270="","",IF(ISNUMBER($AG270),IF($AG270=0,"None",$AG270&amp;" Months"),IF($AG270="","None Reported",$AG270)))</f>
        <v/>
      </c>
      <c r="BA270" s="18" t="str">
        <f aca="false">IF($D270="","",IF($AK270="","Unlevered",$AK270))</f>
        <v/>
      </c>
      <c r="BB270" s="22" t="str">
        <f aca="false">IF($D270="","",SUM($AL270,$AO270))</f>
        <v/>
      </c>
      <c r="BC270" s="23" t="str">
        <f aca="false">IF($D270="","",IF($P270&gt;0,$BB270/$P270,0))</f>
        <v/>
      </c>
      <c r="BD270" s="25" t="str">
        <f aca="false">IF($D270="","",(AsOfDate-$AH270)/DaysPerMonth)</f>
        <v/>
      </c>
      <c r="BE270" s="25" t="str">
        <f aca="false">IF($D270="","",($AI270-AsOfDate)/DaysPerMonth)</f>
        <v/>
      </c>
      <c r="BF270" s="25" t="str">
        <f aca="false">IF($D270="","",($AJ270-AsOfDate)/DaysPerMonth)</f>
        <v/>
      </c>
      <c r="BG270" s="25" t="str">
        <f aca="false">IF($D270="","",MAX(0,$BE270))</f>
        <v/>
      </c>
      <c r="BH270" s="25" t="str">
        <f aca="false">IF($D270="","",MAX(0,$BF270))</f>
        <v/>
      </c>
      <c r="BI270" s="67" t="str">
        <f aca="false">IF($D270="","",YEAR($AI270))</f>
        <v/>
      </c>
      <c r="BJ270" s="67" t="str">
        <f aca="false">IF($D270="","",YEAR($AJ270))</f>
        <v/>
      </c>
      <c r="BK270" s="67" t="str">
        <f aca="false">IF($D270="","",YEAR($AH270))</f>
        <v/>
      </c>
      <c r="BM270" s="26" t="n">
        <f aca="false">IF($AT270=1,$P270+(1000-ROW())/1000000,0)</f>
        <v>0</v>
      </c>
    </row>
    <row r="271" customFormat="false" ht="15" hidden="false" customHeight="false" outlineLevel="0" collapsed="false">
      <c r="AT271" s="26" t="n">
        <f aca="false">IF($D271="",0,IF(OR(StratFilter="All Loans",$E271=StratFilter),1,0))</f>
        <v>0</v>
      </c>
      <c r="AU271" s="18" t="str">
        <f aca="false">IF($D271="","",IFERROR(VLOOKUP(TRIM($K271),PropTypeMap,2,FALSE()),"Unmapped"))</f>
        <v/>
      </c>
      <c r="AV271" s="21" t="str">
        <f aca="false">IF($D271="","",IFERROR(VLOOKUP($J271,RegionMap,2,FALSE()),"Unmapped"))</f>
        <v/>
      </c>
      <c r="AW271" s="21" t="str">
        <f aca="false">IF($D271="","",IF($AC271="SOFR","Floating (SOFR)","Fixed / All-In"))</f>
        <v/>
      </c>
      <c r="AX271" s="24" t="str">
        <f aca="false">IF($D271="","",$AD271+SOFR)</f>
        <v/>
      </c>
      <c r="AY271" s="21" t="str">
        <f aca="false">IF($D271="","",IF($AF271="Waived","Waived",IF(ISNUMBER($AF271),IF($AF271&gt;AsOfDate,"In Place","Expired"),"None Reported")))</f>
        <v/>
      </c>
      <c r="AZ271" s="21" t="str">
        <f aca="false">IF($D271="","",IF(ISNUMBER($AG271),IF($AG271=0,"None",$AG271&amp;" Months"),IF($AG271="","None Reported",$AG271)))</f>
        <v/>
      </c>
      <c r="BA271" s="18" t="str">
        <f aca="false">IF($D271="","",IF($AK271="","Unlevered",$AK271))</f>
        <v/>
      </c>
      <c r="BB271" s="22" t="str">
        <f aca="false">IF($D271="","",SUM($AL271,$AO271))</f>
        <v/>
      </c>
      <c r="BC271" s="23" t="str">
        <f aca="false">IF($D271="","",IF($P271&gt;0,$BB271/$P271,0))</f>
        <v/>
      </c>
      <c r="BD271" s="25" t="str">
        <f aca="false">IF($D271="","",(AsOfDate-$AH271)/DaysPerMonth)</f>
        <v/>
      </c>
      <c r="BE271" s="25" t="str">
        <f aca="false">IF($D271="","",($AI271-AsOfDate)/DaysPerMonth)</f>
        <v/>
      </c>
      <c r="BF271" s="25" t="str">
        <f aca="false">IF($D271="","",($AJ271-AsOfDate)/DaysPerMonth)</f>
        <v/>
      </c>
      <c r="BG271" s="25" t="str">
        <f aca="false">IF($D271="","",MAX(0,$BE271))</f>
        <v/>
      </c>
      <c r="BH271" s="25" t="str">
        <f aca="false">IF($D271="","",MAX(0,$BF271))</f>
        <v/>
      </c>
      <c r="BI271" s="67" t="str">
        <f aca="false">IF($D271="","",YEAR($AI271))</f>
        <v/>
      </c>
      <c r="BJ271" s="67" t="str">
        <f aca="false">IF($D271="","",YEAR($AJ271))</f>
        <v/>
      </c>
      <c r="BK271" s="67" t="str">
        <f aca="false">IF($D271="","",YEAR($AH271))</f>
        <v/>
      </c>
      <c r="BM271" s="26" t="n">
        <f aca="false">IF($AT271=1,$P271+(1000-ROW())/1000000,0)</f>
        <v>0</v>
      </c>
    </row>
    <row r="272" customFormat="false" ht="15" hidden="false" customHeight="false" outlineLevel="0" collapsed="false">
      <c r="AT272" s="26" t="n">
        <f aca="false">IF($D272="",0,IF(OR(StratFilter="All Loans",$E272=StratFilter),1,0))</f>
        <v>0</v>
      </c>
      <c r="AU272" s="18" t="str">
        <f aca="false">IF($D272="","",IFERROR(VLOOKUP(TRIM($K272),PropTypeMap,2,FALSE()),"Unmapped"))</f>
        <v/>
      </c>
      <c r="AV272" s="21" t="str">
        <f aca="false">IF($D272="","",IFERROR(VLOOKUP($J272,RegionMap,2,FALSE()),"Unmapped"))</f>
        <v/>
      </c>
      <c r="AW272" s="21" t="str">
        <f aca="false">IF($D272="","",IF($AC272="SOFR","Floating (SOFR)","Fixed / All-In"))</f>
        <v/>
      </c>
      <c r="AX272" s="24" t="str">
        <f aca="false">IF($D272="","",$AD272+SOFR)</f>
        <v/>
      </c>
      <c r="AY272" s="21" t="str">
        <f aca="false">IF($D272="","",IF($AF272="Waived","Waived",IF(ISNUMBER($AF272),IF($AF272&gt;AsOfDate,"In Place","Expired"),"None Reported")))</f>
        <v/>
      </c>
      <c r="AZ272" s="21" t="str">
        <f aca="false">IF($D272="","",IF(ISNUMBER($AG272),IF($AG272=0,"None",$AG272&amp;" Months"),IF($AG272="","None Reported",$AG272)))</f>
        <v/>
      </c>
      <c r="BA272" s="18" t="str">
        <f aca="false">IF($D272="","",IF($AK272="","Unlevered",$AK272))</f>
        <v/>
      </c>
      <c r="BB272" s="22" t="str">
        <f aca="false">IF($D272="","",SUM($AL272,$AO272))</f>
        <v/>
      </c>
      <c r="BC272" s="23" t="str">
        <f aca="false">IF($D272="","",IF($P272&gt;0,$BB272/$P272,0))</f>
        <v/>
      </c>
      <c r="BD272" s="25" t="str">
        <f aca="false">IF($D272="","",(AsOfDate-$AH272)/DaysPerMonth)</f>
        <v/>
      </c>
      <c r="BE272" s="25" t="str">
        <f aca="false">IF($D272="","",($AI272-AsOfDate)/DaysPerMonth)</f>
        <v/>
      </c>
      <c r="BF272" s="25" t="str">
        <f aca="false">IF($D272="","",($AJ272-AsOfDate)/DaysPerMonth)</f>
        <v/>
      </c>
      <c r="BG272" s="25" t="str">
        <f aca="false">IF($D272="","",MAX(0,$BE272))</f>
        <v/>
      </c>
      <c r="BH272" s="25" t="str">
        <f aca="false">IF($D272="","",MAX(0,$BF272))</f>
        <v/>
      </c>
      <c r="BI272" s="67" t="str">
        <f aca="false">IF($D272="","",YEAR($AI272))</f>
        <v/>
      </c>
      <c r="BJ272" s="67" t="str">
        <f aca="false">IF($D272="","",YEAR($AJ272))</f>
        <v/>
      </c>
      <c r="BK272" s="67" t="str">
        <f aca="false">IF($D272="","",YEAR($AH272))</f>
        <v/>
      </c>
      <c r="BM272" s="26" t="n">
        <f aca="false">IF($AT272=1,$P272+(1000-ROW())/1000000,0)</f>
        <v>0</v>
      </c>
    </row>
    <row r="273" customFormat="false" ht="15" hidden="false" customHeight="false" outlineLevel="0" collapsed="false">
      <c r="AT273" s="26" t="n">
        <f aca="false">IF($D273="",0,IF(OR(StratFilter="All Loans",$E273=StratFilter),1,0))</f>
        <v>0</v>
      </c>
      <c r="AU273" s="18" t="str">
        <f aca="false">IF($D273="","",IFERROR(VLOOKUP(TRIM($K273),PropTypeMap,2,FALSE()),"Unmapped"))</f>
        <v/>
      </c>
      <c r="AV273" s="21" t="str">
        <f aca="false">IF($D273="","",IFERROR(VLOOKUP($J273,RegionMap,2,FALSE()),"Unmapped"))</f>
        <v/>
      </c>
      <c r="AW273" s="21" t="str">
        <f aca="false">IF($D273="","",IF($AC273="SOFR","Floating (SOFR)","Fixed / All-In"))</f>
        <v/>
      </c>
      <c r="AX273" s="24" t="str">
        <f aca="false">IF($D273="","",$AD273+SOFR)</f>
        <v/>
      </c>
      <c r="AY273" s="21" t="str">
        <f aca="false">IF($D273="","",IF($AF273="Waived","Waived",IF(ISNUMBER($AF273),IF($AF273&gt;AsOfDate,"In Place","Expired"),"None Reported")))</f>
        <v/>
      </c>
      <c r="AZ273" s="21" t="str">
        <f aca="false">IF($D273="","",IF(ISNUMBER($AG273),IF($AG273=0,"None",$AG273&amp;" Months"),IF($AG273="","None Reported",$AG273)))</f>
        <v/>
      </c>
      <c r="BA273" s="18" t="str">
        <f aca="false">IF($D273="","",IF($AK273="","Unlevered",$AK273))</f>
        <v/>
      </c>
      <c r="BB273" s="22" t="str">
        <f aca="false">IF($D273="","",SUM($AL273,$AO273))</f>
        <v/>
      </c>
      <c r="BC273" s="23" t="str">
        <f aca="false">IF($D273="","",IF($P273&gt;0,$BB273/$P273,0))</f>
        <v/>
      </c>
      <c r="BD273" s="25" t="str">
        <f aca="false">IF($D273="","",(AsOfDate-$AH273)/DaysPerMonth)</f>
        <v/>
      </c>
      <c r="BE273" s="25" t="str">
        <f aca="false">IF($D273="","",($AI273-AsOfDate)/DaysPerMonth)</f>
        <v/>
      </c>
      <c r="BF273" s="25" t="str">
        <f aca="false">IF($D273="","",($AJ273-AsOfDate)/DaysPerMonth)</f>
        <v/>
      </c>
      <c r="BG273" s="25" t="str">
        <f aca="false">IF($D273="","",MAX(0,$BE273))</f>
        <v/>
      </c>
      <c r="BH273" s="25" t="str">
        <f aca="false">IF($D273="","",MAX(0,$BF273))</f>
        <v/>
      </c>
      <c r="BI273" s="67" t="str">
        <f aca="false">IF($D273="","",YEAR($AI273))</f>
        <v/>
      </c>
      <c r="BJ273" s="67" t="str">
        <f aca="false">IF($D273="","",YEAR($AJ273))</f>
        <v/>
      </c>
      <c r="BK273" s="67" t="str">
        <f aca="false">IF($D273="","",YEAR($AH273))</f>
        <v/>
      </c>
      <c r="BM273" s="26" t="n">
        <f aca="false">IF($AT273=1,$P273+(1000-ROW())/1000000,0)</f>
        <v>0</v>
      </c>
    </row>
    <row r="274" customFormat="false" ht="15" hidden="false" customHeight="false" outlineLevel="0" collapsed="false">
      <c r="AT274" s="26" t="n">
        <f aca="false">IF($D274="",0,IF(OR(StratFilter="All Loans",$E274=StratFilter),1,0))</f>
        <v>0</v>
      </c>
      <c r="AU274" s="18" t="str">
        <f aca="false">IF($D274="","",IFERROR(VLOOKUP(TRIM($K274),PropTypeMap,2,FALSE()),"Unmapped"))</f>
        <v/>
      </c>
      <c r="AV274" s="21" t="str">
        <f aca="false">IF($D274="","",IFERROR(VLOOKUP($J274,RegionMap,2,FALSE()),"Unmapped"))</f>
        <v/>
      </c>
      <c r="AW274" s="21" t="str">
        <f aca="false">IF($D274="","",IF($AC274="SOFR","Floating (SOFR)","Fixed / All-In"))</f>
        <v/>
      </c>
      <c r="AX274" s="24" t="str">
        <f aca="false">IF($D274="","",$AD274+SOFR)</f>
        <v/>
      </c>
      <c r="AY274" s="21" t="str">
        <f aca="false">IF($D274="","",IF($AF274="Waived","Waived",IF(ISNUMBER($AF274),IF($AF274&gt;AsOfDate,"In Place","Expired"),"None Reported")))</f>
        <v/>
      </c>
      <c r="AZ274" s="21" t="str">
        <f aca="false">IF($D274="","",IF(ISNUMBER($AG274),IF($AG274=0,"None",$AG274&amp;" Months"),IF($AG274="","None Reported",$AG274)))</f>
        <v/>
      </c>
      <c r="BA274" s="18" t="str">
        <f aca="false">IF($D274="","",IF($AK274="","Unlevered",$AK274))</f>
        <v/>
      </c>
      <c r="BB274" s="22" t="str">
        <f aca="false">IF($D274="","",SUM($AL274,$AO274))</f>
        <v/>
      </c>
      <c r="BC274" s="23" t="str">
        <f aca="false">IF($D274="","",IF($P274&gt;0,$BB274/$P274,0))</f>
        <v/>
      </c>
      <c r="BD274" s="25" t="str">
        <f aca="false">IF($D274="","",(AsOfDate-$AH274)/DaysPerMonth)</f>
        <v/>
      </c>
      <c r="BE274" s="25" t="str">
        <f aca="false">IF($D274="","",($AI274-AsOfDate)/DaysPerMonth)</f>
        <v/>
      </c>
      <c r="BF274" s="25" t="str">
        <f aca="false">IF($D274="","",($AJ274-AsOfDate)/DaysPerMonth)</f>
        <v/>
      </c>
      <c r="BG274" s="25" t="str">
        <f aca="false">IF($D274="","",MAX(0,$BE274))</f>
        <v/>
      </c>
      <c r="BH274" s="25" t="str">
        <f aca="false">IF($D274="","",MAX(0,$BF274))</f>
        <v/>
      </c>
      <c r="BI274" s="67" t="str">
        <f aca="false">IF($D274="","",YEAR($AI274))</f>
        <v/>
      </c>
      <c r="BJ274" s="67" t="str">
        <f aca="false">IF($D274="","",YEAR($AJ274))</f>
        <v/>
      </c>
      <c r="BK274" s="67" t="str">
        <f aca="false">IF($D274="","",YEAR($AH274))</f>
        <v/>
      </c>
      <c r="BM274" s="26" t="n">
        <f aca="false">IF($AT274=1,$P274+(1000-ROW())/1000000,0)</f>
        <v>0</v>
      </c>
    </row>
    <row r="275" customFormat="false" ht="15" hidden="false" customHeight="false" outlineLevel="0" collapsed="false">
      <c r="AT275" s="26" t="n">
        <f aca="false">IF($D275="",0,IF(OR(StratFilter="All Loans",$E275=StratFilter),1,0))</f>
        <v>0</v>
      </c>
      <c r="AU275" s="18" t="str">
        <f aca="false">IF($D275="","",IFERROR(VLOOKUP(TRIM($K275),PropTypeMap,2,FALSE()),"Unmapped"))</f>
        <v/>
      </c>
      <c r="AV275" s="21" t="str">
        <f aca="false">IF($D275="","",IFERROR(VLOOKUP($J275,RegionMap,2,FALSE()),"Unmapped"))</f>
        <v/>
      </c>
      <c r="AW275" s="21" t="str">
        <f aca="false">IF($D275="","",IF($AC275="SOFR","Floating (SOFR)","Fixed / All-In"))</f>
        <v/>
      </c>
      <c r="AX275" s="24" t="str">
        <f aca="false">IF($D275="","",$AD275+SOFR)</f>
        <v/>
      </c>
      <c r="AY275" s="21" t="str">
        <f aca="false">IF($D275="","",IF($AF275="Waived","Waived",IF(ISNUMBER($AF275),IF($AF275&gt;AsOfDate,"In Place","Expired"),"None Reported")))</f>
        <v/>
      </c>
      <c r="AZ275" s="21" t="str">
        <f aca="false">IF($D275="","",IF(ISNUMBER($AG275),IF($AG275=0,"None",$AG275&amp;" Months"),IF($AG275="","None Reported",$AG275)))</f>
        <v/>
      </c>
      <c r="BA275" s="18" t="str">
        <f aca="false">IF($D275="","",IF($AK275="","Unlevered",$AK275))</f>
        <v/>
      </c>
      <c r="BB275" s="22" t="str">
        <f aca="false">IF($D275="","",SUM($AL275,$AO275))</f>
        <v/>
      </c>
      <c r="BC275" s="23" t="str">
        <f aca="false">IF($D275="","",IF($P275&gt;0,$BB275/$P275,0))</f>
        <v/>
      </c>
      <c r="BD275" s="25" t="str">
        <f aca="false">IF($D275="","",(AsOfDate-$AH275)/DaysPerMonth)</f>
        <v/>
      </c>
      <c r="BE275" s="25" t="str">
        <f aca="false">IF($D275="","",($AI275-AsOfDate)/DaysPerMonth)</f>
        <v/>
      </c>
      <c r="BF275" s="25" t="str">
        <f aca="false">IF($D275="","",($AJ275-AsOfDate)/DaysPerMonth)</f>
        <v/>
      </c>
      <c r="BG275" s="25" t="str">
        <f aca="false">IF($D275="","",MAX(0,$BE275))</f>
        <v/>
      </c>
      <c r="BH275" s="25" t="str">
        <f aca="false">IF($D275="","",MAX(0,$BF275))</f>
        <v/>
      </c>
      <c r="BI275" s="67" t="str">
        <f aca="false">IF($D275="","",YEAR($AI275))</f>
        <v/>
      </c>
      <c r="BJ275" s="67" t="str">
        <f aca="false">IF($D275="","",YEAR($AJ275))</f>
        <v/>
      </c>
      <c r="BK275" s="67" t="str">
        <f aca="false">IF($D275="","",YEAR($AH275))</f>
        <v/>
      </c>
      <c r="BM275" s="26" t="n">
        <f aca="false">IF($AT275=1,$P275+(1000-ROW())/1000000,0)</f>
        <v>0</v>
      </c>
    </row>
    <row r="276" customFormat="false" ht="15" hidden="false" customHeight="false" outlineLevel="0" collapsed="false">
      <c r="AT276" s="26" t="n">
        <f aca="false">IF($D276="",0,IF(OR(StratFilter="All Loans",$E276=StratFilter),1,0))</f>
        <v>0</v>
      </c>
      <c r="AU276" s="18" t="str">
        <f aca="false">IF($D276="","",IFERROR(VLOOKUP(TRIM($K276),PropTypeMap,2,FALSE()),"Unmapped"))</f>
        <v/>
      </c>
      <c r="AV276" s="21" t="str">
        <f aca="false">IF($D276="","",IFERROR(VLOOKUP($J276,RegionMap,2,FALSE()),"Unmapped"))</f>
        <v/>
      </c>
      <c r="AW276" s="21" t="str">
        <f aca="false">IF($D276="","",IF($AC276="SOFR","Floating (SOFR)","Fixed / All-In"))</f>
        <v/>
      </c>
      <c r="AX276" s="24" t="str">
        <f aca="false">IF($D276="","",$AD276+SOFR)</f>
        <v/>
      </c>
      <c r="AY276" s="21" t="str">
        <f aca="false">IF($D276="","",IF($AF276="Waived","Waived",IF(ISNUMBER($AF276),IF($AF276&gt;AsOfDate,"In Place","Expired"),"None Reported")))</f>
        <v/>
      </c>
      <c r="AZ276" s="21" t="str">
        <f aca="false">IF($D276="","",IF(ISNUMBER($AG276),IF($AG276=0,"None",$AG276&amp;" Months"),IF($AG276="","None Reported",$AG276)))</f>
        <v/>
      </c>
      <c r="BA276" s="18" t="str">
        <f aca="false">IF($D276="","",IF($AK276="","Unlevered",$AK276))</f>
        <v/>
      </c>
      <c r="BB276" s="22" t="str">
        <f aca="false">IF($D276="","",SUM($AL276,$AO276))</f>
        <v/>
      </c>
      <c r="BC276" s="23" t="str">
        <f aca="false">IF($D276="","",IF($P276&gt;0,$BB276/$P276,0))</f>
        <v/>
      </c>
      <c r="BD276" s="25" t="str">
        <f aca="false">IF($D276="","",(AsOfDate-$AH276)/DaysPerMonth)</f>
        <v/>
      </c>
      <c r="BE276" s="25" t="str">
        <f aca="false">IF($D276="","",($AI276-AsOfDate)/DaysPerMonth)</f>
        <v/>
      </c>
      <c r="BF276" s="25" t="str">
        <f aca="false">IF($D276="","",($AJ276-AsOfDate)/DaysPerMonth)</f>
        <v/>
      </c>
      <c r="BG276" s="25" t="str">
        <f aca="false">IF($D276="","",MAX(0,$BE276))</f>
        <v/>
      </c>
      <c r="BH276" s="25" t="str">
        <f aca="false">IF($D276="","",MAX(0,$BF276))</f>
        <v/>
      </c>
      <c r="BI276" s="67" t="str">
        <f aca="false">IF($D276="","",YEAR($AI276))</f>
        <v/>
      </c>
      <c r="BJ276" s="67" t="str">
        <f aca="false">IF($D276="","",YEAR($AJ276))</f>
        <v/>
      </c>
      <c r="BK276" s="67" t="str">
        <f aca="false">IF($D276="","",YEAR($AH276))</f>
        <v/>
      </c>
      <c r="BM276" s="26" t="n">
        <f aca="false">IF($AT276=1,$P276+(1000-ROW())/1000000,0)</f>
        <v>0</v>
      </c>
    </row>
    <row r="277" customFormat="false" ht="15" hidden="false" customHeight="false" outlineLevel="0" collapsed="false">
      <c r="AT277" s="26" t="n">
        <f aca="false">IF($D277="",0,IF(OR(StratFilter="All Loans",$E277=StratFilter),1,0))</f>
        <v>0</v>
      </c>
      <c r="AU277" s="18" t="str">
        <f aca="false">IF($D277="","",IFERROR(VLOOKUP(TRIM($K277),PropTypeMap,2,FALSE()),"Unmapped"))</f>
        <v/>
      </c>
      <c r="AV277" s="21" t="str">
        <f aca="false">IF($D277="","",IFERROR(VLOOKUP($J277,RegionMap,2,FALSE()),"Unmapped"))</f>
        <v/>
      </c>
      <c r="AW277" s="21" t="str">
        <f aca="false">IF($D277="","",IF($AC277="SOFR","Floating (SOFR)","Fixed / All-In"))</f>
        <v/>
      </c>
      <c r="AX277" s="24" t="str">
        <f aca="false">IF($D277="","",$AD277+SOFR)</f>
        <v/>
      </c>
      <c r="AY277" s="21" t="str">
        <f aca="false">IF($D277="","",IF($AF277="Waived","Waived",IF(ISNUMBER($AF277),IF($AF277&gt;AsOfDate,"In Place","Expired"),"None Reported")))</f>
        <v/>
      </c>
      <c r="AZ277" s="21" t="str">
        <f aca="false">IF($D277="","",IF(ISNUMBER($AG277),IF($AG277=0,"None",$AG277&amp;" Months"),IF($AG277="","None Reported",$AG277)))</f>
        <v/>
      </c>
      <c r="BA277" s="18" t="str">
        <f aca="false">IF($D277="","",IF($AK277="","Unlevered",$AK277))</f>
        <v/>
      </c>
      <c r="BB277" s="22" t="str">
        <f aca="false">IF($D277="","",SUM($AL277,$AO277))</f>
        <v/>
      </c>
      <c r="BC277" s="23" t="str">
        <f aca="false">IF($D277="","",IF($P277&gt;0,$BB277/$P277,0))</f>
        <v/>
      </c>
      <c r="BD277" s="25" t="str">
        <f aca="false">IF($D277="","",(AsOfDate-$AH277)/DaysPerMonth)</f>
        <v/>
      </c>
      <c r="BE277" s="25" t="str">
        <f aca="false">IF($D277="","",($AI277-AsOfDate)/DaysPerMonth)</f>
        <v/>
      </c>
      <c r="BF277" s="25" t="str">
        <f aca="false">IF($D277="","",($AJ277-AsOfDate)/DaysPerMonth)</f>
        <v/>
      </c>
      <c r="BG277" s="25" t="str">
        <f aca="false">IF($D277="","",MAX(0,$BE277))</f>
        <v/>
      </c>
      <c r="BH277" s="25" t="str">
        <f aca="false">IF($D277="","",MAX(0,$BF277))</f>
        <v/>
      </c>
      <c r="BI277" s="67" t="str">
        <f aca="false">IF($D277="","",YEAR($AI277))</f>
        <v/>
      </c>
      <c r="BJ277" s="67" t="str">
        <f aca="false">IF($D277="","",YEAR($AJ277))</f>
        <v/>
      </c>
      <c r="BK277" s="67" t="str">
        <f aca="false">IF($D277="","",YEAR($AH277))</f>
        <v/>
      </c>
      <c r="BM277" s="26" t="n">
        <f aca="false">IF($AT277=1,$P277+(1000-ROW())/1000000,0)</f>
        <v>0</v>
      </c>
    </row>
    <row r="278" customFormat="false" ht="15" hidden="false" customHeight="false" outlineLevel="0" collapsed="false">
      <c r="AT278" s="26" t="n">
        <f aca="false">IF($D278="",0,IF(OR(StratFilter="All Loans",$E278=StratFilter),1,0))</f>
        <v>0</v>
      </c>
      <c r="AU278" s="18" t="str">
        <f aca="false">IF($D278="","",IFERROR(VLOOKUP(TRIM($K278),PropTypeMap,2,FALSE()),"Unmapped"))</f>
        <v/>
      </c>
      <c r="AV278" s="21" t="str">
        <f aca="false">IF($D278="","",IFERROR(VLOOKUP($J278,RegionMap,2,FALSE()),"Unmapped"))</f>
        <v/>
      </c>
      <c r="AW278" s="21" t="str">
        <f aca="false">IF($D278="","",IF($AC278="SOFR","Floating (SOFR)","Fixed / All-In"))</f>
        <v/>
      </c>
      <c r="AX278" s="24" t="str">
        <f aca="false">IF($D278="","",$AD278+SOFR)</f>
        <v/>
      </c>
      <c r="AY278" s="21" t="str">
        <f aca="false">IF($D278="","",IF($AF278="Waived","Waived",IF(ISNUMBER($AF278),IF($AF278&gt;AsOfDate,"In Place","Expired"),"None Reported")))</f>
        <v/>
      </c>
      <c r="AZ278" s="21" t="str">
        <f aca="false">IF($D278="","",IF(ISNUMBER($AG278),IF($AG278=0,"None",$AG278&amp;" Months"),IF($AG278="","None Reported",$AG278)))</f>
        <v/>
      </c>
      <c r="BA278" s="18" t="str">
        <f aca="false">IF($D278="","",IF($AK278="","Unlevered",$AK278))</f>
        <v/>
      </c>
      <c r="BB278" s="22" t="str">
        <f aca="false">IF($D278="","",SUM($AL278,$AO278))</f>
        <v/>
      </c>
      <c r="BC278" s="23" t="str">
        <f aca="false">IF($D278="","",IF($P278&gt;0,$BB278/$P278,0))</f>
        <v/>
      </c>
      <c r="BD278" s="25" t="str">
        <f aca="false">IF($D278="","",(AsOfDate-$AH278)/DaysPerMonth)</f>
        <v/>
      </c>
      <c r="BE278" s="25" t="str">
        <f aca="false">IF($D278="","",($AI278-AsOfDate)/DaysPerMonth)</f>
        <v/>
      </c>
      <c r="BF278" s="25" t="str">
        <f aca="false">IF($D278="","",($AJ278-AsOfDate)/DaysPerMonth)</f>
        <v/>
      </c>
      <c r="BG278" s="25" t="str">
        <f aca="false">IF($D278="","",MAX(0,$BE278))</f>
        <v/>
      </c>
      <c r="BH278" s="25" t="str">
        <f aca="false">IF($D278="","",MAX(0,$BF278))</f>
        <v/>
      </c>
      <c r="BI278" s="67" t="str">
        <f aca="false">IF($D278="","",YEAR($AI278))</f>
        <v/>
      </c>
      <c r="BJ278" s="67" t="str">
        <f aca="false">IF($D278="","",YEAR($AJ278))</f>
        <v/>
      </c>
      <c r="BK278" s="67" t="str">
        <f aca="false">IF($D278="","",YEAR($AH278))</f>
        <v/>
      </c>
      <c r="BM278" s="26" t="n">
        <f aca="false">IF($AT278=1,$P278+(1000-ROW())/1000000,0)</f>
        <v>0</v>
      </c>
    </row>
    <row r="279" customFormat="false" ht="15" hidden="false" customHeight="false" outlineLevel="0" collapsed="false">
      <c r="AT279" s="26" t="n">
        <f aca="false">IF($D279="",0,IF(OR(StratFilter="All Loans",$E279=StratFilter),1,0))</f>
        <v>0</v>
      </c>
      <c r="AU279" s="18" t="str">
        <f aca="false">IF($D279="","",IFERROR(VLOOKUP(TRIM($K279),PropTypeMap,2,FALSE()),"Unmapped"))</f>
        <v/>
      </c>
      <c r="AV279" s="21" t="str">
        <f aca="false">IF($D279="","",IFERROR(VLOOKUP($J279,RegionMap,2,FALSE()),"Unmapped"))</f>
        <v/>
      </c>
      <c r="AW279" s="21" t="str">
        <f aca="false">IF($D279="","",IF($AC279="SOFR","Floating (SOFR)","Fixed / All-In"))</f>
        <v/>
      </c>
      <c r="AX279" s="24" t="str">
        <f aca="false">IF($D279="","",$AD279+SOFR)</f>
        <v/>
      </c>
      <c r="AY279" s="21" t="str">
        <f aca="false">IF($D279="","",IF($AF279="Waived","Waived",IF(ISNUMBER($AF279),IF($AF279&gt;AsOfDate,"In Place","Expired"),"None Reported")))</f>
        <v/>
      </c>
      <c r="AZ279" s="21" t="str">
        <f aca="false">IF($D279="","",IF(ISNUMBER($AG279),IF($AG279=0,"None",$AG279&amp;" Months"),IF($AG279="","None Reported",$AG279)))</f>
        <v/>
      </c>
      <c r="BA279" s="18" t="str">
        <f aca="false">IF($D279="","",IF($AK279="","Unlevered",$AK279))</f>
        <v/>
      </c>
      <c r="BB279" s="22" t="str">
        <f aca="false">IF($D279="","",SUM($AL279,$AO279))</f>
        <v/>
      </c>
      <c r="BC279" s="23" t="str">
        <f aca="false">IF($D279="","",IF($P279&gt;0,$BB279/$P279,0))</f>
        <v/>
      </c>
      <c r="BD279" s="25" t="str">
        <f aca="false">IF($D279="","",(AsOfDate-$AH279)/DaysPerMonth)</f>
        <v/>
      </c>
      <c r="BE279" s="25" t="str">
        <f aca="false">IF($D279="","",($AI279-AsOfDate)/DaysPerMonth)</f>
        <v/>
      </c>
      <c r="BF279" s="25" t="str">
        <f aca="false">IF($D279="","",($AJ279-AsOfDate)/DaysPerMonth)</f>
        <v/>
      </c>
      <c r="BG279" s="25" t="str">
        <f aca="false">IF($D279="","",MAX(0,$BE279))</f>
        <v/>
      </c>
      <c r="BH279" s="25" t="str">
        <f aca="false">IF($D279="","",MAX(0,$BF279))</f>
        <v/>
      </c>
      <c r="BI279" s="67" t="str">
        <f aca="false">IF($D279="","",YEAR($AI279))</f>
        <v/>
      </c>
      <c r="BJ279" s="67" t="str">
        <f aca="false">IF($D279="","",YEAR($AJ279))</f>
        <v/>
      </c>
      <c r="BK279" s="67" t="str">
        <f aca="false">IF($D279="","",YEAR($AH279))</f>
        <v/>
      </c>
      <c r="BM279" s="26" t="n">
        <f aca="false">IF($AT279=1,$P279+(1000-ROW())/1000000,0)</f>
        <v>0</v>
      </c>
    </row>
    <row r="280" customFormat="false" ht="15" hidden="false" customHeight="false" outlineLevel="0" collapsed="false">
      <c r="AT280" s="26" t="n">
        <f aca="false">IF($D280="",0,IF(OR(StratFilter="All Loans",$E280=StratFilter),1,0))</f>
        <v>0</v>
      </c>
      <c r="AU280" s="18" t="str">
        <f aca="false">IF($D280="","",IFERROR(VLOOKUP(TRIM($K280),PropTypeMap,2,FALSE()),"Unmapped"))</f>
        <v/>
      </c>
      <c r="AV280" s="21" t="str">
        <f aca="false">IF($D280="","",IFERROR(VLOOKUP($J280,RegionMap,2,FALSE()),"Unmapped"))</f>
        <v/>
      </c>
      <c r="AW280" s="21" t="str">
        <f aca="false">IF($D280="","",IF($AC280="SOFR","Floating (SOFR)","Fixed / All-In"))</f>
        <v/>
      </c>
      <c r="AX280" s="24" t="str">
        <f aca="false">IF($D280="","",$AD280+SOFR)</f>
        <v/>
      </c>
      <c r="AY280" s="21" t="str">
        <f aca="false">IF($D280="","",IF($AF280="Waived","Waived",IF(ISNUMBER($AF280),IF($AF280&gt;AsOfDate,"In Place","Expired"),"None Reported")))</f>
        <v/>
      </c>
      <c r="AZ280" s="21" t="str">
        <f aca="false">IF($D280="","",IF(ISNUMBER($AG280),IF($AG280=0,"None",$AG280&amp;" Months"),IF($AG280="","None Reported",$AG280)))</f>
        <v/>
      </c>
      <c r="BA280" s="18" t="str">
        <f aca="false">IF($D280="","",IF($AK280="","Unlevered",$AK280))</f>
        <v/>
      </c>
      <c r="BB280" s="22" t="str">
        <f aca="false">IF($D280="","",SUM($AL280,$AO280))</f>
        <v/>
      </c>
      <c r="BC280" s="23" t="str">
        <f aca="false">IF($D280="","",IF($P280&gt;0,$BB280/$P280,0))</f>
        <v/>
      </c>
      <c r="BD280" s="25" t="str">
        <f aca="false">IF($D280="","",(AsOfDate-$AH280)/DaysPerMonth)</f>
        <v/>
      </c>
      <c r="BE280" s="25" t="str">
        <f aca="false">IF($D280="","",($AI280-AsOfDate)/DaysPerMonth)</f>
        <v/>
      </c>
      <c r="BF280" s="25" t="str">
        <f aca="false">IF($D280="","",($AJ280-AsOfDate)/DaysPerMonth)</f>
        <v/>
      </c>
      <c r="BG280" s="25" t="str">
        <f aca="false">IF($D280="","",MAX(0,$BE280))</f>
        <v/>
      </c>
      <c r="BH280" s="25" t="str">
        <f aca="false">IF($D280="","",MAX(0,$BF280))</f>
        <v/>
      </c>
      <c r="BI280" s="67" t="str">
        <f aca="false">IF($D280="","",YEAR($AI280))</f>
        <v/>
      </c>
      <c r="BJ280" s="67" t="str">
        <f aca="false">IF($D280="","",YEAR($AJ280))</f>
        <v/>
      </c>
      <c r="BK280" s="67" t="str">
        <f aca="false">IF($D280="","",YEAR($AH280))</f>
        <v/>
      </c>
      <c r="BM280" s="26" t="n">
        <f aca="false">IF($AT280=1,$P280+(1000-ROW())/1000000,0)</f>
        <v>0</v>
      </c>
    </row>
    <row r="281" customFormat="false" ht="15" hidden="false" customHeight="false" outlineLevel="0" collapsed="false">
      <c r="AT281" s="26" t="n">
        <f aca="false">IF($D281="",0,IF(OR(StratFilter="All Loans",$E281=StratFilter),1,0))</f>
        <v>0</v>
      </c>
      <c r="AU281" s="18" t="str">
        <f aca="false">IF($D281="","",IFERROR(VLOOKUP(TRIM($K281),PropTypeMap,2,FALSE()),"Unmapped"))</f>
        <v/>
      </c>
      <c r="AV281" s="21" t="str">
        <f aca="false">IF($D281="","",IFERROR(VLOOKUP($J281,RegionMap,2,FALSE()),"Unmapped"))</f>
        <v/>
      </c>
      <c r="AW281" s="21" t="str">
        <f aca="false">IF($D281="","",IF($AC281="SOFR","Floating (SOFR)","Fixed / All-In"))</f>
        <v/>
      </c>
      <c r="AX281" s="24" t="str">
        <f aca="false">IF($D281="","",$AD281+SOFR)</f>
        <v/>
      </c>
      <c r="AY281" s="21" t="str">
        <f aca="false">IF($D281="","",IF($AF281="Waived","Waived",IF(ISNUMBER($AF281),IF($AF281&gt;AsOfDate,"In Place","Expired"),"None Reported")))</f>
        <v/>
      </c>
      <c r="AZ281" s="21" t="str">
        <f aca="false">IF($D281="","",IF(ISNUMBER($AG281),IF($AG281=0,"None",$AG281&amp;" Months"),IF($AG281="","None Reported",$AG281)))</f>
        <v/>
      </c>
      <c r="BA281" s="18" t="str">
        <f aca="false">IF($D281="","",IF($AK281="","Unlevered",$AK281))</f>
        <v/>
      </c>
      <c r="BB281" s="22" t="str">
        <f aca="false">IF($D281="","",SUM($AL281,$AO281))</f>
        <v/>
      </c>
      <c r="BC281" s="23" t="str">
        <f aca="false">IF($D281="","",IF($P281&gt;0,$BB281/$P281,0))</f>
        <v/>
      </c>
      <c r="BD281" s="25" t="str">
        <f aca="false">IF($D281="","",(AsOfDate-$AH281)/DaysPerMonth)</f>
        <v/>
      </c>
      <c r="BE281" s="25" t="str">
        <f aca="false">IF($D281="","",($AI281-AsOfDate)/DaysPerMonth)</f>
        <v/>
      </c>
      <c r="BF281" s="25" t="str">
        <f aca="false">IF($D281="","",($AJ281-AsOfDate)/DaysPerMonth)</f>
        <v/>
      </c>
      <c r="BG281" s="25" t="str">
        <f aca="false">IF($D281="","",MAX(0,$BE281))</f>
        <v/>
      </c>
      <c r="BH281" s="25" t="str">
        <f aca="false">IF($D281="","",MAX(0,$BF281))</f>
        <v/>
      </c>
      <c r="BI281" s="67" t="str">
        <f aca="false">IF($D281="","",YEAR($AI281))</f>
        <v/>
      </c>
      <c r="BJ281" s="67" t="str">
        <f aca="false">IF($D281="","",YEAR($AJ281))</f>
        <v/>
      </c>
      <c r="BK281" s="67" t="str">
        <f aca="false">IF($D281="","",YEAR($AH281))</f>
        <v/>
      </c>
      <c r="BM281" s="26" t="n">
        <f aca="false">IF($AT281=1,$P281+(1000-ROW())/1000000,0)</f>
        <v>0</v>
      </c>
    </row>
    <row r="282" customFormat="false" ht="15" hidden="false" customHeight="false" outlineLevel="0" collapsed="false">
      <c r="AT282" s="26" t="n">
        <f aca="false">IF($D282="",0,IF(OR(StratFilter="All Loans",$E282=StratFilter),1,0))</f>
        <v>0</v>
      </c>
      <c r="AU282" s="18" t="str">
        <f aca="false">IF($D282="","",IFERROR(VLOOKUP(TRIM($K282),PropTypeMap,2,FALSE()),"Unmapped"))</f>
        <v/>
      </c>
      <c r="AV282" s="21" t="str">
        <f aca="false">IF($D282="","",IFERROR(VLOOKUP($J282,RegionMap,2,FALSE()),"Unmapped"))</f>
        <v/>
      </c>
      <c r="AW282" s="21" t="str">
        <f aca="false">IF($D282="","",IF($AC282="SOFR","Floating (SOFR)","Fixed / All-In"))</f>
        <v/>
      </c>
      <c r="AX282" s="24" t="str">
        <f aca="false">IF($D282="","",$AD282+SOFR)</f>
        <v/>
      </c>
      <c r="AY282" s="21" t="str">
        <f aca="false">IF($D282="","",IF($AF282="Waived","Waived",IF(ISNUMBER($AF282),IF($AF282&gt;AsOfDate,"In Place","Expired"),"None Reported")))</f>
        <v/>
      </c>
      <c r="AZ282" s="21" t="str">
        <f aca="false">IF($D282="","",IF(ISNUMBER($AG282),IF($AG282=0,"None",$AG282&amp;" Months"),IF($AG282="","None Reported",$AG282)))</f>
        <v/>
      </c>
      <c r="BA282" s="18" t="str">
        <f aca="false">IF($D282="","",IF($AK282="","Unlevered",$AK282))</f>
        <v/>
      </c>
      <c r="BB282" s="22" t="str">
        <f aca="false">IF($D282="","",SUM($AL282,$AO282))</f>
        <v/>
      </c>
      <c r="BC282" s="23" t="str">
        <f aca="false">IF($D282="","",IF($P282&gt;0,$BB282/$P282,0))</f>
        <v/>
      </c>
      <c r="BD282" s="25" t="str">
        <f aca="false">IF($D282="","",(AsOfDate-$AH282)/DaysPerMonth)</f>
        <v/>
      </c>
      <c r="BE282" s="25" t="str">
        <f aca="false">IF($D282="","",($AI282-AsOfDate)/DaysPerMonth)</f>
        <v/>
      </c>
      <c r="BF282" s="25" t="str">
        <f aca="false">IF($D282="","",($AJ282-AsOfDate)/DaysPerMonth)</f>
        <v/>
      </c>
      <c r="BG282" s="25" t="str">
        <f aca="false">IF($D282="","",MAX(0,$BE282))</f>
        <v/>
      </c>
      <c r="BH282" s="25" t="str">
        <f aca="false">IF($D282="","",MAX(0,$BF282))</f>
        <v/>
      </c>
      <c r="BI282" s="67" t="str">
        <f aca="false">IF($D282="","",YEAR($AI282))</f>
        <v/>
      </c>
      <c r="BJ282" s="67" t="str">
        <f aca="false">IF($D282="","",YEAR($AJ282))</f>
        <v/>
      </c>
      <c r="BK282" s="67" t="str">
        <f aca="false">IF($D282="","",YEAR($AH282))</f>
        <v/>
      </c>
      <c r="BM282" s="26" t="n">
        <f aca="false">IF($AT282=1,$P282+(1000-ROW())/1000000,0)</f>
        <v>0</v>
      </c>
    </row>
    <row r="283" customFormat="false" ht="15" hidden="false" customHeight="false" outlineLevel="0" collapsed="false">
      <c r="AT283" s="26" t="n">
        <f aca="false">IF($D283="",0,IF(OR(StratFilter="All Loans",$E283=StratFilter),1,0))</f>
        <v>0</v>
      </c>
      <c r="AU283" s="18" t="str">
        <f aca="false">IF($D283="","",IFERROR(VLOOKUP(TRIM($K283),PropTypeMap,2,FALSE()),"Unmapped"))</f>
        <v/>
      </c>
      <c r="AV283" s="21" t="str">
        <f aca="false">IF($D283="","",IFERROR(VLOOKUP($J283,RegionMap,2,FALSE()),"Unmapped"))</f>
        <v/>
      </c>
      <c r="AW283" s="21" t="str">
        <f aca="false">IF($D283="","",IF($AC283="SOFR","Floating (SOFR)","Fixed / All-In"))</f>
        <v/>
      </c>
      <c r="AX283" s="24" t="str">
        <f aca="false">IF($D283="","",$AD283+SOFR)</f>
        <v/>
      </c>
      <c r="AY283" s="21" t="str">
        <f aca="false">IF($D283="","",IF($AF283="Waived","Waived",IF(ISNUMBER($AF283),IF($AF283&gt;AsOfDate,"In Place","Expired"),"None Reported")))</f>
        <v/>
      </c>
      <c r="AZ283" s="21" t="str">
        <f aca="false">IF($D283="","",IF(ISNUMBER($AG283),IF($AG283=0,"None",$AG283&amp;" Months"),IF($AG283="","None Reported",$AG283)))</f>
        <v/>
      </c>
      <c r="BA283" s="18" t="str">
        <f aca="false">IF($D283="","",IF($AK283="","Unlevered",$AK283))</f>
        <v/>
      </c>
      <c r="BB283" s="22" t="str">
        <f aca="false">IF($D283="","",SUM($AL283,$AO283))</f>
        <v/>
      </c>
      <c r="BC283" s="23" t="str">
        <f aca="false">IF($D283="","",IF($P283&gt;0,$BB283/$P283,0))</f>
        <v/>
      </c>
      <c r="BD283" s="25" t="str">
        <f aca="false">IF($D283="","",(AsOfDate-$AH283)/DaysPerMonth)</f>
        <v/>
      </c>
      <c r="BE283" s="25" t="str">
        <f aca="false">IF($D283="","",($AI283-AsOfDate)/DaysPerMonth)</f>
        <v/>
      </c>
      <c r="BF283" s="25" t="str">
        <f aca="false">IF($D283="","",($AJ283-AsOfDate)/DaysPerMonth)</f>
        <v/>
      </c>
      <c r="BG283" s="25" t="str">
        <f aca="false">IF($D283="","",MAX(0,$BE283))</f>
        <v/>
      </c>
      <c r="BH283" s="25" t="str">
        <f aca="false">IF($D283="","",MAX(0,$BF283))</f>
        <v/>
      </c>
      <c r="BI283" s="67" t="str">
        <f aca="false">IF($D283="","",YEAR($AI283))</f>
        <v/>
      </c>
      <c r="BJ283" s="67" t="str">
        <f aca="false">IF($D283="","",YEAR($AJ283))</f>
        <v/>
      </c>
      <c r="BK283" s="67" t="str">
        <f aca="false">IF($D283="","",YEAR($AH283))</f>
        <v/>
      </c>
      <c r="BM283" s="26" t="n">
        <f aca="false">IF($AT283=1,$P283+(1000-ROW())/1000000,0)</f>
        <v>0</v>
      </c>
    </row>
    <row r="284" customFormat="false" ht="15" hidden="false" customHeight="false" outlineLevel="0" collapsed="false">
      <c r="AT284" s="26" t="n">
        <f aca="false">IF($D284="",0,IF(OR(StratFilter="All Loans",$E284=StratFilter),1,0))</f>
        <v>0</v>
      </c>
      <c r="AU284" s="18" t="str">
        <f aca="false">IF($D284="","",IFERROR(VLOOKUP(TRIM($K284),PropTypeMap,2,FALSE()),"Unmapped"))</f>
        <v/>
      </c>
      <c r="AV284" s="21" t="str">
        <f aca="false">IF($D284="","",IFERROR(VLOOKUP($J284,RegionMap,2,FALSE()),"Unmapped"))</f>
        <v/>
      </c>
      <c r="AW284" s="21" t="str">
        <f aca="false">IF($D284="","",IF($AC284="SOFR","Floating (SOFR)","Fixed / All-In"))</f>
        <v/>
      </c>
      <c r="AX284" s="24" t="str">
        <f aca="false">IF($D284="","",$AD284+SOFR)</f>
        <v/>
      </c>
      <c r="AY284" s="21" t="str">
        <f aca="false">IF($D284="","",IF($AF284="Waived","Waived",IF(ISNUMBER($AF284),IF($AF284&gt;AsOfDate,"In Place","Expired"),"None Reported")))</f>
        <v/>
      </c>
      <c r="AZ284" s="21" t="str">
        <f aca="false">IF($D284="","",IF(ISNUMBER($AG284),IF($AG284=0,"None",$AG284&amp;" Months"),IF($AG284="","None Reported",$AG284)))</f>
        <v/>
      </c>
      <c r="BA284" s="18" t="str">
        <f aca="false">IF($D284="","",IF($AK284="","Unlevered",$AK284))</f>
        <v/>
      </c>
      <c r="BB284" s="22" t="str">
        <f aca="false">IF($D284="","",SUM($AL284,$AO284))</f>
        <v/>
      </c>
      <c r="BC284" s="23" t="str">
        <f aca="false">IF($D284="","",IF($P284&gt;0,$BB284/$P284,0))</f>
        <v/>
      </c>
      <c r="BD284" s="25" t="str">
        <f aca="false">IF($D284="","",(AsOfDate-$AH284)/DaysPerMonth)</f>
        <v/>
      </c>
      <c r="BE284" s="25" t="str">
        <f aca="false">IF($D284="","",($AI284-AsOfDate)/DaysPerMonth)</f>
        <v/>
      </c>
      <c r="BF284" s="25" t="str">
        <f aca="false">IF($D284="","",($AJ284-AsOfDate)/DaysPerMonth)</f>
        <v/>
      </c>
      <c r="BG284" s="25" t="str">
        <f aca="false">IF($D284="","",MAX(0,$BE284))</f>
        <v/>
      </c>
      <c r="BH284" s="25" t="str">
        <f aca="false">IF($D284="","",MAX(0,$BF284))</f>
        <v/>
      </c>
      <c r="BI284" s="67" t="str">
        <f aca="false">IF($D284="","",YEAR($AI284))</f>
        <v/>
      </c>
      <c r="BJ284" s="67" t="str">
        <f aca="false">IF($D284="","",YEAR($AJ284))</f>
        <v/>
      </c>
      <c r="BK284" s="67" t="str">
        <f aca="false">IF($D284="","",YEAR($AH284))</f>
        <v/>
      </c>
      <c r="BM284" s="26" t="n">
        <f aca="false">IF($AT284=1,$P284+(1000-ROW())/1000000,0)</f>
        <v>0</v>
      </c>
    </row>
    <row r="285" customFormat="false" ht="15" hidden="false" customHeight="false" outlineLevel="0" collapsed="false">
      <c r="AT285" s="26" t="n">
        <f aca="false">IF($D285="",0,IF(OR(StratFilter="All Loans",$E285=StratFilter),1,0))</f>
        <v>0</v>
      </c>
      <c r="AU285" s="18" t="str">
        <f aca="false">IF($D285="","",IFERROR(VLOOKUP(TRIM($K285),PropTypeMap,2,FALSE()),"Unmapped"))</f>
        <v/>
      </c>
      <c r="AV285" s="21" t="str">
        <f aca="false">IF($D285="","",IFERROR(VLOOKUP($J285,RegionMap,2,FALSE()),"Unmapped"))</f>
        <v/>
      </c>
      <c r="AW285" s="21" t="str">
        <f aca="false">IF($D285="","",IF($AC285="SOFR","Floating (SOFR)","Fixed / All-In"))</f>
        <v/>
      </c>
      <c r="AX285" s="24" t="str">
        <f aca="false">IF($D285="","",$AD285+SOFR)</f>
        <v/>
      </c>
      <c r="AY285" s="21" t="str">
        <f aca="false">IF($D285="","",IF($AF285="Waived","Waived",IF(ISNUMBER($AF285),IF($AF285&gt;AsOfDate,"In Place","Expired"),"None Reported")))</f>
        <v/>
      </c>
      <c r="AZ285" s="21" t="str">
        <f aca="false">IF($D285="","",IF(ISNUMBER($AG285),IF($AG285=0,"None",$AG285&amp;" Months"),IF($AG285="","None Reported",$AG285)))</f>
        <v/>
      </c>
      <c r="BA285" s="18" t="str">
        <f aca="false">IF($D285="","",IF($AK285="","Unlevered",$AK285))</f>
        <v/>
      </c>
      <c r="BB285" s="22" t="str">
        <f aca="false">IF($D285="","",SUM($AL285,$AO285))</f>
        <v/>
      </c>
      <c r="BC285" s="23" t="str">
        <f aca="false">IF($D285="","",IF($P285&gt;0,$BB285/$P285,0))</f>
        <v/>
      </c>
      <c r="BD285" s="25" t="str">
        <f aca="false">IF($D285="","",(AsOfDate-$AH285)/DaysPerMonth)</f>
        <v/>
      </c>
      <c r="BE285" s="25" t="str">
        <f aca="false">IF($D285="","",($AI285-AsOfDate)/DaysPerMonth)</f>
        <v/>
      </c>
      <c r="BF285" s="25" t="str">
        <f aca="false">IF($D285="","",($AJ285-AsOfDate)/DaysPerMonth)</f>
        <v/>
      </c>
      <c r="BG285" s="25" t="str">
        <f aca="false">IF($D285="","",MAX(0,$BE285))</f>
        <v/>
      </c>
      <c r="BH285" s="25" t="str">
        <f aca="false">IF($D285="","",MAX(0,$BF285))</f>
        <v/>
      </c>
      <c r="BI285" s="67" t="str">
        <f aca="false">IF($D285="","",YEAR($AI285))</f>
        <v/>
      </c>
      <c r="BJ285" s="67" t="str">
        <f aca="false">IF($D285="","",YEAR($AJ285))</f>
        <v/>
      </c>
      <c r="BK285" s="67" t="str">
        <f aca="false">IF($D285="","",YEAR($AH285))</f>
        <v/>
      </c>
      <c r="BM285" s="26" t="n">
        <f aca="false">IF($AT285=1,$P285+(1000-ROW())/1000000,0)</f>
        <v>0</v>
      </c>
    </row>
    <row r="286" customFormat="false" ht="15" hidden="false" customHeight="false" outlineLevel="0" collapsed="false">
      <c r="AT286" s="26" t="n">
        <f aca="false">IF($D286="",0,IF(OR(StratFilter="All Loans",$E286=StratFilter),1,0))</f>
        <v>0</v>
      </c>
      <c r="AU286" s="18" t="str">
        <f aca="false">IF($D286="","",IFERROR(VLOOKUP(TRIM($K286),PropTypeMap,2,FALSE()),"Unmapped"))</f>
        <v/>
      </c>
      <c r="AV286" s="21" t="str">
        <f aca="false">IF($D286="","",IFERROR(VLOOKUP($J286,RegionMap,2,FALSE()),"Unmapped"))</f>
        <v/>
      </c>
      <c r="AW286" s="21" t="str">
        <f aca="false">IF($D286="","",IF($AC286="SOFR","Floating (SOFR)","Fixed / All-In"))</f>
        <v/>
      </c>
      <c r="AX286" s="24" t="str">
        <f aca="false">IF($D286="","",$AD286+SOFR)</f>
        <v/>
      </c>
      <c r="AY286" s="21" t="str">
        <f aca="false">IF($D286="","",IF($AF286="Waived","Waived",IF(ISNUMBER($AF286),IF($AF286&gt;AsOfDate,"In Place","Expired"),"None Reported")))</f>
        <v/>
      </c>
      <c r="AZ286" s="21" t="str">
        <f aca="false">IF($D286="","",IF(ISNUMBER($AG286),IF($AG286=0,"None",$AG286&amp;" Months"),IF($AG286="","None Reported",$AG286)))</f>
        <v/>
      </c>
      <c r="BA286" s="18" t="str">
        <f aca="false">IF($D286="","",IF($AK286="","Unlevered",$AK286))</f>
        <v/>
      </c>
      <c r="BB286" s="22" t="str">
        <f aca="false">IF($D286="","",SUM($AL286,$AO286))</f>
        <v/>
      </c>
      <c r="BC286" s="23" t="str">
        <f aca="false">IF($D286="","",IF($P286&gt;0,$BB286/$P286,0))</f>
        <v/>
      </c>
      <c r="BD286" s="25" t="str">
        <f aca="false">IF($D286="","",(AsOfDate-$AH286)/DaysPerMonth)</f>
        <v/>
      </c>
      <c r="BE286" s="25" t="str">
        <f aca="false">IF($D286="","",($AI286-AsOfDate)/DaysPerMonth)</f>
        <v/>
      </c>
      <c r="BF286" s="25" t="str">
        <f aca="false">IF($D286="","",($AJ286-AsOfDate)/DaysPerMonth)</f>
        <v/>
      </c>
      <c r="BG286" s="25" t="str">
        <f aca="false">IF($D286="","",MAX(0,$BE286))</f>
        <v/>
      </c>
      <c r="BH286" s="25" t="str">
        <f aca="false">IF($D286="","",MAX(0,$BF286))</f>
        <v/>
      </c>
      <c r="BI286" s="67" t="str">
        <f aca="false">IF($D286="","",YEAR($AI286))</f>
        <v/>
      </c>
      <c r="BJ286" s="67" t="str">
        <f aca="false">IF($D286="","",YEAR($AJ286))</f>
        <v/>
      </c>
      <c r="BK286" s="67" t="str">
        <f aca="false">IF($D286="","",YEAR($AH286))</f>
        <v/>
      </c>
      <c r="BM286" s="26" t="n">
        <f aca="false">IF($AT286=1,$P286+(1000-ROW())/1000000,0)</f>
        <v>0</v>
      </c>
    </row>
    <row r="287" customFormat="false" ht="15" hidden="false" customHeight="false" outlineLevel="0" collapsed="false">
      <c r="AT287" s="26" t="n">
        <f aca="false">IF($D287="",0,IF(OR(StratFilter="All Loans",$E287=StratFilter),1,0))</f>
        <v>0</v>
      </c>
      <c r="AU287" s="18" t="str">
        <f aca="false">IF($D287="","",IFERROR(VLOOKUP(TRIM($K287),PropTypeMap,2,FALSE()),"Unmapped"))</f>
        <v/>
      </c>
      <c r="AV287" s="21" t="str">
        <f aca="false">IF($D287="","",IFERROR(VLOOKUP($J287,RegionMap,2,FALSE()),"Unmapped"))</f>
        <v/>
      </c>
      <c r="AW287" s="21" t="str">
        <f aca="false">IF($D287="","",IF($AC287="SOFR","Floating (SOFR)","Fixed / All-In"))</f>
        <v/>
      </c>
      <c r="AX287" s="24" t="str">
        <f aca="false">IF($D287="","",$AD287+SOFR)</f>
        <v/>
      </c>
      <c r="AY287" s="21" t="str">
        <f aca="false">IF($D287="","",IF($AF287="Waived","Waived",IF(ISNUMBER($AF287),IF($AF287&gt;AsOfDate,"In Place","Expired"),"None Reported")))</f>
        <v/>
      </c>
      <c r="AZ287" s="21" t="str">
        <f aca="false">IF($D287="","",IF(ISNUMBER($AG287),IF($AG287=0,"None",$AG287&amp;" Months"),IF($AG287="","None Reported",$AG287)))</f>
        <v/>
      </c>
      <c r="BA287" s="18" t="str">
        <f aca="false">IF($D287="","",IF($AK287="","Unlevered",$AK287))</f>
        <v/>
      </c>
      <c r="BB287" s="22" t="str">
        <f aca="false">IF($D287="","",SUM($AL287,$AO287))</f>
        <v/>
      </c>
      <c r="BC287" s="23" t="str">
        <f aca="false">IF($D287="","",IF($P287&gt;0,$BB287/$P287,0))</f>
        <v/>
      </c>
      <c r="BD287" s="25" t="str">
        <f aca="false">IF($D287="","",(AsOfDate-$AH287)/DaysPerMonth)</f>
        <v/>
      </c>
      <c r="BE287" s="25" t="str">
        <f aca="false">IF($D287="","",($AI287-AsOfDate)/DaysPerMonth)</f>
        <v/>
      </c>
      <c r="BF287" s="25" t="str">
        <f aca="false">IF($D287="","",($AJ287-AsOfDate)/DaysPerMonth)</f>
        <v/>
      </c>
      <c r="BG287" s="25" t="str">
        <f aca="false">IF($D287="","",MAX(0,$BE287))</f>
        <v/>
      </c>
      <c r="BH287" s="25" t="str">
        <f aca="false">IF($D287="","",MAX(0,$BF287))</f>
        <v/>
      </c>
      <c r="BI287" s="67" t="str">
        <f aca="false">IF($D287="","",YEAR($AI287))</f>
        <v/>
      </c>
      <c r="BJ287" s="67" t="str">
        <f aca="false">IF($D287="","",YEAR($AJ287))</f>
        <v/>
      </c>
      <c r="BK287" s="67" t="str">
        <f aca="false">IF($D287="","",YEAR($AH287))</f>
        <v/>
      </c>
      <c r="BM287" s="26" t="n">
        <f aca="false">IF($AT287=1,$P287+(1000-ROW())/1000000,0)</f>
        <v>0</v>
      </c>
    </row>
    <row r="288" customFormat="false" ht="15" hidden="false" customHeight="false" outlineLevel="0" collapsed="false">
      <c r="AT288" s="26" t="n">
        <f aca="false">IF($D288="",0,IF(OR(StratFilter="All Loans",$E288=StratFilter),1,0))</f>
        <v>0</v>
      </c>
      <c r="AU288" s="18" t="str">
        <f aca="false">IF($D288="","",IFERROR(VLOOKUP(TRIM($K288),PropTypeMap,2,FALSE()),"Unmapped"))</f>
        <v/>
      </c>
      <c r="AV288" s="21" t="str">
        <f aca="false">IF($D288="","",IFERROR(VLOOKUP($J288,RegionMap,2,FALSE()),"Unmapped"))</f>
        <v/>
      </c>
      <c r="AW288" s="21" t="str">
        <f aca="false">IF($D288="","",IF($AC288="SOFR","Floating (SOFR)","Fixed / All-In"))</f>
        <v/>
      </c>
      <c r="AX288" s="24" t="str">
        <f aca="false">IF($D288="","",$AD288+SOFR)</f>
        <v/>
      </c>
      <c r="AY288" s="21" t="str">
        <f aca="false">IF($D288="","",IF($AF288="Waived","Waived",IF(ISNUMBER($AF288),IF($AF288&gt;AsOfDate,"In Place","Expired"),"None Reported")))</f>
        <v/>
      </c>
      <c r="AZ288" s="21" t="str">
        <f aca="false">IF($D288="","",IF(ISNUMBER($AG288),IF($AG288=0,"None",$AG288&amp;" Months"),IF($AG288="","None Reported",$AG288)))</f>
        <v/>
      </c>
      <c r="BA288" s="18" t="str">
        <f aca="false">IF($D288="","",IF($AK288="","Unlevered",$AK288))</f>
        <v/>
      </c>
      <c r="BB288" s="22" t="str">
        <f aca="false">IF($D288="","",SUM($AL288,$AO288))</f>
        <v/>
      </c>
      <c r="BC288" s="23" t="str">
        <f aca="false">IF($D288="","",IF($P288&gt;0,$BB288/$P288,0))</f>
        <v/>
      </c>
      <c r="BD288" s="25" t="str">
        <f aca="false">IF($D288="","",(AsOfDate-$AH288)/DaysPerMonth)</f>
        <v/>
      </c>
      <c r="BE288" s="25" t="str">
        <f aca="false">IF($D288="","",($AI288-AsOfDate)/DaysPerMonth)</f>
        <v/>
      </c>
      <c r="BF288" s="25" t="str">
        <f aca="false">IF($D288="","",($AJ288-AsOfDate)/DaysPerMonth)</f>
        <v/>
      </c>
      <c r="BG288" s="25" t="str">
        <f aca="false">IF($D288="","",MAX(0,$BE288))</f>
        <v/>
      </c>
      <c r="BH288" s="25" t="str">
        <f aca="false">IF($D288="","",MAX(0,$BF288))</f>
        <v/>
      </c>
      <c r="BI288" s="67" t="str">
        <f aca="false">IF($D288="","",YEAR($AI288))</f>
        <v/>
      </c>
      <c r="BJ288" s="67" t="str">
        <f aca="false">IF($D288="","",YEAR($AJ288))</f>
        <v/>
      </c>
      <c r="BK288" s="67" t="str">
        <f aca="false">IF($D288="","",YEAR($AH288))</f>
        <v/>
      </c>
      <c r="BM288" s="26" t="n">
        <f aca="false">IF($AT288=1,$P288+(1000-ROW())/1000000,0)</f>
        <v>0</v>
      </c>
    </row>
    <row r="289" customFormat="false" ht="15" hidden="false" customHeight="false" outlineLevel="0" collapsed="false">
      <c r="AT289" s="26" t="n">
        <f aca="false">IF($D289="",0,IF(OR(StratFilter="All Loans",$E289=StratFilter),1,0))</f>
        <v>0</v>
      </c>
      <c r="AU289" s="18" t="str">
        <f aca="false">IF($D289="","",IFERROR(VLOOKUP(TRIM($K289),PropTypeMap,2,FALSE()),"Unmapped"))</f>
        <v/>
      </c>
      <c r="AV289" s="21" t="str">
        <f aca="false">IF($D289="","",IFERROR(VLOOKUP($J289,RegionMap,2,FALSE()),"Unmapped"))</f>
        <v/>
      </c>
      <c r="AW289" s="21" t="str">
        <f aca="false">IF($D289="","",IF($AC289="SOFR","Floating (SOFR)","Fixed / All-In"))</f>
        <v/>
      </c>
      <c r="AX289" s="24" t="str">
        <f aca="false">IF($D289="","",$AD289+SOFR)</f>
        <v/>
      </c>
      <c r="AY289" s="21" t="str">
        <f aca="false">IF($D289="","",IF($AF289="Waived","Waived",IF(ISNUMBER($AF289),IF($AF289&gt;AsOfDate,"In Place","Expired"),"None Reported")))</f>
        <v/>
      </c>
      <c r="AZ289" s="21" t="str">
        <f aca="false">IF($D289="","",IF(ISNUMBER($AG289),IF($AG289=0,"None",$AG289&amp;" Months"),IF($AG289="","None Reported",$AG289)))</f>
        <v/>
      </c>
      <c r="BA289" s="18" t="str">
        <f aca="false">IF($D289="","",IF($AK289="","Unlevered",$AK289))</f>
        <v/>
      </c>
      <c r="BB289" s="22" t="str">
        <f aca="false">IF($D289="","",SUM($AL289,$AO289))</f>
        <v/>
      </c>
      <c r="BC289" s="23" t="str">
        <f aca="false">IF($D289="","",IF($P289&gt;0,$BB289/$P289,0))</f>
        <v/>
      </c>
      <c r="BD289" s="25" t="str">
        <f aca="false">IF($D289="","",(AsOfDate-$AH289)/DaysPerMonth)</f>
        <v/>
      </c>
      <c r="BE289" s="25" t="str">
        <f aca="false">IF($D289="","",($AI289-AsOfDate)/DaysPerMonth)</f>
        <v/>
      </c>
      <c r="BF289" s="25" t="str">
        <f aca="false">IF($D289="","",($AJ289-AsOfDate)/DaysPerMonth)</f>
        <v/>
      </c>
      <c r="BG289" s="25" t="str">
        <f aca="false">IF($D289="","",MAX(0,$BE289))</f>
        <v/>
      </c>
      <c r="BH289" s="25" t="str">
        <f aca="false">IF($D289="","",MAX(0,$BF289))</f>
        <v/>
      </c>
      <c r="BI289" s="67" t="str">
        <f aca="false">IF($D289="","",YEAR($AI289))</f>
        <v/>
      </c>
      <c r="BJ289" s="67" t="str">
        <f aca="false">IF($D289="","",YEAR($AJ289))</f>
        <v/>
      </c>
      <c r="BK289" s="67" t="str">
        <f aca="false">IF($D289="","",YEAR($AH289))</f>
        <v/>
      </c>
      <c r="BM289" s="26" t="n">
        <f aca="false">IF($AT289=1,$P289+(1000-ROW())/1000000,0)</f>
        <v>0</v>
      </c>
    </row>
    <row r="290" customFormat="false" ht="15" hidden="false" customHeight="false" outlineLevel="0" collapsed="false">
      <c r="AT290" s="26" t="n">
        <f aca="false">IF($D290="",0,IF(OR(StratFilter="All Loans",$E290=StratFilter),1,0))</f>
        <v>0</v>
      </c>
      <c r="AU290" s="18" t="str">
        <f aca="false">IF($D290="","",IFERROR(VLOOKUP(TRIM($K290),PropTypeMap,2,FALSE()),"Unmapped"))</f>
        <v/>
      </c>
      <c r="AV290" s="21" t="str">
        <f aca="false">IF($D290="","",IFERROR(VLOOKUP($J290,RegionMap,2,FALSE()),"Unmapped"))</f>
        <v/>
      </c>
      <c r="AW290" s="21" t="str">
        <f aca="false">IF($D290="","",IF($AC290="SOFR","Floating (SOFR)","Fixed / All-In"))</f>
        <v/>
      </c>
      <c r="AX290" s="24" t="str">
        <f aca="false">IF($D290="","",$AD290+SOFR)</f>
        <v/>
      </c>
      <c r="AY290" s="21" t="str">
        <f aca="false">IF($D290="","",IF($AF290="Waived","Waived",IF(ISNUMBER($AF290),IF($AF290&gt;AsOfDate,"In Place","Expired"),"None Reported")))</f>
        <v/>
      </c>
      <c r="AZ290" s="21" t="str">
        <f aca="false">IF($D290="","",IF(ISNUMBER($AG290),IF($AG290=0,"None",$AG290&amp;" Months"),IF($AG290="","None Reported",$AG290)))</f>
        <v/>
      </c>
      <c r="BA290" s="18" t="str">
        <f aca="false">IF($D290="","",IF($AK290="","Unlevered",$AK290))</f>
        <v/>
      </c>
      <c r="BB290" s="22" t="str">
        <f aca="false">IF($D290="","",SUM($AL290,$AO290))</f>
        <v/>
      </c>
      <c r="BC290" s="23" t="str">
        <f aca="false">IF($D290="","",IF($P290&gt;0,$BB290/$P290,0))</f>
        <v/>
      </c>
      <c r="BD290" s="25" t="str">
        <f aca="false">IF($D290="","",(AsOfDate-$AH290)/DaysPerMonth)</f>
        <v/>
      </c>
      <c r="BE290" s="25" t="str">
        <f aca="false">IF($D290="","",($AI290-AsOfDate)/DaysPerMonth)</f>
        <v/>
      </c>
      <c r="BF290" s="25" t="str">
        <f aca="false">IF($D290="","",($AJ290-AsOfDate)/DaysPerMonth)</f>
        <v/>
      </c>
      <c r="BG290" s="25" t="str">
        <f aca="false">IF($D290="","",MAX(0,$BE290))</f>
        <v/>
      </c>
      <c r="BH290" s="25" t="str">
        <f aca="false">IF($D290="","",MAX(0,$BF290))</f>
        <v/>
      </c>
      <c r="BI290" s="67" t="str">
        <f aca="false">IF($D290="","",YEAR($AI290))</f>
        <v/>
      </c>
      <c r="BJ290" s="67" t="str">
        <f aca="false">IF($D290="","",YEAR($AJ290))</f>
        <v/>
      </c>
      <c r="BK290" s="67" t="str">
        <f aca="false">IF($D290="","",YEAR($AH290))</f>
        <v/>
      </c>
      <c r="BM290" s="26" t="n">
        <f aca="false">IF($AT290=1,$P290+(1000-ROW())/1000000,0)</f>
        <v>0</v>
      </c>
    </row>
    <row r="291" customFormat="false" ht="15" hidden="false" customHeight="false" outlineLevel="0" collapsed="false">
      <c r="AT291" s="26" t="n">
        <f aca="false">IF($D291="",0,IF(OR(StratFilter="All Loans",$E291=StratFilter),1,0))</f>
        <v>0</v>
      </c>
      <c r="AU291" s="18" t="str">
        <f aca="false">IF($D291="","",IFERROR(VLOOKUP(TRIM($K291),PropTypeMap,2,FALSE()),"Unmapped"))</f>
        <v/>
      </c>
      <c r="AV291" s="21" t="str">
        <f aca="false">IF($D291="","",IFERROR(VLOOKUP($J291,RegionMap,2,FALSE()),"Unmapped"))</f>
        <v/>
      </c>
      <c r="AW291" s="21" t="str">
        <f aca="false">IF($D291="","",IF($AC291="SOFR","Floating (SOFR)","Fixed / All-In"))</f>
        <v/>
      </c>
      <c r="AX291" s="24" t="str">
        <f aca="false">IF($D291="","",$AD291+SOFR)</f>
        <v/>
      </c>
      <c r="AY291" s="21" t="str">
        <f aca="false">IF($D291="","",IF($AF291="Waived","Waived",IF(ISNUMBER($AF291),IF($AF291&gt;AsOfDate,"In Place","Expired"),"None Reported")))</f>
        <v/>
      </c>
      <c r="AZ291" s="21" t="str">
        <f aca="false">IF($D291="","",IF(ISNUMBER($AG291),IF($AG291=0,"None",$AG291&amp;" Months"),IF($AG291="","None Reported",$AG291)))</f>
        <v/>
      </c>
      <c r="BA291" s="18" t="str">
        <f aca="false">IF($D291="","",IF($AK291="","Unlevered",$AK291))</f>
        <v/>
      </c>
      <c r="BB291" s="22" t="str">
        <f aca="false">IF($D291="","",SUM($AL291,$AO291))</f>
        <v/>
      </c>
      <c r="BC291" s="23" t="str">
        <f aca="false">IF($D291="","",IF($P291&gt;0,$BB291/$P291,0))</f>
        <v/>
      </c>
      <c r="BD291" s="25" t="str">
        <f aca="false">IF($D291="","",(AsOfDate-$AH291)/DaysPerMonth)</f>
        <v/>
      </c>
      <c r="BE291" s="25" t="str">
        <f aca="false">IF($D291="","",($AI291-AsOfDate)/DaysPerMonth)</f>
        <v/>
      </c>
      <c r="BF291" s="25" t="str">
        <f aca="false">IF($D291="","",($AJ291-AsOfDate)/DaysPerMonth)</f>
        <v/>
      </c>
      <c r="BG291" s="25" t="str">
        <f aca="false">IF($D291="","",MAX(0,$BE291))</f>
        <v/>
      </c>
      <c r="BH291" s="25" t="str">
        <f aca="false">IF($D291="","",MAX(0,$BF291))</f>
        <v/>
      </c>
      <c r="BI291" s="67" t="str">
        <f aca="false">IF($D291="","",YEAR($AI291))</f>
        <v/>
      </c>
      <c r="BJ291" s="67" t="str">
        <f aca="false">IF($D291="","",YEAR($AJ291))</f>
        <v/>
      </c>
      <c r="BK291" s="67" t="str">
        <f aca="false">IF($D291="","",YEAR($AH291))</f>
        <v/>
      </c>
      <c r="BM291" s="26" t="n">
        <f aca="false">IF($AT291=1,$P291+(1000-ROW())/1000000,0)</f>
        <v>0</v>
      </c>
    </row>
    <row r="292" customFormat="false" ht="15" hidden="false" customHeight="false" outlineLevel="0" collapsed="false">
      <c r="AT292" s="26" t="n">
        <f aca="false">IF($D292="",0,IF(OR(StratFilter="All Loans",$E292=StratFilter),1,0))</f>
        <v>0</v>
      </c>
      <c r="AU292" s="18" t="str">
        <f aca="false">IF($D292="","",IFERROR(VLOOKUP(TRIM($K292),PropTypeMap,2,FALSE()),"Unmapped"))</f>
        <v/>
      </c>
      <c r="AV292" s="21" t="str">
        <f aca="false">IF($D292="","",IFERROR(VLOOKUP($J292,RegionMap,2,FALSE()),"Unmapped"))</f>
        <v/>
      </c>
      <c r="AW292" s="21" t="str">
        <f aca="false">IF($D292="","",IF($AC292="SOFR","Floating (SOFR)","Fixed / All-In"))</f>
        <v/>
      </c>
      <c r="AX292" s="24" t="str">
        <f aca="false">IF($D292="","",$AD292+SOFR)</f>
        <v/>
      </c>
      <c r="AY292" s="21" t="str">
        <f aca="false">IF($D292="","",IF($AF292="Waived","Waived",IF(ISNUMBER($AF292),IF($AF292&gt;AsOfDate,"In Place","Expired"),"None Reported")))</f>
        <v/>
      </c>
      <c r="AZ292" s="21" t="str">
        <f aca="false">IF($D292="","",IF(ISNUMBER($AG292),IF($AG292=0,"None",$AG292&amp;" Months"),IF($AG292="","None Reported",$AG292)))</f>
        <v/>
      </c>
      <c r="BA292" s="18" t="str">
        <f aca="false">IF($D292="","",IF($AK292="","Unlevered",$AK292))</f>
        <v/>
      </c>
      <c r="BB292" s="22" t="str">
        <f aca="false">IF($D292="","",SUM($AL292,$AO292))</f>
        <v/>
      </c>
      <c r="BC292" s="23" t="str">
        <f aca="false">IF($D292="","",IF($P292&gt;0,$BB292/$P292,0))</f>
        <v/>
      </c>
      <c r="BD292" s="25" t="str">
        <f aca="false">IF($D292="","",(AsOfDate-$AH292)/DaysPerMonth)</f>
        <v/>
      </c>
      <c r="BE292" s="25" t="str">
        <f aca="false">IF($D292="","",($AI292-AsOfDate)/DaysPerMonth)</f>
        <v/>
      </c>
      <c r="BF292" s="25" t="str">
        <f aca="false">IF($D292="","",($AJ292-AsOfDate)/DaysPerMonth)</f>
        <v/>
      </c>
      <c r="BG292" s="25" t="str">
        <f aca="false">IF($D292="","",MAX(0,$BE292))</f>
        <v/>
      </c>
      <c r="BH292" s="25" t="str">
        <f aca="false">IF($D292="","",MAX(0,$BF292))</f>
        <v/>
      </c>
      <c r="BI292" s="67" t="str">
        <f aca="false">IF($D292="","",YEAR($AI292))</f>
        <v/>
      </c>
      <c r="BJ292" s="67" t="str">
        <f aca="false">IF($D292="","",YEAR($AJ292))</f>
        <v/>
      </c>
      <c r="BK292" s="67" t="str">
        <f aca="false">IF($D292="","",YEAR($AH292))</f>
        <v/>
      </c>
      <c r="BM292" s="26" t="n">
        <f aca="false">IF($AT292=1,$P292+(1000-ROW())/1000000,0)</f>
        <v>0</v>
      </c>
    </row>
    <row r="293" customFormat="false" ht="15" hidden="false" customHeight="false" outlineLevel="0" collapsed="false">
      <c r="AT293" s="26" t="n">
        <f aca="false">IF($D293="",0,IF(OR(StratFilter="All Loans",$E293=StratFilter),1,0))</f>
        <v>0</v>
      </c>
      <c r="AU293" s="18" t="str">
        <f aca="false">IF($D293="","",IFERROR(VLOOKUP(TRIM($K293),PropTypeMap,2,FALSE()),"Unmapped"))</f>
        <v/>
      </c>
      <c r="AV293" s="21" t="str">
        <f aca="false">IF($D293="","",IFERROR(VLOOKUP($J293,RegionMap,2,FALSE()),"Unmapped"))</f>
        <v/>
      </c>
      <c r="AW293" s="21" t="str">
        <f aca="false">IF($D293="","",IF($AC293="SOFR","Floating (SOFR)","Fixed / All-In"))</f>
        <v/>
      </c>
      <c r="AX293" s="24" t="str">
        <f aca="false">IF($D293="","",$AD293+SOFR)</f>
        <v/>
      </c>
      <c r="AY293" s="21" t="str">
        <f aca="false">IF($D293="","",IF($AF293="Waived","Waived",IF(ISNUMBER($AF293),IF($AF293&gt;AsOfDate,"In Place","Expired"),"None Reported")))</f>
        <v/>
      </c>
      <c r="AZ293" s="21" t="str">
        <f aca="false">IF($D293="","",IF(ISNUMBER($AG293),IF($AG293=0,"None",$AG293&amp;" Months"),IF($AG293="","None Reported",$AG293)))</f>
        <v/>
      </c>
      <c r="BA293" s="18" t="str">
        <f aca="false">IF($D293="","",IF($AK293="","Unlevered",$AK293))</f>
        <v/>
      </c>
      <c r="BB293" s="22" t="str">
        <f aca="false">IF($D293="","",SUM($AL293,$AO293))</f>
        <v/>
      </c>
      <c r="BC293" s="23" t="str">
        <f aca="false">IF($D293="","",IF($P293&gt;0,$BB293/$P293,0))</f>
        <v/>
      </c>
      <c r="BD293" s="25" t="str">
        <f aca="false">IF($D293="","",(AsOfDate-$AH293)/DaysPerMonth)</f>
        <v/>
      </c>
      <c r="BE293" s="25" t="str">
        <f aca="false">IF($D293="","",($AI293-AsOfDate)/DaysPerMonth)</f>
        <v/>
      </c>
      <c r="BF293" s="25" t="str">
        <f aca="false">IF($D293="","",($AJ293-AsOfDate)/DaysPerMonth)</f>
        <v/>
      </c>
      <c r="BG293" s="25" t="str">
        <f aca="false">IF($D293="","",MAX(0,$BE293))</f>
        <v/>
      </c>
      <c r="BH293" s="25" t="str">
        <f aca="false">IF($D293="","",MAX(0,$BF293))</f>
        <v/>
      </c>
      <c r="BI293" s="67" t="str">
        <f aca="false">IF($D293="","",YEAR($AI293))</f>
        <v/>
      </c>
      <c r="BJ293" s="67" t="str">
        <f aca="false">IF($D293="","",YEAR($AJ293))</f>
        <v/>
      </c>
      <c r="BK293" s="67" t="str">
        <f aca="false">IF($D293="","",YEAR($AH293))</f>
        <v/>
      </c>
      <c r="BM293" s="26" t="n">
        <f aca="false">IF($AT293=1,$P293+(1000-ROW())/1000000,0)</f>
        <v>0</v>
      </c>
    </row>
    <row r="294" customFormat="false" ht="15" hidden="false" customHeight="false" outlineLevel="0" collapsed="false">
      <c r="AT294" s="26" t="n">
        <f aca="false">IF($D294="",0,IF(OR(StratFilter="All Loans",$E294=StratFilter),1,0))</f>
        <v>0</v>
      </c>
      <c r="AU294" s="18" t="str">
        <f aca="false">IF($D294="","",IFERROR(VLOOKUP(TRIM($K294),PropTypeMap,2,FALSE()),"Unmapped"))</f>
        <v/>
      </c>
      <c r="AV294" s="21" t="str">
        <f aca="false">IF($D294="","",IFERROR(VLOOKUP($J294,RegionMap,2,FALSE()),"Unmapped"))</f>
        <v/>
      </c>
      <c r="AW294" s="21" t="str">
        <f aca="false">IF($D294="","",IF($AC294="SOFR","Floating (SOFR)","Fixed / All-In"))</f>
        <v/>
      </c>
      <c r="AX294" s="24" t="str">
        <f aca="false">IF($D294="","",$AD294+SOFR)</f>
        <v/>
      </c>
      <c r="AY294" s="21" t="str">
        <f aca="false">IF($D294="","",IF($AF294="Waived","Waived",IF(ISNUMBER($AF294),IF($AF294&gt;AsOfDate,"In Place","Expired"),"None Reported")))</f>
        <v/>
      </c>
      <c r="AZ294" s="21" t="str">
        <f aca="false">IF($D294="","",IF(ISNUMBER($AG294),IF($AG294=0,"None",$AG294&amp;" Months"),IF($AG294="","None Reported",$AG294)))</f>
        <v/>
      </c>
      <c r="BA294" s="18" t="str">
        <f aca="false">IF($D294="","",IF($AK294="","Unlevered",$AK294))</f>
        <v/>
      </c>
      <c r="BB294" s="22" t="str">
        <f aca="false">IF($D294="","",SUM($AL294,$AO294))</f>
        <v/>
      </c>
      <c r="BC294" s="23" t="str">
        <f aca="false">IF($D294="","",IF($P294&gt;0,$BB294/$P294,0))</f>
        <v/>
      </c>
      <c r="BD294" s="25" t="str">
        <f aca="false">IF($D294="","",(AsOfDate-$AH294)/DaysPerMonth)</f>
        <v/>
      </c>
      <c r="BE294" s="25" t="str">
        <f aca="false">IF($D294="","",($AI294-AsOfDate)/DaysPerMonth)</f>
        <v/>
      </c>
      <c r="BF294" s="25" t="str">
        <f aca="false">IF($D294="","",($AJ294-AsOfDate)/DaysPerMonth)</f>
        <v/>
      </c>
      <c r="BG294" s="25" t="str">
        <f aca="false">IF($D294="","",MAX(0,$BE294))</f>
        <v/>
      </c>
      <c r="BH294" s="25" t="str">
        <f aca="false">IF($D294="","",MAX(0,$BF294))</f>
        <v/>
      </c>
      <c r="BI294" s="67" t="str">
        <f aca="false">IF($D294="","",YEAR($AI294))</f>
        <v/>
      </c>
      <c r="BJ294" s="67" t="str">
        <f aca="false">IF($D294="","",YEAR($AJ294))</f>
        <v/>
      </c>
      <c r="BK294" s="67" t="str">
        <f aca="false">IF($D294="","",YEAR($AH294))</f>
        <v/>
      </c>
      <c r="BM294" s="26" t="n">
        <f aca="false">IF($AT294=1,$P294+(1000-ROW())/1000000,0)</f>
        <v>0</v>
      </c>
    </row>
    <row r="295" customFormat="false" ht="15" hidden="false" customHeight="false" outlineLevel="0" collapsed="false">
      <c r="AT295" s="26" t="n">
        <f aca="false">IF($D295="",0,IF(OR(StratFilter="All Loans",$E295=StratFilter),1,0))</f>
        <v>0</v>
      </c>
      <c r="AU295" s="18" t="str">
        <f aca="false">IF($D295="","",IFERROR(VLOOKUP(TRIM($K295),PropTypeMap,2,FALSE()),"Unmapped"))</f>
        <v/>
      </c>
      <c r="AV295" s="21" t="str">
        <f aca="false">IF($D295="","",IFERROR(VLOOKUP($J295,RegionMap,2,FALSE()),"Unmapped"))</f>
        <v/>
      </c>
      <c r="AW295" s="21" t="str">
        <f aca="false">IF($D295="","",IF($AC295="SOFR","Floating (SOFR)","Fixed / All-In"))</f>
        <v/>
      </c>
      <c r="AX295" s="24" t="str">
        <f aca="false">IF($D295="","",$AD295+SOFR)</f>
        <v/>
      </c>
      <c r="AY295" s="21" t="str">
        <f aca="false">IF($D295="","",IF($AF295="Waived","Waived",IF(ISNUMBER($AF295),IF($AF295&gt;AsOfDate,"In Place","Expired"),"None Reported")))</f>
        <v/>
      </c>
      <c r="AZ295" s="21" t="str">
        <f aca="false">IF($D295="","",IF(ISNUMBER($AG295),IF($AG295=0,"None",$AG295&amp;" Months"),IF($AG295="","None Reported",$AG295)))</f>
        <v/>
      </c>
      <c r="BA295" s="18" t="str">
        <f aca="false">IF($D295="","",IF($AK295="","Unlevered",$AK295))</f>
        <v/>
      </c>
      <c r="BB295" s="22" t="str">
        <f aca="false">IF($D295="","",SUM($AL295,$AO295))</f>
        <v/>
      </c>
      <c r="BC295" s="23" t="str">
        <f aca="false">IF($D295="","",IF($P295&gt;0,$BB295/$P295,0))</f>
        <v/>
      </c>
      <c r="BD295" s="25" t="str">
        <f aca="false">IF($D295="","",(AsOfDate-$AH295)/DaysPerMonth)</f>
        <v/>
      </c>
      <c r="BE295" s="25" t="str">
        <f aca="false">IF($D295="","",($AI295-AsOfDate)/DaysPerMonth)</f>
        <v/>
      </c>
      <c r="BF295" s="25" t="str">
        <f aca="false">IF($D295="","",($AJ295-AsOfDate)/DaysPerMonth)</f>
        <v/>
      </c>
      <c r="BG295" s="25" t="str">
        <f aca="false">IF($D295="","",MAX(0,$BE295))</f>
        <v/>
      </c>
      <c r="BH295" s="25" t="str">
        <f aca="false">IF($D295="","",MAX(0,$BF295))</f>
        <v/>
      </c>
      <c r="BI295" s="67" t="str">
        <f aca="false">IF($D295="","",YEAR($AI295))</f>
        <v/>
      </c>
      <c r="BJ295" s="67" t="str">
        <f aca="false">IF($D295="","",YEAR($AJ295))</f>
        <v/>
      </c>
      <c r="BK295" s="67" t="str">
        <f aca="false">IF($D295="","",YEAR($AH295))</f>
        <v/>
      </c>
      <c r="BM295" s="26" t="n">
        <f aca="false">IF($AT295=1,$P295+(1000-ROW())/1000000,0)</f>
        <v>0</v>
      </c>
    </row>
    <row r="296" customFormat="false" ht="15" hidden="false" customHeight="false" outlineLevel="0" collapsed="false">
      <c r="AT296" s="26" t="n">
        <f aca="false">IF($D296="",0,IF(OR(StratFilter="All Loans",$E296=StratFilter),1,0))</f>
        <v>0</v>
      </c>
      <c r="AU296" s="18" t="str">
        <f aca="false">IF($D296="","",IFERROR(VLOOKUP(TRIM($K296),PropTypeMap,2,FALSE()),"Unmapped"))</f>
        <v/>
      </c>
      <c r="AV296" s="21" t="str">
        <f aca="false">IF($D296="","",IFERROR(VLOOKUP($J296,RegionMap,2,FALSE()),"Unmapped"))</f>
        <v/>
      </c>
      <c r="AW296" s="21" t="str">
        <f aca="false">IF($D296="","",IF($AC296="SOFR","Floating (SOFR)","Fixed / All-In"))</f>
        <v/>
      </c>
      <c r="AX296" s="24" t="str">
        <f aca="false">IF($D296="","",$AD296+SOFR)</f>
        <v/>
      </c>
      <c r="AY296" s="21" t="str">
        <f aca="false">IF($D296="","",IF($AF296="Waived","Waived",IF(ISNUMBER($AF296),IF($AF296&gt;AsOfDate,"In Place","Expired"),"None Reported")))</f>
        <v/>
      </c>
      <c r="AZ296" s="21" t="str">
        <f aca="false">IF($D296="","",IF(ISNUMBER($AG296),IF($AG296=0,"None",$AG296&amp;" Months"),IF($AG296="","None Reported",$AG296)))</f>
        <v/>
      </c>
      <c r="BA296" s="18" t="str">
        <f aca="false">IF($D296="","",IF($AK296="","Unlevered",$AK296))</f>
        <v/>
      </c>
      <c r="BB296" s="22" t="str">
        <f aca="false">IF($D296="","",SUM($AL296,$AO296))</f>
        <v/>
      </c>
      <c r="BC296" s="23" t="str">
        <f aca="false">IF($D296="","",IF($P296&gt;0,$BB296/$P296,0))</f>
        <v/>
      </c>
      <c r="BD296" s="25" t="str">
        <f aca="false">IF($D296="","",(AsOfDate-$AH296)/DaysPerMonth)</f>
        <v/>
      </c>
      <c r="BE296" s="25" t="str">
        <f aca="false">IF($D296="","",($AI296-AsOfDate)/DaysPerMonth)</f>
        <v/>
      </c>
      <c r="BF296" s="25" t="str">
        <f aca="false">IF($D296="","",($AJ296-AsOfDate)/DaysPerMonth)</f>
        <v/>
      </c>
      <c r="BG296" s="25" t="str">
        <f aca="false">IF($D296="","",MAX(0,$BE296))</f>
        <v/>
      </c>
      <c r="BH296" s="25" t="str">
        <f aca="false">IF($D296="","",MAX(0,$BF296))</f>
        <v/>
      </c>
      <c r="BI296" s="67" t="str">
        <f aca="false">IF($D296="","",YEAR($AI296))</f>
        <v/>
      </c>
      <c r="BJ296" s="67" t="str">
        <f aca="false">IF($D296="","",YEAR($AJ296))</f>
        <v/>
      </c>
      <c r="BK296" s="67" t="str">
        <f aca="false">IF($D296="","",YEAR($AH296))</f>
        <v/>
      </c>
      <c r="BM296" s="26" t="n">
        <f aca="false">IF($AT296=1,$P296+(1000-ROW())/1000000,0)</f>
        <v>0</v>
      </c>
    </row>
    <row r="297" customFormat="false" ht="15" hidden="false" customHeight="false" outlineLevel="0" collapsed="false">
      <c r="AT297" s="26" t="n">
        <f aca="false">IF($D297="",0,IF(OR(StratFilter="All Loans",$E297=StratFilter),1,0))</f>
        <v>0</v>
      </c>
      <c r="AU297" s="18" t="str">
        <f aca="false">IF($D297="","",IFERROR(VLOOKUP(TRIM($K297),PropTypeMap,2,FALSE()),"Unmapped"))</f>
        <v/>
      </c>
      <c r="AV297" s="21" t="str">
        <f aca="false">IF($D297="","",IFERROR(VLOOKUP($J297,RegionMap,2,FALSE()),"Unmapped"))</f>
        <v/>
      </c>
      <c r="AW297" s="21" t="str">
        <f aca="false">IF($D297="","",IF($AC297="SOFR","Floating (SOFR)","Fixed / All-In"))</f>
        <v/>
      </c>
      <c r="AX297" s="24" t="str">
        <f aca="false">IF($D297="","",$AD297+SOFR)</f>
        <v/>
      </c>
      <c r="AY297" s="21" t="str">
        <f aca="false">IF($D297="","",IF($AF297="Waived","Waived",IF(ISNUMBER($AF297),IF($AF297&gt;AsOfDate,"In Place","Expired"),"None Reported")))</f>
        <v/>
      </c>
      <c r="AZ297" s="21" t="str">
        <f aca="false">IF($D297="","",IF(ISNUMBER($AG297),IF($AG297=0,"None",$AG297&amp;" Months"),IF($AG297="","None Reported",$AG297)))</f>
        <v/>
      </c>
      <c r="BA297" s="18" t="str">
        <f aca="false">IF($D297="","",IF($AK297="","Unlevered",$AK297))</f>
        <v/>
      </c>
      <c r="BB297" s="22" t="str">
        <f aca="false">IF($D297="","",SUM($AL297,$AO297))</f>
        <v/>
      </c>
      <c r="BC297" s="23" t="str">
        <f aca="false">IF($D297="","",IF($P297&gt;0,$BB297/$P297,0))</f>
        <v/>
      </c>
      <c r="BD297" s="25" t="str">
        <f aca="false">IF($D297="","",(AsOfDate-$AH297)/DaysPerMonth)</f>
        <v/>
      </c>
      <c r="BE297" s="25" t="str">
        <f aca="false">IF($D297="","",($AI297-AsOfDate)/DaysPerMonth)</f>
        <v/>
      </c>
      <c r="BF297" s="25" t="str">
        <f aca="false">IF($D297="","",($AJ297-AsOfDate)/DaysPerMonth)</f>
        <v/>
      </c>
      <c r="BG297" s="25" t="str">
        <f aca="false">IF($D297="","",MAX(0,$BE297))</f>
        <v/>
      </c>
      <c r="BH297" s="25" t="str">
        <f aca="false">IF($D297="","",MAX(0,$BF297))</f>
        <v/>
      </c>
      <c r="BI297" s="67" t="str">
        <f aca="false">IF($D297="","",YEAR($AI297))</f>
        <v/>
      </c>
      <c r="BJ297" s="67" t="str">
        <f aca="false">IF($D297="","",YEAR($AJ297))</f>
        <v/>
      </c>
      <c r="BK297" s="67" t="str">
        <f aca="false">IF($D297="","",YEAR($AH297))</f>
        <v/>
      </c>
      <c r="BM297" s="26" t="n">
        <f aca="false">IF($AT297=1,$P297+(1000-ROW())/1000000,0)</f>
        <v>0</v>
      </c>
    </row>
    <row r="298" customFormat="false" ht="15" hidden="false" customHeight="false" outlineLevel="0" collapsed="false">
      <c r="AT298" s="26" t="n">
        <f aca="false">IF($D298="",0,IF(OR(StratFilter="All Loans",$E298=StratFilter),1,0))</f>
        <v>0</v>
      </c>
      <c r="AU298" s="18" t="str">
        <f aca="false">IF($D298="","",IFERROR(VLOOKUP(TRIM($K298),PropTypeMap,2,FALSE()),"Unmapped"))</f>
        <v/>
      </c>
      <c r="AV298" s="21" t="str">
        <f aca="false">IF($D298="","",IFERROR(VLOOKUP($J298,RegionMap,2,FALSE()),"Unmapped"))</f>
        <v/>
      </c>
      <c r="AW298" s="21" t="str">
        <f aca="false">IF($D298="","",IF($AC298="SOFR","Floating (SOFR)","Fixed / All-In"))</f>
        <v/>
      </c>
      <c r="AX298" s="24" t="str">
        <f aca="false">IF($D298="","",$AD298+SOFR)</f>
        <v/>
      </c>
      <c r="AY298" s="21" t="str">
        <f aca="false">IF($D298="","",IF($AF298="Waived","Waived",IF(ISNUMBER($AF298),IF($AF298&gt;AsOfDate,"In Place","Expired"),"None Reported")))</f>
        <v/>
      </c>
      <c r="AZ298" s="21" t="str">
        <f aca="false">IF($D298="","",IF(ISNUMBER($AG298),IF($AG298=0,"None",$AG298&amp;" Months"),IF($AG298="","None Reported",$AG298)))</f>
        <v/>
      </c>
      <c r="BA298" s="18" t="str">
        <f aca="false">IF($D298="","",IF($AK298="","Unlevered",$AK298))</f>
        <v/>
      </c>
      <c r="BB298" s="22" t="str">
        <f aca="false">IF($D298="","",SUM($AL298,$AO298))</f>
        <v/>
      </c>
      <c r="BC298" s="23" t="str">
        <f aca="false">IF($D298="","",IF($P298&gt;0,$BB298/$P298,0))</f>
        <v/>
      </c>
      <c r="BD298" s="25" t="str">
        <f aca="false">IF($D298="","",(AsOfDate-$AH298)/DaysPerMonth)</f>
        <v/>
      </c>
      <c r="BE298" s="25" t="str">
        <f aca="false">IF($D298="","",($AI298-AsOfDate)/DaysPerMonth)</f>
        <v/>
      </c>
      <c r="BF298" s="25" t="str">
        <f aca="false">IF($D298="","",($AJ298-AsOfDate)/DaysPerMonth)</f>
        <v/>
      </c>
      <c r="BG298" s="25" t="str">
        <f aca="false">IF($D298="","",MAX(0,$BE298))</f>
        <v/>
      </c>
      <c r="BH298" s="25" t="str">
        <f aca="false">IF($D298="","",MAX(0,$BF298))</f>
        <v/>
      </c>
      <c r="BI298" s="67" t="str">
        <f aca="false">IF($D298="","",YEAR($AI298))</f>
        <v/>
      </c>
      <c r="BJ298" s="67" t="str">
        <f aca="false">IF($D298="","",YEAR($AJ298))</f>
        <v/>
      </c>
      <c r="BK298" s="67" t="str">
        <f aca="false">IF($D298="","",YEAR($AH298))</f>
        <v/>
      </c>
      <c r="BM298" s="26" t="n">
        <f aca="false">IF($AT298=1,$P298+(1000-ROW())/1000000,0)</f>
        <v>0</v>
      </c>
    </row>
    <row r="299" customFormat="false" ht="15" hidden="false" customHeight="false" outlineLevel="0" collapsed="false">
      <c r="AT299" s="26" t="n">
        <f aca="false">IF($D299="",0,IF(OR(StratFilter="All Loans",$E299=StratFilter),1,0))</f>
        <v>0</v>
      </c>
      <c r="AU299" s="18" t="str">
        <f aca="false">IF($D299="","",IFERROR(VLOOKUP(TRIM($K299),PropTypeMap,2,FALSE()),"Unmapped"))</f>
        <v/>
      </c>
      <c r="AV299" s="21" t="str">
        <f aca="false">IF($D299="","",IFERROR(VLOOKUP($J299,RegionMap,2,FALSE()),"Unmapped"))</f>
        <v/>
      </c>
      <c r="AW299" s="21" t="str">
        <f aca="false">IF($D299="","",IF($AC299="SOFR","Floating (SOFR)","Fixed / All-In"))</f>
        <v/>
      </c>
      <c r="AX299" s="24" t="str">
        <f aca="false">IF($D299="","",$AD299+SOFR)</f>
        <v/>
      </c>
      <c r="AY299" s="21" t="str">
        <f aca="false">IF($D299="","",IF($AF299="Waived","Waived",IF(ISNUMBER($AF299),IF($AF299&gt;AsOfDate,"In Place","Expired"),"None Reported")))</f>
        <v/>
      </c>
      <c r="AZ299" s="21" t="str">
        <f aca="false">IF($D299="","",IF(ISNUMBER($AG299),IF($AG299=0,"None",$AG299&amp;" Months"),IF($AG299="","None Reported",$AG299)))</f>
        <v/>
      </c>
      <c r="BA299" s="18" t="str">
        <f aca="false">IF($D299="","",IF($AK299="","Unlevered",$AK299))</f>
        <v/>
      </c>
      <c r="BB299" s="22" t="str">
        <f aca="false">IF($D299="","",SUM($AL299,$AO299))</f>
        <v/>
      </c>
      <c r="BC299" s="23" t="str">
        <f aca="false">IF($D299="","",IF($P299&gt;0,$BB299/$P299,0))</f>
        <v/>
      </c>
      <c r="BD299" s="25" t="str">
        <f aca="false">IF($D299="","",(AsOfDate-$AH299)/DaysPerMonth)</f>
        <v/>
      </c>
      <c r="BE299" s="25" t="str">
        <f aca="false">IF($D299="","",($AI299-AsOfDate)/DaysPerMonth)</f>
        <v/>
      </c>
      <c r="BF299" s="25" t="str">
        <f aca="false">IF($D299="","",($AJ299-AsOfDate)/DaysPerMonth)</f>
        <v/>
      </c>
      <c r="BG299" s="25" t="str">
        <f aca="false">IF($D299="","",MAX(0,$BE299))</f>
        <v/>
      </c>
      <c r="BH299" s="25" t="str">
        <f aca="false">IF($D299="","",MAX(0,$BF299))</f>
        <v/>
      </c>
      <c r="BI299" s="67" t="str">
        <f aca="false">IF($D299="","",YEAR($AI299))</f>
        <v/>
      </c>
      <c r="BJ299" s="67" t="str">
        <f aca="false">IF($D299="","",YEAR($AJ299))</f>
        <v/>
      </c>
      <c r="BK299" s="67" t="str">
        <f aca="false">IF($D299="","",YEAR($AH299))</f>
        <v/>
      </c>
      <c r="BM299" s="26" t="n">
        <f aca="false">IF($AT299=1,$P299+(1000-ROW())/1000000,0)</f>
        <v>0</v>
      </c>
    </row>
    <row r="300" customFormat="false" ht="15" hidden="false" customHeight="false" outlineLevel="0" collapsed="false">
      <c r="AT300" s="26" t="n">
        <f aca="false">IF($D300="",0,IF(OR(StratFilter="All Loans",$E300=StratFilter),1,0))</f>
        <v>0</v>
      </c>
      <c r="AU300" s="18" t="str">
        <f aca="false">IF($D300="","",IFERROR(VLOOKUP(TRIM($K300),PropTypeMap,2,FALSE()),"Unmapped"))</f>
        <v/>
      </c>
      <c r="AV300" s="21" t="str">
        <f aca="false">IF($D300="","",IFERROR(VLOOKUP($J300,RegionMap,2,FALSE()),"Unmapped"))</f>
        <v/>
      </c>
      <c r="AW300" s="21" t="str">
        <f aca="false">IF($D300="","",IF($AC300="SOFR","Floating (SOFR)","Fixed / All-In"))</f>
        <v/>
      </c>
      <c r="AX300" s="24" t="str">
        <f aca="false">IF($D300="","",$AD300+SOFR)</f>
        <v/>
      </c>
      <c r="AY300" s="21" t="str">
        <f aca="false">IF($D300="","",IF($AF300="Waived","Waived",IF(ISNUMBER($AF300),IF($AF300&gt;AsOfDate,"In Place","Expired"),"None Reported")))</f>
        <v/>
      </c>
      <c r="AZ300" s="21" t="str">
        <f aca="false">IF($D300="","",IF(ISNUMBER($AG300),IF($AG300=0,"None",$AG300&amp;" Months"),IF($AG300="","None Reported",$AG300)))</f>
        <v/>
      </c>
      <c r="BA300" s="18" t="str">
        <f aca="false">IF($D300="","",IF($AK300="","Unlevered",$AK300))</f>
        <v/>
      </c>
      <c r="BB300" s="22" t="str">
        <f aca="false">IF($D300="","",SUM($AL300,$AO300))</f>
        <v/>
      </c>
      <c r="BC300" s="23" t="str">
        <f aca="false">IF($D300="","",IF($P300&gt;0,$BB300/$P300,0))</f>
        <v/>
      </c>
      <c r="BD300" s="25" t="str">
        <f aca="false">IF($D300="","",(AsOfDate-$AH300)/DaysPerMonth)</f>
        <v/>
      </c>
      <c r="BE300" s="25" t="str">
        <f aca="false">IF($D300="","",($AI300-AsOfDate)/DaysPerMonth)</f>
        <v/>
      </c>
      <c r="BF300" s="25" t="str">
        <f aca="false">IF($D300="","",($AJ300-AsOfDate)/DaysPerMonth)</f>
        <v/>
      </c>
      <c r="BG300" s="25" t="str">
        <f aca="false">IF($D300="","",MAX(0,$BE300))</f>
        <v/>
      </c>
      <c r="BH300" s="25" t="str">
        <f aca="false">IF($D300="","",MAX(0,$BF300))</f>
        <v/>
      </c>
      <c r="BI300" s="67" t="str">
        <f aca="false">IF($D300="","",YEAR($AI300))</f>
        <v/>
      </c>
      <c r="BJ300" s="67" t="str">
        <f aca="false">IF($D300="","",YEAR($AJ300))</f>
        <v/>
      </c>
      <c r="BK300" s="67" t="str">
        <f aca="false">IF($D300="","",YEAR($AH300))</f>
        <v/>
      </c>
      <c r="BM300" s="26" t="n">
        <f aca="false">IF($AT300=1,$P300+(1000-ROW())/1000000,0)</f>
        <v>0</v>
      </c>
    </row>
    <row r="301" customFormat="false" ht="15" hidden="false" customHeight="false" outlineLevel="0" collapsed="false">
      <c r="AT301" s="26" t="n">
        <f aca="false">IF($D301="",0,IF(OR(StratFilter="All Loans",$E301=StratFilter),1,0))</f>
        <v>0</v>
      </c>
      <c r="AU301" s="18" t="str">
        <f aca="false">IF($D301="","",IFERROR(VLOOKUP(TRIM($K301),PropTypeMap,2,FALSE()),"Unmapped"))</f>
        <v/>
      </c>
      <c r="AV301" s="21" t="str">
        <f aca="false">IF($D301="","",IFERROR(VLOOKUP($J301,RegionMap,2,FALSE()),"Unmapped"))</f>
        <v/>
      </c>
      <c r="AW301" s="21" t="str">
        <f aca="false">IF($D301="","",IF($AC301="SOFR","Floating (SOFR)","Fixed / All-In"))</f>
        <v/>
      </c>
      <c r="AX301" s="24" t="str">
        <f aca="false">IF($D301="","",$AD301+SOFR)</f>
        <v/>
      </c>
      <c r="AY301" s="21" t="str">
        <f aca="false">IF($D301="","",IF($AF301="Waived","Waived",IF(ISNUMBER($AF301),IF($AF301&gt;AsOfDate,"In Place","Expired"),"None Reported")))</f>
        <v/>
      </c>
      <c r="AZ301" s="21" t="str">
        <f aca="false">IF($D301="","",IF(ISNUMBER($AG301),IF($AG301=0,"None",$AG301&amp;" Months"),IF($AG301="","None Reported",$AG301)))</f>
        <v/>
      </c>
      <c r="BA301" s="18" t="str">
        <f aca="false">IF($D301="","",IF($AK301="","Unlevered",$AK301))</f>
        <v/>
      </c>
      <c r="BB301" s="22" t="str">
        <f aca="false">IF($D301="","",SUM($AL301,$AO301))</f>
        <v/>
      </c>
      <c r="BC301" s="23" t="str">
        <f aca="false">IF($D301="","",IF($P301&gt;0,$BB301/$P301,0))</f>
        <v/>
      </c>
      <c r="BD301" s="25" t="str">
        <f aca="false">IF($D301="","",(AsOfDate-$AH301)/DaysPerMonth)</f>
        <v/>
      </c>
      <c r="BE301" s="25" t="str">
        <f aca="false">IF($D301="","",($AI301-AsOfDate)/DaysPerMonth)</f>
        <v/>
      </c>
      <c r="BF301" s="25" t="str">
        <f aca="false">IF($D301="","",($AJ301-AsOfDate)/DaysPerMonth)</f>
        <v/>
      </c>
      <c r="BG301" s="25" t="str">
        <f aca="false">IF($D301="","",MAX(0,$BE301))</f>
        <v/>
      </c>
      <c r="BH301" s="25" t="str">
        <f aca="false">IF($D301="","",MAX(0,$BF301))</f>
        <v/>
      </c>
      <c r="BI301" s="67" t="str">
        <f aca="false">IF($D301="","",YEAR($AI301))</f>
        <v/>
      </c>
      <c r="BJ301" s="67" t="str">
        <f aca="false">IF($D301="","",YEAR($AJ301))</f>
        <v/>
      </c>
      <c r="BK301" s="67" t="str">
        <f aca="false">IF($D301="","",YEAR($AH301))</f>
        <v/>
      </c>
      <c r="BM301" s="26" t="n">
        <f aca="false">IF($AT301=1,$P301+(1000-ROW())/1000000,0)</f>
        <v>0</v>
      </c>
    </row>
    <row r="302" customFormat="false" ht="15" hidden="false" customHeight="false" outlineLevel="0" collapsed="false">
      <c r="AT302" s="26" t="n">
        <f aca="false">IF($D302="",0,IF(OR(StratFilter="All Loans",$E302=StratFilter),1,0))</f>
        <v>0</v>
      </c>
      <c r="AU302" s="18" t="str">
        <f aca="false">IF($D302="","",IFERROR(VLOOKUP(TRIM($K302),PropTypeMap,2,FALSE()),"Unmapped"))</f>
        <v/>
      </c>
      <c r="AV302" s="21" t="str">
        <f aca="false">IF($D302="","",IFERROR(VLOOKUP($J302,RegionMap,2,FALSE()),"Unmapped"))</f>
        <v/>
      </c>
      <c r="AW302" s="21" t="str">
        <f aca="false">IF($D302="","",IF($AC302="SOFR","Floating (SOFR)","Fixed / All-In"))</f>
        <v/>
      </c>
      <c r="AX302" s="24" t="str">
        <f aca="false">IF($D302="","",$AD302+SOFR)</f>
        <v/>
      </c>
      <c r="AY302" s="21" t="str">
        <f aca="false">IF($D302="","",IF($AF302="Waived","Waived",IF(ISNUMBER($AF302),IF($AF302&gt;AsOfDate,"In Place","Expired"),"None Reported")))</f>
        <v/>
      </c>
      <c r="AZ302" s="21" t="str">
        <f aca="false">IF($D302="","",IF(ISNUMBER($AG302),IF($AG302=0,"None",$AG302&amp;" Months"),IF($AG302="","None Reported",$AG302)))</f>
        <v/>
      </c>
      <c r="BA302" s="18" t="str">
        <f aca="false">IF($D302="","",IF($AK302="","Unlevered",$AK302))</f>
        <v/>
      </c>
      <c r="BB302" s="22" t="str">
        <f aca="false">IF($D302="","",SUM($AL302,$AO302))</f>
        <v/>
      </c>
      <c r="BC302" s="23" t="str">
        <f aca="false">IF($D302="","",IF($P302&gt;0,$BB302/$P302,0))</f>
        <v/>
      </c>
      <c r="BD302" s="25" t="str">
        <f aca="false">IF($D302="","",(AsOfDate-$AH302)/DaysPerMonth)</f>
        <v/>
      </c>
      <c r="BE302" s="25" t="str">
        <f aca="false">IF($D302="","",($AI302-AsOfDate)/DaysPerMonth)</f>
        <v/>
      </c>
      <c r="BF302" s="25" t="str">
        <f aca="false">IF($D302="","",($AJ302-AsOfDate)/DaysPerMonth)</f>
        <v/>
      </c>
      <c r="BG302" s="25" t="str">
        <f aca="false">IF($D302="","",MAX(0,$BE302))</f>
        <v/>
      </c>
      <c r="BH302" s="25" t="str">
        <f aca="false">IF($D302="","",MAX(0,$BF302))</f>
        <v/>
      </c>
      <c r="BI302" s="67" t="str">
        <f aca="false">IF($D302="","",YEAR($AI302))</f>
        <v/>
      </c>
      <c r="BJ302" s="67" t="str">
        <f aca="false">IF($D302="","",YEAR($AJ302))</f>
        <v/>
      </c>
      <c r="BK302" s="67" t="str">
        <f aca="false">IF($D302="","",YEAR($AH302))</f>
        <v/>
      </c>
      <c r="BM302" s="26" t="n">
        <f aca="false">IF($AT302=1,$P302+(1000-ROW())/1000000,0)</f>
        <v>0</v>
      </c>
    </row>
    <row r="303" customFormat="false" ht="15" hidden="false" customHeight="false" outlineLevel="0" collapsed="false">
      <c r="AT303" s="26" t="n">
        <f aca="false">IF($D303="",0,IF(OR(StratFilter="All Loans",$E303=StratFilter),1,0))</f>
        <v>0</v>
      </c>
      <c r="AU303" s="18" t="str">
        <f aca="false">IF($D303="","",IFERROR(VLOOKUP(TRIM($K303),PropTypeMap,2,FALSE()),"Unmapped"))</f>
        <v/>
      </c>
      <c r="AV303" s="21" t="str">
        <f aca="false">IF($D303="","",IFERROR(VLOOKUP($J303,RegionMap,2,FALSE()),"Unmapped"))</f>
        <v/>
      </c>
      <c r="AW303" s="21" t="str">
        <f aca="false">IF($D303="","",IF($AC303="SOFR","Floating (SOFR)","Fixed / All-In"))</f>
        <v/>
      </c>
      <c r="AX303" s="24" t="str">
        <f aca="false">IF($D303="","",$AD303+SOFR)</f>
        <v/>
      </c>
      <c r="AY303" s="21" t="str">
        <f aca="false">IF($D303="","",IF($AF303="Waived","Waived",IF(ISNUMBER($AF303),IF($AF303&gt;AsOfDate,"In Place","Expired"),"None Reported")))</f>
        <v/>
      </c>
      <c r="AZ303" s="21" t="str">
        <f aca="false">IF($D303="","",IF(ISNUMBER($AG303),IF($AG303=0,"None",$AG303&amp;" Months"),IF($AG303="","None Reported",$AG303)))</f>
        <v/>
      </c>
      <c r="BA303" s="18" t="str">
        <f aca="false">IF($D303="","",IF($AK303="","Unlevered",$AK303))</f>
        <v/>
      </c>
      <c r="BB303" s="22" t="str">
        <f aca="false">IF($D303="","",SUM($AL303,$AO303))</f>
        <v/>
      </c>
      <c r="BC303" s="23" t="str">
        <f aca="false">IF($D303="","",IF($P303&gt;0,$BB303/$P303,0))</f>
        <v/>
      </c>
      <c r="BD303" s="25" t="str">
        <f aca="false">IF($D303="","",(AsOfDate-$AH303)/DaysPerMonth)</f>
        <v/>
      </c>
      <c r="BE303" s="25" t="str">
        <f aca="false">IF($D303="","",($AI303-AsOfDate)/DaysPerMonth)</f>
        <v/>
      </c>
      <c r="BF303" s="25" t="str">
        <f aca="false">IF($D303="","",($AJ303-AsOfDate)/DaysPerMonth)</f>
        <v/>
      </c>
      <c r="BG303" s="25" t="str">
        <f aca="false">IF($D303="","",MAX(0,$BE303))</f>
        <v/>
      </c>
      <c r="BH303" s="25" t="str">
        <f aca="false">IF($D303="","",MAX(0,$BF303))</f>
        <v/>
      </c>
      <c r="BI303" s="67" t="str">
        <f aca="false">IF($D303="","",YEAR($AI303))</f>
        <v/>
      </c>
      <c r="BJ303" s="67" t="str">
        <f aca="false">IF($D303="","",YEAR($AJ303))</f>
        <v/>
      </c>
      <c r="BK303" s="67" t="str">
        <f aca="false">IF($D303="","",YEAR($AH303))</f>
        <v/>
      </c>
      <c r="BM303" s="26" t="n">
        <f aca="false">IF($AT303=1,$P303+(1000-ROW())/1000000,0)</f>
        <v>0</v>
      </c>
    </row>
    <row r="304" customFormat="false" ht="15" hidden="false" customHeight="false" outlineLevel="0" collapsed="false">
      <c r="AT304" s="26" t="n">
        <f aca="false">IF($D304="",0,IF(OR(StratFilter="All Loans",$E304=StratFilter),1,0))</f>
        <v>0</v>
      </c>
      <c r="AU304" s="18" t="str">
        <f aca="false">IF($D304="","",IFERROR(VLOOKUP(TRIM($K304),PropTypeMap,2,FALSE()),"Unmapped"))</f>
        <v/>
      </c>
      <c r="AV304" s="21" t="str">
        <f aca="false">IF($D304="","",IFERROR(VLOOKUP($J304,RegionMap,2,FALSE()),"Unmapped"))</f>
        <v/>
      </c>
      <c r="AW304" s="21" t="str">
        <f aca="false">IF($D304="","",IF($AC304="SOFR","Floating (SOFR)","Fixed / All-In"))</f>
        <v/>
      </c>
      <c r="AX304" s="24" t="str">
        <f aca="false">IF($D304="","",$AD304+SOFR)</f>
        <v/>
      </c>
      <c r="AY304" s="21" t="str">
        <f aca="false">IF($D304="","",IF($AF304="Waived","Waived",IF(ISNUMBER($AF304),IF($AF304&gt;AsOfDate,"In Place","Expired"),"None Reported")))</f>
        <v/>
      </c>
      <c r="AZ304" s="21" t="str">
        <f aca="false">IF($D304="","",IF(ISNUMBER($AG304),IF($AG304=0,"None",$AG304&amp;" Months"),IF($AG304="","None Reported",$AG304)))</f>
        <v/>
      </c>
      <c r="BA304" s="18" t="str">
        <f aca="false">IF($D304="","",IF($AK304="","Unlevered",$AK304))</f>
        <v/>
      </c>
      <c r="BB304" s="22" t="str">
        <f aca="false">IF($D304="","",SUM($AL304,$AO304))</f>
        <v/>
      </c>
      <c r="BC304" s="23" t="str">
        <f aca="false">IF($D304="","",IF($P304&gt;0,$BB304/$P304,0))</f>
        <v/>
      </c>
      <c r="BD304" s="25" t="str">
        <f aca="false">IF($D304="","",(AsOfDate-$AH304)/DaysPerMonth)</f>
        <v/>
      </c>
      <c r="BE304" s="25" t="str">
        <f aca="false">IF($D304="","",($AI304-AsOfDate)/DaysPerMonth)</f>
        <v/>
      </c>
      <c r="BF304" s="25" t="str">
        <f aca="false">IF($D304="","",($AJ304-AsOfDate)/DaysPerMonth)</f>
        <v/>
      </c>
      <c r="BG304" s="25" t="str">
        <f aca="false">IF($D304="","",MAX(0,$BE304))</f>
        <v/>
      </c>
      <c r="BH304" s="25" t="str">
        <f aca="false">IF($D304="","",MAX(0,$BF304))</f>
        <v/>
      </c>
      <c r="BI304" s="67" t="str">
        <f aca="false">IF($D304="","",YEAR($AI304))</f>
        <v/>
      </c>
      <c r="BJ304" s="67" t="str">
        <f aca="false">IF($D304="","",YEAR($AJ304))</f>
        <v/>
      </c>
      <c r="BK304" s="67" t="str">
        <f aca="false">IF($D304="","",YEAR($AH304))</f>
        <v/>
      </c>
      <c r="BM304" s="26" t="n">
        <f aca="false">IF($AT304=1,$P304+(1000-ROW())/1000000,0)</f>
        <v>0</v>
      </c>
    </row>
    <row r="306" customFormat="false" ht="15" hidden="false" customHeight="false" outlineLevel="0" collapsed="false">
      <c r="B306" s="1" t="s">
        <v>623</v>
      </c>
    </row>
  </sheetData>
  <mergeCells count="3">
    <mergeCell ref="B1:BM1"/>
    <mergeCell ref="B3:AR3"/>
    <mergeCell ref="AT3:BM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32"/>
    <col collapsed="false" customWidth="true" hidden="false" outlineLevel="0" max="4" min="4" style="0" width="3"/>
    <col collapsed="false" customWidth="true" hidden="false" outlineLevel="0" max="5" min="5" style="0" width="12"/>
    <col collapsed="false" customWidth="true" hidden="false" outlineLevel="0" max="6" min="6" style="0" width="16"/>
  </cols>
  <sheetData>
    <row r="2" customFormat="false" ht="15" hidden="false" customHeight="false" outlineLevel="0" collapsed="false">
      <c r="B2" s="2" t="s">
        <v>624</v>
      </c>
      <c r="C2" s="2"/>
      <c r="D2" s="2"/>
      <c r="E2" s="2"/>
      <c r="F2" s="2"/>
    </row>
    <row r="4" customFormat="false" ht="15" hidden="false" customHeight="false" outlineLevel="0" collapsed="false">
      <c r="B4" s="3" t="s">
        <v>625</v>
      </c>
      <c r="C4" s="4"/>
      <c r="E4" s="3" t="s">
        <v>626</v>
      </c>
      <c r="F4" s="4"/>
    </row>
    <row r="5" customFormat="false" ht="19.5" hidden="false" customHeight="true" outlineLevel="0" collapsed="false">
      <c r="B5" s="16" t="s">
        <v>263</v>
      </c>
      <c r="C5" s="17" t="s">
        <v>627</v>
      </c>
      <c r="E5" s="17" t="s">
        <v>44</v>
      </c>
      <c r="F5" s="17" t="s">
        <v>289</v>
      </c>
    </row>
    <row r="6" customFormat="false" ht="15" hidden="false" customHeight="false" outlineLevel="0" collapsed="false">
      <c r="B6" s="42" t="s">
        <v>306</v>
      </c>
      <c r="C6" s="42" t="s">
        <v>72</v>
      </c>
      <c r="E6" s="79" t="s">
        <v>628</v>
      </c>
      <c r="F6" s="42" t="s">
        <v>113</v>
      </c>
    </row>
    <row r="7" customFormat="false" ht="15" hidden="false" customHeight="false" outlineLevel="0" collapsed="false">
      <c r="B7" s="42" t="s">
        <v>485</v>
      </c>
      <c r="C7" s="42" t="s">
        <v>78</v>
      </c>
      <c r="E7" s="79" t="s">
        <v>103</v>
      </c>
      <c r="F7" s="42" t="s">
        <v>111</v>
      </c>
    </row>
    <row r="8" customFormat="false" ht="15" hidden="false" customHeight="false" outlineLevel="0" collapsed="false">
      <c r="B8" s="42" t="s">
        <v>545</v>
      </c>
      <c r="C8" s="42" t="s">
        <v>79</v>
      </c>
      <c r="E8" s="79" t="s">
        <v>629</v>
      </c>
      <c r="F8" s="42" t="s">
        <v>111</v>
      </c>
    </row>
    <row r="9" customFormat="false" ht="15" hidden="false" customHeight="false" outlineLevel="0" collapsed="false">
      <c r="B9" s="42" t="s">
        <v>521</v>
      </c>
      <c r="C9" s="42" t="s">
        <v>79</v>
      </c>
      <c r="E9" s="79" t="s">
        <v>630</v>
      </c>
      <c r="F9" s="42" t="s">
        <v>110</v>
      </c>
    </row>
    <row r="10" customFormat="false" ht="15" hidden="false" customHeight="false" outlineLevel="0" collapsed="false">
      <c r="B10" s="42" t="s">
        <v>543</v>
      </c>
      <c r="C10" s="42" t="s">
        <v>79</v>
      </c>
      <c r="E10" s="79" t="s">
        <v>94</v>
      </c>
      <c r="F10" s="42" t="s">
        <v>113</v>
      </c>
    </row>
    <row r="11" customFormat="false" ht="15" hidden="false" customHeight="false" outlineLevel="0" collapsed="false">
      <c r="B11" s="42" t="s">
        <v>509</v>
      </c>
      <c r="C11" s="42" t="s">
        <v>79</v>
      </c>
      <c r="E11" s="79" t="s">
        <v>407</v>
      </c>
      <c r="F11" s="42" t="s">
        <v>114</v>
      </c>
    </row>
    <row r="12" customFormat="false" ht="15" hidden="false" customHeight="false" outlineLevel="0" collapsed="false">
      <c r="B12" s="42" t="s">
        <v>478</v>
      </c>
      <c r="C12" s="42" t="s">
        <v>79</v>
      </c>
      <c r="E12" s="79" t="s">
        <v>100</v>
      </c>
      <c r="F12" s="42" t="s">
        <v>109</v>
      </c>
    </row>
    <row r="13" customFormat="false" ht="15" hidden="false" customHeight="false" outlineLevel="0" collapsed="false">
      <c r="B13" s="42" t="s">
        <v>550</v>
      </c>
      <c r="C13" s="42" t="s">
        <v>79</v>
      </c>
      <c r="E13" s="79" t="s">
        <v>317</v>
      </c>
      <c r="F13" s="42" t="s">
        <v>115</v>
      </c>
    </row>
    <row r="14" customFormat="false" ht="15" hidden="false" customHeight="false" outlineLevel="0" collapsed="false">
      <c r="B14" s="42" t="s">
        <v>540</v>
      </c>
      <c r="C14" s="42" t="s">
        <v>79</v>
      </c>
      <c r="E14" s="79" t="s">
        <v>444</v>
      </c>
      <c r="F14" s="42" t="s">
        <v>115</v>
      </c>
    </row>
    <row r="15" customFormat="false" ht="15" hidden="false" customHeight="false" outlineLevel="0" collapsed="false">
      <c r="B15" s="42" t="s">
        <v>481</v>
      </c>
      <c r="C15" s="42" t="s">
        <v>80</v>
      </c>
      <c r="E15" s="79" t="s">
        <v>97</v>
      </c>
      <c r="F15" s="42" t="s">
        <v>111</v>
      </c>
    </row>
    <row r="16" customFormat="false" ht="15" hidden="false" customHeight="false" outlineLevel="0" collapsed="false">
      <c r="B16" s="42" t="s">
        <v>495</v>
      </c>
      <c r="C16" s="42" t="s">
        <v>80</v>
      </c>
      <c r="E16" s="79" t="s">
        <v>95</v>
      </c>
      <c r="F16" s="42" t="s">
        <v>111</v>
      </c>
    </row>
    <row r="17" customFormat="false" ht="15" hidden="false" customHeight="false" outlineLevel="0" collapsed="false">
      <c r="B17" s="42" t="s">
        <v>497</v>
      </c>
      <c r="C17" s="42" t="s">
        <v>80</v>
      </c>
      <c r="E17" s="79" t="s">
        <v>631</v>
      </c>
      <c r="F17" s="42" t="s">
        <v>113</v>
      </c>
    </row>
    <row r="18" customFormat="false" ht="15" hidden="false" customHeight="false" outlineLevel="0" collapsed="false">
      <c r="B18" s="42" t="s">
        <v>512</v>
      </c>
      <c r="C18" s="42" t="s">
        <v>80</v>
      </c>
      <c r="E18" s="79" t="s">
        <v>632</v>
      </c>
      <c r="F18" s="42" t="s">
        <v>112</v>
      </c>
    </row>
    <row r="19" customFormat="false" ht="15" hidden="false" customHeight="false" outlineLevel="0" collapsed="false">
      <c r="B19" s="42" t="s">
        <v>526</v>
      </c>
      <c r="C19" s="42" t="s">
        <v>80</v>
      </c>
      <c r="E19" s="79" t="s">
        <v>105</v>
      </c>
      <c r="F19" s="42" t="s">
        <v>114</v>
      </c>
    </row>
    <row r="20" customFormat="false" ht="15" hidden="false" customHeight="false" outlineLevel="0" collapsed="false">
      <c r="B20" s="42" t="s">
        <v>535</v>
      </c>
      <c r="C20" s="42" t="s">
        <v>80</v>
      </c>
      <c r="E20" s="79" t="s">
        <v>390</v>
      </c>
      <c r="F20" s="42" t="s">
        <v>112</v>
      </c>
    </row>
    <row r="21" customFormat="false" ht="15" hidden="false" customHeight="false" outlineLevel="0" collapsed="false">
      <c r="B21" s="42" t="s">
        <v>559</v>
      </c>
      <c r="C21" s="42" t="s">
        <v>80</v>
      </c>
      <c r="E21" s="79" t="s">
        <v>106</v>
      </c>
      <c r="F21" s="42" t="s">
        <v>112</v>
      </c>
    </row>
    <row r="22" customFormat="false" ht="15" hidden="false" customHeight="false" outlineLevel="0" collapsed="false">
      <c r="B22" s="42" t="s">
        <v>565</v>
      </c>
      <c r="C22" s="42" t="s">
        <v>80</v>
      </c>
      <c r="E22" s="79" t="s">
        <v>314</v>
      </c>
      <c r="F22" s="42" t="s">
        <v>112</v>
      </c>
    </row>
    <row r="23" customFormat="false" ht="15" hidden="false" customHeight="false" outlineLevel="0" collapsed="false">
      <c r="B23" s="42" t="s">
        <v>615</v>
      </c>
      <c r="C23" s="42" t="s">
        <v>82</v>
      </c>
      <c r="E23" s="79" t="s">
        <v>500</v>
      </c>
      <c r="F23" s="42" t="s">
        <v>111</v>
      </c>
    </row>
    <row r="24" customFormat="false" ht="15" hidden="false" customHeight="false" outlineLevel="0" collapsed="false">
      <c r="B24" s="42" t="s">
        <v>607</v>
      </c>
      <c r="C24" s="42" t="s">
        <v>81</v>
      </c>
      <c r="E24" s="79" t="s">
        <v>467</v>
      </c>
      <c r="F24" s="42" t="s">
        <v>111</v>
      </c>
    </row>
    <row r="25" customFormat="false" ht="15" hidden="false" customHeight="false" outlineLevel="0" collapsed="false">
      <c r="E25" s="79" t="s">
        <v>534</v>
      </c>
      <c r="F25" s="42" t="s">
        <v>109</v>
      </c>
    </row>
    <row r="26" customFormat="false" ht="15" hidden="false" customHeight="false" outlineLevel="0" collapsed="false">
      <c r="B26" s="1" t="s">
        <v>633</v>
      </c>
      <c r="E26" s="79" t="s">
        <v>101</v>
      </c>
      <c r="F26" s="42" t="s">
        <v>115</v>
      </c>
    </row>
    <row r="27" customFormat="false" ht="15" hidden="false" customHeight="false" outlineLevel="0" collapsed="false">
      <c r="E27" s="79" t="s">
        <v>634</v>
      </c>
      <c r="F27" s="42" t="s">
        <v>109</v>
      </c>
    </row>
    <row r="28" customFormat="false" ht="15" hidden="false" customHeight="false" outlineLevel="0" collapsed="false">
      <c r="E28" s="79" t="s">
        <v>490</v>
      </c>
      <c r="F28" s="42" t="s">
        <v>112</v>
      </c>
    </row>
    <row r="29" customFormat="false" ht="15" hidden="false" customHeight="false" outlineLevel="0" collapsed="false">
      <c r="E29" s="79" t="s">
        <v>96</v>
      </c>
      <c r="F29" s="42" t="s">
        <v>112</v>
      </c>
    </row>
    <row r="30" customFormat="false" ht="15" hidden="false" customHeight="false" outlineLevel="0" collapsed="false">
      <c r="E30" s="79" t="s">
        <v>423</v>
      </c>
      <c r="F30" s="42" t="s">
        <v>112</v>
      </c>
    </row>
    <row r="31" customFormat="false" ht="15" hidden="false" customHeight="false" outlineLevel="0" collapsed="false">
      <c r="E31" s="79" t="s">
        <v>320</v>
      </c>
      <c r="F31" s="42" t="s">
        <v>111</v>
      </c>
    </row>
    <row r="32" customFormat="false" ht="15" hidden="false" customHeight="false" outlineLevel="0" collapsed="false">
      <c r="E32" s="79" t="s">
        <v>635</v>
      </c>
      <c r="F32" s="42" t="s">
        <v>114</v>
      </c>
    </row>
    <row r="33" customFormat="false" ht="15" hidden="false" customHeight="false" outlineLevel="0" collapsed="false">
      <c r="E33" s="79" t="s">
        <v>98</v>
      </c>
      <c r="F33" s="42" t="s">
        <v>111</v>
      </c>
    </row>
    <row r="34" customFormat="false" ht="15" hidden="false" customHeight="false" outlineLevel="0" collapsed="false">
      <c r="E34" s="79" t="s">
        <v>636</v>
      </c>
      <c r="F34" s="42" t="s">
        <v>112</v>
      </c>
    </row>
    <row r="35" customFormat="false" ht="15" hidden="false" customHeight="false" outlineLevel="0" collapsed="false">
      <c r="E35" s="79" t="s">
        <v>637</v>
      </c>
      <c r="F35" s="42" t="s">
        <v>112</v>
      </c>
    </row>
    <row r="36" customFormat="false" ht="15" hidden="false" customHeight="false" outlineLevel="0" collapsed="false">
      <c r="E36" s="79" t="s">
        <v>480</v>
      </c>
      <c r="F36" s="42" t="s">
        <v>109</v>
      </c>
    </row>
    <row r="37" customFormat="false" ht="15" hidden="false" customHeight="false" outlineLevel="0" collapsed="false">
      <c r="E37" s="79" t="s">
        <v>99</v>
      </c>
      <c r="F37" s="42" t="s">
        <v>109</v>
      </c>
    </row>
    <row r="38" customFormat="false" ht="15" hidden="false" customHeight="false" outlineLevel="0" collapsed="false">
      <c r="E38" s="79" t="s">
        <v>638</v>
      </c>
      <c r="F38" s="42" t="s">
        <v>110</v>
      </c>
    </row>
    <row r="39" customFormat="false" ht="15" hidden="false" customHeight="false" outlineLevel="0" collapsed="false">
      <c r="E39" s="79" t="s">
        <v>378</v>
      </c>
      <c r="F39" s="42" t="s">
        <v>114</v>
      </c>
    </row>
    <row r="40" customFormat="false" ht="15" hidden="false" customHeight="false" outlineLevel="0" collapsed="false">
      <c r="E40" s="79" t="s">
        <v>93</v>
      </c>
      <c r="F40" s="42" t="s">
        <v>109</v>
      </c>
    </row>
    <row r="41" customFormat="false" ht="15" hidden="false" customHeight="false" outlineLevel="0" collapsed="false">
      <c r="E41" s="79" t="s">
        <v>102</v>
      </c>
      <c r="F41" s="42" t="s">
        <v>112</v>
      </c>
    </row>
    <row r="42" customFormat="false" ht="15" hidden="false" customHeight="false" outlineLevel="0" collapsed="false">
      <c r="E42" s="79" t="s">
        <v>494</v>
      </c>
      <c r="F42" s="42" t="s">
        <v>110</v>
      </c>
    </row>
    <row r="43" customFormat="false" ht="15" hidden="false" customHeight="false" outlineLevel="0" collapsed="false">
      <c r="E43" s="79" t="s">
        <v>104</v>
      </c>
      <c r="F43" s="42" t="s">
        <v>113</v>
      </c>
    </row>
    <row r="44" customFormat="false" ht="15" hidden="false" customHeight="false" outlineLevel="0" collapsed="false">
      <c r="E44" s="79" t="s">
        <v>355</v>
      </c>
      <c r="F44" s="42" t="s">
        <v>109</v>
      </c>
    </row>
    <row r="45" customFormat="false" ht="15" hidden="false" customHeight="false" outlineLevel="0" collapsed="false">
      <c r="E45" s="79" t="s">
        <v>503</v>
      </c>
      <c r="F45" s="42" t="s">
        <v>109</v>
      </c>
    </row>
    <row r="46" customFormat="false" ht="15" hidden="false" customHeight="false" outlineLevel="0" collapsed="false">
      <c r="E46" s="79" t="s">
        <v>340</v>
      </c>
      <c r="F46" s="42" t="s">
        <v>111</v>
      </c>
    </row>
    <row r="47" customFormat="false" ht="15" hidden="false" customHeight="false" outlineLevel="0" collapsed="false">
      <c r="E47" s="79" t="s">
        <v>639</v>
      </c>
      <c r="F47" s="42" t="s">
        <v>112</v>
      </c>
    </row>
    <row r="48" customFormat="false" ht="15" hidden="false" customHeight="false" outlineLevel="0" collapsed="false">
      <c r="E48" s="79" t="s">
        <v>348</v>
      </c>
      <c r="F48" s="42" t="s">
        <v>111</v>
      </c>
    </row>
    <row r="49" customFormat="false" ht="15" hidden="false" customHeight="false" outlineLevel="0" collapsed="false">
      <c r="E49" s="79" t="s">
        <v>92</v>
      </c>
      <c r="F49" s="42" t="s">
        <v>110</v>
      </c>
    </row>
    <row r="50" customFormat="false" ht="15" hidden="false" customHeight="false" outlineLevel="0" collapsed="false">
      <c r="E50" s="79" t="s">
        <v>373</v>
      </c>
      <c r="F50" s="42" t="s">
        <v>114</v>
      </c>
    </row>
    <row r="51" customFormat="false" ht="15" hidden="false" customHeight="false" outlineLevel="0" collapsed="false">
      <c r="E51" s="79" t="s">
        <v>415</v>
      </c>
      <c r="F51" s="42" t="s">
        <v>115</v>
      </c>
    </row>
    <row r="52" customFormat="false" ht="15" hidden="false" customHeight="false" outlineLevel="0" collapsed="false">
      <c r="E52" s="79" t="s">
        <v>640</v>
      </c>
      <c r="F52" s="42" t="s">
        <v>109</v>
      </c>
    </row>
    <row r="53" customFormat="false" ht="15" hidden="false" customHeight="false" outlineLevel="0" collapsed="false">
      <c r="E53" s="79" t="s">
        <v>508</v>
      </c>
      <c r="F53" s="42" t="s">
        <v>113</v>
      </c>
    </row>
    <row r="54" customFormat="false" ht="15" hidden="false" customHeight="false" outlineLevel="0" collapsed="false">
      <c r="E54" s="79" t="s">
        <v>558</v>
      </c>
      <c r="F54" s="42" t="s">
        <v>112</v>
      </c>
    </row>
    <row r="55" customFormat="false" ht="15" hidden="false" customHeight="false" outlineLevel="0" collapsed="false">
      <c r="E55" s="79" t="s">
        <v>641</v>
      </c>
      <c r="F55" s="42" t="s">
        <v>115</v>
      </c>
    </row>
    <row r="56" customFormat="false" ht="15" hidden="false" customHeight="false" outlineLevel="0" collapsed="false">
      <c r="E56" s="79" t="s">
        <v>642</v>
      </c>
      <c r="F56" s="42" t="s">
        <v>114</v>
      </c>
    </row>
  </sheetData>
  <mergeCells count="1">
    <mergeCell ref="B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2026-09-28T16:46:09Z</dcterms:created>
  <dc:creator>openpyxl</dc:creator>
  <dc:description/>
  <dc:language>en-US</dc:language>
  <cp:lastModifiedBy/>
  <dcterms:modified xsi:type="dcterms:W3CDTF">2026-09-28T16:46:10Z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